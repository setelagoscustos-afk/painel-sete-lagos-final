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iagrams/colors1.xml" ContentType="application/vnd.openxmlformats-officedocument.drawingml.diagramColors+xml"/>
  <Override PartName="/xl/diagrams/data1.xml" ContentType="application/vnd.openxmlformats-officedocument.drawingml.diagramData+xml"/>
  <Override PartName="/xl/diagrams/drawing1.xml" ContentType="application/vnd.ms-office.drawingml.diagramDrawing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994" activeTab="6"/>
  </bookViews>
  <sheets>
    <sheet name="BASE" sheetId="1" r:id="rId1"/>
    <sheet name="RESULTADO DIRETO" sheetId="4" r:id="rId2"/>
    <sheet name="FONTES" sheetId="2" r:id="rId3"/>
    <sheet name="RESULTADO REDESPACHO" sheetId="5" r:id="rId4"/>
    <sheet name="BASE DADOS" sheetId="8" r:id="rId5"/>
    <sheet name="CUSTO TRANSFERENCIA" sheetId="7" r:id="rId6"/>
    <sheet name="CUSTO NOVA" sheetId="17" r:id="rId7"/>
    <sheet name="RATEIO DE COLETAS" sheetId="18" r:id="rId8"/>
    <sheet name="RATEIO TRANSFERÊNCIA" sheetId="19" r:id="rId9"/>
  </sheets>
  <definedNames>
    <definedName name="_xlnm._FilterDatabase" localSheetId="4" hidden="1">'BASE DADOS'!$A$1:$DB$83</definedName>
    <definedName name="_xlnm._FilterDatabase" localSheetId="6" hidden="1">'CUSTO NOVA'!$A$1:$AS$83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<sst xmlns="http://schemas.openxmlformats.org/spreadsheetml/2006/main" count="4626" uniqueCount="844">
  <si>
    <t>CLIENTE:</t>
  </si>
  <si>
    <t>CNPJ:</t>
  </si>
  <si>
    <t>LOCAL REMETENTE:</t>
  </si>
  <si>
    <t>TIPO DE FRETE:</t>
  </si>
  <si>
    <t>COMPETENCIA</t>
  </si>
  <si>
    <t>TOTAL GERAL</t>
  </si>
  <si>
    <t>CUSTOS</t>
  </si>
  <si>
    <t>PESO 2024</t>
  </si>
  <si>
    <t>FRETE</t>
  </si>
  <si>
    <t>Desp. Operacional</t>
  </si>
  <si>
    <t>DESPESA ADMINISTRATIVA 2024</t>
  </si>
  <si>
    <t>VALOR</t>
  </si>
  <si>
    <t>Custo Operacional</t>
  </si>
  <si>
    <t>Carga e Descarga</t>
  </si>
  <si>
    <t>RATEIO</t>
  </si>
  <si>
    <t>Receita por kg</t>
  </si>
  <si>
    <t>Focal (agendamento)</t>
  </si>
  <si>
    <t>Motorista</t>
  </si>
  <si>
    <t>Tem Subst.Trib.?</t>
  </si>
  <si>
    <t>Seguro Acidente (0,014%) com iof</t>
  </si>
  <si>
    <t>TOTAL</t>
  </si>
  <si>
    <t xml:space="preserve">FATURAMENTO </t>
  </si>
  <si>
    <t>Aliq.</t>
  </si>
  <si>
    <t>Seguro Roubo (0,014%) com iof</t>
  </si>
  <si>
    <t>Desp. Frota</t>
  </si>
  <si>
    <t xml:space="preserve">Avarias S/ </t>
  </si>
  <si>
    <t>Custo Indenizações</t>
  </si>
  <si>
    <t>Diárias</t>
  </si>
  <si>
    <t>IMPOSTOS</t>
  </si>
  <si>
    <t>Custo Ajudantes extras/entregas</t>
  </si>
  <si>
    <t>Lavação</t>
  </si>
  <si>
    <t>TRIBUTO</t>
  </si>
  <si>
    <t>ALÍQUOTA</t>
  </si>
  <si>
    <t>Comissão Comercial/Freelancer</t>
  </si>
  <si>
    <t>Sinistro</t>
  </si>
  <si>
    <t>ICMS</t>
  </si>
  <si>
    <t>RATEIO DESP. ADMINIST./apoio op</t>
  </si>
  <si>
    <t>Reboque</t>
  </si>
  <si>
    <t>INSS DESON. 1,2</t>
  </si>
  <si>
    <t>RATEIO DESP. CLT operacional</t>
  </si>
  <si>
    <t>Gerenciamento de Risco</t>
  </si>
  <si>
    <t>ISS</t>
  </si>
  <si>
    <t>TOTAL CUSTOS</t>
  </si>
  <si>
    <t>PIS</t>
  </si>
  <si>
    <t>COFINS</t>
  </si>
  <si>
    <t>APURAÇÃO DO RESULTADO</t>
  </si>
  <si>
    <t>IRPJ</t>
  </si>
  <si>
    <t>VALOR BRUTO</t>
  </si>
  <si>
    <t>CSLL</t>
  </si>
  <si>
    <t>( - ) IMPOSTOS</t>
  </si>
  <si>
    <t>TOTAL TRIBITOS</t>
  </si>
  <si>
    <t>( - ) CUSTOS</t>
  </si>
  <si>
    <t>VALOR RECEITA LIQUIDA:</t>
  </si>
  <si>
    <t>Despesa Adminstrativa</t>
  </si>
  <si>
    <t>VALOR LIQUIDO</t>
  </si>
  <si>
    <t>Boletos</t>
  </si>
  <si>
    <t>INFORMAÇÕES EXTRAS</t>
  </si>
  <si>
    <t>%</t>
  </si>
  <si>
    <t>Target</t>
  </si>
  <si>
    <t>Tonelada</t>
  </si>
  <si>
    <t>Multa Processo RJ</t>
  </si>
  <si>
    <t>Valor de NF</t>
  </si>
  <si>
    <t>QTD CTRC</t>
  </si>
  <si>
    <t>Manutenções/Instalações Predial/Balanço Patrimonial</t>
  </si>
  <si>
    <t>Redespacho</t>
  </si>
  <si>
    <t>Bases</t>
  </si>
  <si>
    <t>Redespachos</t>
  </si>
  <si>
    <t>Fat. cte Redespacho</t>
  </si>
  <si>
    <t>Excluído por estar inclusa no Rateio Desp. ADM/OP</t>
  </si>
  <si>
    <t>TOTAL CTRC</t>
  </si>
  <si>
    <t xml:space="preserve"> IMPOSTOS</t>
  </si>
  <si>
    <t>TONELADA</t>
  </si>
  <si>
    <t>REDESPACHO</t>
  </si>
  <si>
    <t>VALOR MERCADORIA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</si>
  <si>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</si>
  <si>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</si>
  <si>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</si>
  <si>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</si>
  <si>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</si>
  <si>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</si>
  <si>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</si>
  <si>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</si>
  <si>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</si>
  <si>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 Geral</t>
  </si>
  <si>
    <t>Serie/Numero CTRC</t>
  </si>
  <si>
    <t>Tipo do Documento</t>
  </si>
  <si>
    <t>Praca Expedidora</t>
  </si>
  <si>
    <t>Unidade Emissora</t>
  </si>
  <si>
    <t>Data de Emissao</t>
  </si>
  <si>
    <t>Placa de Coleta</t>
  </si>
  <si>
    <t>Chave CT-e</t>
  </si>
  <si>
    <t>CNPJ Remetente</t>
  </si>
  <si>
    <t>Cliente Remetente</t>
  </si>
  <si>
    <t>Endereco do Remetente</t>
  </si>
  <si>
    <t>Bairro do Remetente</t>
  </si>
  <si>
    <t>Setor de Coleta</t>
  </si>
  <si>
    <t>Cidade do Remetente</t>
  </si>
  <si>
    <t>UF do Remetente</t>
  </si>
  <si>
    <t>CEP do Remetente</t>
  </si>
  <si>
    <t>CNPJ Expedidor</t>
  </si>
  <si>
    <t>Cliente Expedidor</t>
  </si>
  <si>
    <t>Cidade do Expedidor</t>
  </si>
  <si>
    <t>UF do Expedidor</t>
  </si>
  <si>
    <t>CNPJ Pagador</t>
  </si>
  <si>
    <t>Cliente Pagador</t>
  </si>
  <si>
    <t>Endereco do Pagador</t>
  </si>
  <si>
    <t>Bairro do Pagador</t>
  </si>
  <si>
    <t>Cidade do Pagador</t>
  </si>
  <si>
    <t>UF do Pagador</t>
  </si>
  <si>
    <t>Fone do Pagador</t>
  </si>
  <si>
    <t>Segmento do Pagador</t>
  </si>
  <si>
    <t>CNPJ Destinatario</t>
  </si>
  <si>
    <t>Cliente Destinatario</t>
  </si>
  <si>
    <t>Setor de Destino</t>
  </si>
  <si>
    <t>Praca de Destino</t>
  </si>
  <si>
    <t>Cidade do Destinatario</t>
  </si>
  <si>
    <t>UF do Destinatario</t>
  </si>
  <si>
    <t>CNPJ Recebedor</t>
  </si>
  <si>
    <t>Cliente Recebedor</t>
  </si>
  <si>
    <t>Cidade de Entrega</t>
  </si>
  <si>
    <t>UF de Entrega</t>
  </si>
  <si>
    <t>Unidade Receptora</t>
  </si>
  <si>
    <t>Numero da Nota Fiscal</t>
  </si>
  <si>
    <t>Peso Real em Kg</t>
  </si>
  <si>
    <t>Cubagem em m3</t>
  </si>
  <si>
    <t>Quantidade de Volumes</t>
  </si>
  <si>
    <t>Quantidade de Pares</t>
  </si>
  <si>
    <t>Tipo do Frete</t>
  </si>
  <si>
    <t>Tipo de Baixa</t>
  </si>
  <si>
    <t>Data da Liquidacao</t>
  </si>
  <si>
    <t>Valor Liquidado</t>
  </si>
  <si>
    <t>Mercadoria</t>
  </si>
  <si>
    <t>Especie</t>
  </si>
  <si>
    <t>Valor da Mercadoria</t>
  </si>
  <si>
    <t>Tipo de Calculo</t>
  </si>
  <si>
    <t>Tabela de Calculo</t>
  </si>
  <si>
    <t>Valor do Frete</t>
  </si>
  <si>
    <t>Valor do Frete sem ICMS</t>
  </si>
  <si>
    <t>Base Calculo ICMS/ISS</t>
  </si>
  <si>
    <t>Valor do ICMS</t>
  </si>
  <si>
    <t>Aliquota</t>
  </si>
  <si>
    <t>Valor do ISS</t>
  </si>
  <si>
    <t>Peso Calculado em Kg</t>
  </si>
  <si>
    <t>Frete Peso</t>
  </si>
  <si>
    <t>Frete Valor</t>
  </si>
  <si>
    <t>Despacho</t>
  </si>
  <si>
    <t>CAT</t>
  </si>
  <si>
    <t>ITR</t>
  </si>
  <si>
    <t>GRIS</t>
  </si>
  <si>
    <t>Pedagio</t>
  </si>
  <si>
    <t>TAS</t>
  </si>
  <si>
    <t>TDA</t>
  </si>
  <si>
    <t>Suframa</t>
  </si>
  <si>
    <t>Dev Canhoto NF</t>
  </si>
  <si>
    <t>Reembolso</t>
  </si>
  <si>
    <t>Outros</t>
  </si>
  <si>
    <t>Coleta</t>
  </si>
  <si>
    <t>TDC</t>
  </si>
  <si>
    <t>TDE</t>
  </si>
  <si>
    <t>TAR</t>
  </si>
  <si>
    <t>TRT</t>
  </si>
  <si>
    <t>POS</t>
  </si>
  <si>
    <t>Praca Comercial Origem</t>
  </si>
  <si>
    <t>Praca Comercial Destino</t>
  </si>
  <si>
    <t>Frete NTC</t>
  </si>
  <si>
    <t>Frete Entrega</t>
  </si>
  <si>
    <t>Separacao</t>
  </si>
  <si>
    <t>Capatazia</t>
  </si>
  <si>
    <t>Veiculo Dedicado</t>
  </si>
  <si>
    <t>Paletizacao</t>
  </si>
  <si>
    <t>CO2</t>
  </si>
  <si>
    <t>RDC</t>
  </si>
  <si>
    <t>CTRC Origem</t>
  </si>
  <si>
    <t>CTe Origem</t>
  </si>
  <si>
    <t>Valor do Frete do CTRC Origem</t>
  </si>
  <si>
    <t>TDC CTRC Origem</t>
  </si>
  <si>
    <t>TDE CTRC Origem</t>
  </si>
  <si>
    <t>TAR CTRC Origem</t>
  </si>
  <si>
    <t>TRT CTRC Origem</t>
  </si>
  <si>
    <t>TDA CTRC Origem</t>
  </si>
  <si>
    <t>Valor do ICMS origem</t>
  </si>
  <si>
    <t>Valor da Comissao de Expedicao</t>
  </si>
  <si>
    <t>Rel de Comissao de Expedicao</t>
  </si>
  <si>
    <t>Valor da Comissao Exp Creditada</t>
  </si>
  <si>
    <t>Fatura do Subcon Exp Conferida Opcao 607</t>
  </si>
  <si>
    <t>Valor da Comissao de Recepcao</t>
  </si>
  <si>
    <t>Rel de Comissao de Recepcao</t>
  </si>
  <si>
    <t>Valor da Comissao Rec Creditada</t>
  </si>
  <si>
    <t>Fatura do Subcon Rec Conferida Opcao 607</t>
  </si>
  <si>
    <t>Adicional de Frete</t>
  </si>
  <si>
    <t>ABC Pagador</t>
  </si>
  <si>
    <t>UF origem da prestacao</t>
  </si>
  <si>
    <t>Cidade origem da prestacao</t>
  </si>
  <si>
    <t>IE cliente remetente</t>
  </si>
  <si>
    <t>Fone Remetente</t>
  </si>
  <si>
    <t>Agendamento</t>
  </si>
  <si>
    <t>Unidade Responsavel Pagador</t>
  </si>
  <si>
    <t>Imposto Repassado</t>
  </si>
  <si>
    <t>JOI025273-5</t>
  </si>
  <si>
    <t>NORMAL</t>
  </si>
  <si>
    <t>JOIR</t>
  </si>
  <si>
    <t>JOI</t>
  </si>
  <si>
    <t>MMM1H28</t>
  </si>
  <si>
    <t>42260803098929000789570010000251101003655624 </t>
  </si>
  <si>
    <t>61105060000163 </t>
  </si>
  <si>
    <t>BRASCOLA LTDA -</t>
  </si>
  <si>
    <t>RUA DONA FRANCISCA 8300 BLOCO D</t>
  </si>
  <si>
    <t>ZONA INDUSTRIAL</t>
  </si>
  <si>
    <t>JOINVILLE</t>
  </si>
  <si>
    <t>SC</t>
  </si>
  <si>
    <t xml:space="preserve"> 89219-600</t>
  </si>
  <si>
    <t>(47  ) 32052727</t>
  </si>
  <si>
    <t xml:space="preserve">  </t>
  </si>
  <si>
    <t>18245738000184 </t>
  </si>
  <si>
    <t>CACIFE TINTAS LTDA</t>
  </si>
  <si>
    <t>4   ROTA POUSO ALEGRE</t>
  </si>
  <si>
    <t>DCCR</t>
  </si>
  <si>
    <t>POUSO ALEGRE</t>
  </si>
  <si>
    <t>MG</t>
  </si>
  <si>
    <t>DCC</t>
  </si>
  <si>
    <t>000330234</t>
  </si>
  <si>
    <t>CP</t>
  </si>
  <si>
    <t>LIQUIDADO</t>
  </si>
  <si>
    <t xml:space="preserve">  001-DIVERSOS</t>
  </si>
  <si>
    <t>COMBINADA</t>
  </si>
  <si>
    <t>CO3809046</t>
  </si>
  <si>
    <t>RSCP</t>
  </si>
  <si>
    <t>ALTP</t>
  </si>
  <si>
    <t>FATURA:    12310</t>
  </si>
  <si>
    <t>012310</t>
  </si>
  <si>
    <t>FATURA:      143</t>
  </si>
  <si>
    <t>000143</t>
  </si>
  <si>
    <t>A.</t>
  </si>
  <si>
    <t>JOI025274-3</t>
  </si>
  <si>
    <t>42260803098929000789570010000251111003655630 </t>
  </si>
  <si>
    <t>22429872000102 </t>
  </si>
  <si>
    <t>LUMINOSOS E TOLDOS ITAJUBA LTDA ME</t>
  </si>
  <si>
    <t>3   ROTA ITAJUBA</t>
  </si>
  <si>
    <t>ITAJUBA</t>
  </si>
  <si>
    <t>000330250</t>
  </si>
  <si>
    <t>CO3809036</t>
  </si>
  <si>
    <t>ALTR</t>
  </si>
  <si>
    <t>JOI025275-1</t>
  </si>
  <si>
    <t>42260803098929000789570010000251121003655645 </t>
  </si>
  <si>
    <t>27743915000143 </t>
  </si>
  <si>
    <t>ADILIA FERNANDA PINTO</t>
  </si>
  <si>
    <t>STJP</t>
  </si>
  <si>
    <t>PARACATU</t>
  </si>
  <si>
    <t>STJ</t>
  </si>
  <si>
    <t>000330273</t>
  </si>
  <si>
    <t>CO3809048</t>
  </si>
  <si>
    <t>PANI</t>
  </si>
  <si>
    <t>FATURA:    64592</t>
  </si>
  <si>
    <t>064592</t>
  </si>
  <si>
    <t>JOI025276-0</t>
  </si>
  <si>
    <t>42260803098929000789570010000251131003655650 </t>
  </si>
  <si>
    <t>17732396000164 </t>
  </si>
  <si>
    <t>DAVI ARRUDA DAS DORES ME</t>
  </si>
  <si>
    <t>010 RIBEIRAO DAS NEVES</t>
  </si>
  <si>
    <t>BHZP</t>
  </si>
  <si>
    <t>RIBEIRAO DAS NEVES</t>
  </si>
  <si>
    <t>BHZ</t>
  </si>
  <si>
    <t>000330178</t>
  </si>
  <si>
    <t>CO3809017</t>
  </si>
  <si>
    <t>MAPA: 161</t>
  </si>
  <si>
    <t>JOI025277-8</t>
  </si>
  <si>
    <t>42260803098929000789570010000251061003655575 </t>
  </si>
  <si>
    <t>21980768000149 </t>
  </si>
  <si>
    <t>AUTOLATAS ACESSORIOS LTDA EIRE</t>
  </si>
  <si>
    <t>001 SETE LAGOAS</t>
  </si>
  <si>
    <t>SETP</t>
  </si>
  <si>
    <t>SETE LAGOAS</t>
  </si>
  <si>
    <t>SET</t>
  </si>
  <si>
    <t>000330177</t>
  </si>
  <si>
    <t>CO3809016</t>
  </si>
  <si>
    <t>JOI025278-6</t>
  </si>
  <si>
    <t>42260803098929000789570010000251041003655538 </t>
  </si>
  <si>
    <t>64220981000165 </t>
  </si>
  <si>
    <t>MUNDIAL TINTAS E FERRAMENTAS LTDA</t>
  </si>
  <si>
    <t>12  ROTA CAMPOS GERAIS</t>
  </si>
  <si>
    <t>TRES PONTAS</t>
  </si>
  <si>
    <t>000330175</t>
  </si>
  <si>
    <t>CO3809037</t>
  </si>
  <si>
    <t>ALTI</t>
  </si>
  <si>
    <t>JOI025279-4</t>
  </si>
  <si>
    <t>42260803098929000789570010000251071003655599 </t>
  </si>
  <si>
    <t>26600777000180 </t>
  </si>
  <si>
    <t>PAULO ROBERTO REZENDE</t>
  </si>
  <si>
    <t>1   ROTA VARGINHA</t>
  </si>
  <si>
    <t>VARGINHA</t>
  </si>
  <si>
    <t>000330170</t>
  </si>
  <si>
    <t>JOI025280-8</t>
  </si>
  <si>
    <t>42260803098929000789570010000251051003655551 </t>
  </si>
  <si>
    <t>07695443000193 </t>
  </si>
  <si>
    <t>PRATA FERRO E ACO LTDA</t>
  </si>
  <si>
    <t>DDBP</t>
  </si>
  <si>
    <t>DIVINOPOLIS</t>
  </si>
  <si>
    <t>DDB</t>
  </si>
  <si>
    <t>000330186</t>
  </si>
  <si>
    <t>CO3809055</t>
  </si>
  <si>
    <t>RWNI</t>
  </si>
  <si>
    <t>MAPA: 0</t>
  </si>
  <si>
    <t>JOI025281-6</t>
  </si>
  <si>
    <t>42260803098929000789570010000251081003655600 </t>
  </si>
  <si>
    <t>06249968000132 </t>
  </si>
  <si>
    <t>WME INDUSTRIA E COMERCIO DE PERFILADOS LTDA</t>
  </si>
  <si>
    <t>GVRP</t>
  </si>
  <si>
    <t>TIMOTEO</t>
  </si>
  <si>
    <t>GVR</t>
  </si>
  <si>
    <t>000330185</t>
  </si>
  <si>
    <t>FATURA:    12223</t>
  </si>
  <si>
    <t>012223</t>
  </si>
  <si>
    <t>JOI025282-4</t>
  </si>
  <si>
    <t>42260803098929000789570010000251091003655615 </t>
  </si>
  <si>
    <t>05290889000102 </t>
  </si>
  <si>
    <t>CENTER TINTAS DE PARACATU LTDA - EPP</t>
  </si>
  <si>
    <t>000330223</t>
  </si>
  <si>
    <t>JOI025355-3</t>
  </si>
  <si>
    <t>42260803098929000789570010000251851003666481 </t>
  </si>
  <si>
    <t>08853127000165 </t>
  </si>
  <si>
    <t>BR FERRAGENS LTDA  ME</t>
  </si>
  <si>
    <t>GVRI</t>
  </si>
  <si>
    <t>RIO CASCA</t>
  </si>
  <si>
    <t>000330285</t>
  </si>
  <si>
    <t>CO3809041</t>
  </si>
  <si>
    <t>TAMI</t>
  </si>
  <si>
    <t>FATURA:    12378</t>
  </si>
  <si>
    <t>012378</t>
  </si>
  <si>
    <t>JOI025356-1</t>
  </si>
  <si>
    <t>42260803098929000789570010000251861003666497 </t>
  </si>
  <si>
    <t>16690770000143 </t>
  </si>
  <si>
    <t>POCOS ACABAMENTOS LTDA</t>
  </si>
  <si>
    <t>6   ROTA POCOS DE CALDAS</t>
  </si>
  <si>
    <t>POCOS DE CALDAS</t>
  </si>
  <si>
    <t>000330315</t>
  </si>
  <si>
    <t>JOI025357-0</t>
  </si>
  <si>
    <t>42260803098929000789570010000251871003666508 </t>
  </si>
  <si>
    <t>64382120000183 </t>
  </si>
  <si>
    <t>W01356-01- ANTONIO GILBERTO TEIXEIRA ALVES JUNIOR</t>
  </si>
  <si>
    <t>VEAI</t>
  </si>
  <si>
    <t>JANAUBA</t>
  </si>
  <si>
    <t>VEA</t>
  </si>
  <si>
    <t>000330246</t>
  </si>
  <si>
    <t>CO3809060</t>
  </si>
  <si>
    <t>JOI025358-8</t>
  </si>
  <si>
    <t>42260803098929000789570010000251881003666513 </t>
  </si>
  <si>
    <t>86502002000102 </t>
  </si>
  <si>
    <t>JUPEMAR AUTO PECAS LTDA</t>
  </si>
  <si>
    <t>EJMP</t>
  </si>
  <si>
    <t>JOAO MONLEVADE</t>
  </si>
  <si>
    <t>EJM</t>
  </si>
  <si>
    <t>000330237</t>
  </si>
  <si>
    <t>JOI025398-7</t>
  </si>
  <si>
    <t>42260803098929000789570010000252291003675045 </t>
  </si>
  <si>
    <t>10801726000187 </t>
  </si>
  <si>
    <t>AVILA DISTRIBUIDORA E COMERCIO</t>
  </si>
  <si>
    <t>9   ROTA ALFENAS</t>
  </si>
  <si>
    <t>DCCI</t>
  </si>
  <si>
    <t>ALFENAS</t>
  </si>
  <si>
    <t>000330385</t>
  </si>
  <si>
    <t>JOI025399-5</t>
  </si>
  <si>
    <t>42260803098929000789570010000252301003675054 </t>
  </si>
  <si>
    <t>57006983000433 </t>
  </si>
  <si>
    <t>FANIA COM E IND DE PECAS LTDA</t>
  </si>
  <si>
    <t>000330394</t>
  </si>
  <si>
    <t>JOI025400-2</t>
  </si>
  <si>
    <t>42260803098929000789570010000252311003675060 </t>
  </si>
  <si>
    <t>14011822000182 </t>
  </si>
  <si>
    <t>JM DE OLIVEIRA  TINTAS  ME</t>
  </si>
  <si>
    <t>TAMP</t>
  </si>
  <si>
    <t>JUIZ DE FORA</t>
  </si>
  <si>
    <t>TAM</t>
  </si>
  <si>
    <t>000330404</t>
  </si>
  <si>
    <t>FATURA:    21534</t>
  </si>
  <si>
    <t>021534</t>
  </si>
  <si>
    <t>JOI025401-1</t>
  </si>
  <si>
    <t>42260803098929000789570010000252281003675030 </t>
  </si>
  <si>
    <t>13921752000137 </t>
  </si>
  <si>
    <t>BOMDIPEL MATERIAIS DE CONSTRUCAO LTDA - ME</t>
  </si>
  <si>
    <t>POMPEU</t>
  </si>
  <si>
    <t>000330407</t>
  </si>
  <si>
    <t>JOI025402-9</t>
  </si>
  <si>
    <t>42260803098929000789570010000252321003675075 </t>
  </si>
  <si>
    <t>42858274000166 </t>
  </si>
  <si>
    <t>PAIOL AGROGURGEL COMERCIO DE FERRAGENS L</t>
  </si>
  <si>
    <t>10  ROTA CIRCUITO DAS AGUAS</t>
  </si>
  <si>
    <t>SAO LOURENCO</t>
  </si>
  <si>
    <t>000330443</t>
  </si>
  <si>
    <t>JOI025454-1</t>
  </si>
  <si>
    <t>42260803098929000789570010000252841003684062 </t>
  </si>
  <si>
    <t>30373444000133 </t>
  </si>
  <si>
    <t>GEANDERSON CESAR CAETANO ME</t>
  </si>
  <si>
    <t>ITABIRA</t>
  </si>
  <si>
    <t>000330493</t>
  </si>
  <si>
    <t>FATURA:    12323</t>
  </si>
  <si>
    <t>012323</t>
  </si>
  <si>
    <t>JOI025455-0</t>
  </si>
  <si>
    <t>42260803098929000789570010000252851003684078 </t>
  </si>
  <si>
    <t>09342854000120 </t>
  </si>
  <si>
    <t>CUNHA MATERIAL DE CONSTRUCAO LTDA ME</t>
  </si>
  <si>
    <t>GRFI</t>
  </si>
  <si>
    <t>DIVINOLANDIA DE MINAS</t>
  </si>
  <si>
    <t>GRF</t>
  </si>
  <si>
    <t>000330483</t>
  </si>
  <si>
    <t>CO3809063</t>
  </si>
  <si>
    <t>FATURA:   130688</t>
  </si>
  <si>
    <t>JOI025456-8</t>
  </si>
  <si>
    <t>42260803098929000789570010000252861003684083 </t>
  </si>
  <si>
    <t>03078191000100 </t>
  </si>
  <si>
    <t>COMERCIAL IRMAOS CIMINI LTDA</t>
  </si>
  <si>
    <t>GOVERNADOR VALADARES</t>
  </si>
  <si>
    <t>000330524</t>
  </si>
  <si>
    <t>JOI025497-5</t>
  </si>
  <si>
    <t>42260803098929000789570010000253231003692480 </t>
  </si>
  <si>
    <t>02275530000178 </t>
  </si>
  <si>
    <t>MINAS CHAPAS LTDA</t>
  </si>
  <si>
    <t>002 BELO HORIZONTE</t>
  </si>
  <si>
    <t>BELO HORIZONTE</t>
  </si>
  <si>
    <t>000330610</t>
  </si>
  <si>
    <t>JOI025498-3</t>
  </si>
  <si>
    <t>42260803098929000789570010000253241003692496 </t>
  </si>
  <si>
    <t>21765695000172 </t>
  </si>
  <si>
    <t>CHAPADACO FERRAGENS LTDA EPP</t>
  </si>
  <si>
    <t>STJI</t>
  </si>
  <si>
    <t>CHAPADA GAUCHA</t>
  </si>
  <si>
    <t>SAO FRANCISCO</t>
  </si>
  <si>
    <t>000330540</t>
  </si>
  <si>
    <t>CO3809052</t>
  </si>
  <si>
    <t>RMCP</t>
  </si>
  <si>
    <t>FATURA:    65166</t>
  </si>
  <si>
    <t>065166</t>
  </si>
  <si>
    <t>JOI025499-1</t>
  </si>
  <si>
    <t>42260803098929000789570010000253251003692507 </t>
  </si>
  <si>
    <t>04505326000121 </t>
  </si>
  <si>
    <t>COMERCIAL FERRONORTE COMERCIO INDUSTRIA E SERVICOS LTDA</t>
  </si>
  <si>
    <t>MONTES CLAROS</t>
  </si>
  <si>
    <t>000330541</t>
  </si>
  <si>
    <t>JOI025500-9</t>
  </si>
  <si>
    <t>42260803098929000789570010000253261003692512 </t>
  </si>
  <si>
    <t>01177077000102 </t>
  </si>
  <si>
    <t>LOJA PINHEIRO CONFECCOES E ARMARINHO LTDA</t>
  </si>
  <si>
    <t>GRFP</t>
  </si>
  <si>
    <t>TEOFILO OTONI</t>
  </si>
  <si>
    <t>000330547</t>
  </si>
  <si>
    <t>CO3809065</t>
  </si>
  <si>
    <t>LTOI</t>
  </si>
  <si>
    <t>JOI025501-7</t>
  </si>
  <si>
    <t>42260803098929000789570010000253271003692528 </t>
  </si>
  <si>
    <t>63792748000194 </t>
  </si>
  <si>
    <t>63.792.748 GABRIEL GUIMARAES DE MATOS</t>
  </si>
  <si>
    <t>LAGOA SANTA</t>
  </si>
  <si>
    <t>000330550</t>
  </si>
  <si>
    <t>JOI025502-5</t>
  </si>
  <si>
    <t>42260803098929000789570010000253281003692533 </t>
  </si>
  <si>
    <t>21513577000177 </t>
  </si>
  <si>
    <t>ELETRO BRAGA LTDA</t>
  </si>
  <si>
    <t>TAMR</t>
  </si>
  <si>
    <t>SAO JOAO DEL REI</t>
  </si>
  <si>
    <t>000330554</t>
  </si>
  <si>
    <t>CO3809042</t>
  </si>
  <si>
    <t>FATURA:    21744</t>
  </si>
  <si>
    <t>021744</t>
  </si>
  <si>
    <t>JOI025503-3</t>
  </si>
  <si>
    <t>42260803098929000789570010000253291003692549 </t>
  </si>
  <si>
    <t>55816370000193 </t>
  </si>
  <si>
    <t>NOVA ALVORADA MATERIAIS PARA CONSTRUCAO LTDA</t>
  </si>
  <si>
    <t>000330569</t>
  </si>
  <si>
    <t>JOI025504-1</t>
  </si>
  <si>
    <t>42260803098929000789570010000253301003692558 </t>
  </si>
  <si>
    <t>24178418000151 </t>
  </si>
  <si>
    <t>EZEQUIAS SELMIEL DE CARVALHO</t>
  </si>
  <si>
    <t>000330578</t>
  </si>
  <si>
    <t>JOI025505-0</t>
  </si>
  <si>
    <t>42260803098929000789570010000253311003692563 </t>
  </si>
  <si>
    <t>76639285004245 </t>
  </si>
  <si>
    <t>FERRAGENS NEGRAO COMERCIAL LTDA</t>
  </si>
  <si>
    <t>000330638</t>
  </si>
  <si>
    <t>JOI025557-2</t>
  </si>
  <si>
    <t>42260803098929000789570010000253831003699084 </t>
  </si>
  <si>
    <t>05244723000150 </t>
  </si>
  <si>
    <t>AILTON OLIVEIRA BORBOREMA</t>
  </si>
  <si>
    <t>000330671</t>
  </si>
  <si>
    <t>JOI025558-1</t>
  </si>
  <si>
    <t>42260803098929000789570010000253841003699090 </t>
  </si>
  <si>
    <t>04259137000116 </t>
  </si>
  <si>
    <t>FERROLAGOS COMERCIO DE ACO E D</t>
  </si>
  <si>
    <t>000330687</t>
  </si>
  <si>
    <t>JOI025559-9</t>
  </si>
  <si>
    <t>42260803098929000789570010000253851003699100 </t>
  </si>
  <si>
    <t>02235305000108 </t>
  </si>
  <si>
    <t>GLOBAL COMPANY INDUSTRIA LTDA</t>
  </si>
  <si>
    <t>5   ROTA EXTREMA</t>
  </si>
  <si>
    <t>EXTREMA</t>
  </si>
  <si>
    <t>000330688</t>
  </si>
  <si>
    <t>JOI025560-2</t>
  </si>
  <si>
    <t>42260803098929000789570010000253861003699116 </t>
  </si>
  <si>
    <t>06342548000104 </t>
  </si>
  <si>
    <t>PATOS PLASTICOS E TECIDOS LTDA ME</t>
  </si>
  <si>
    <t>TRUI</t>
  </si>
  <si>
    <t>PATOS DE MINAS</t>
  </si>
  <si>
    <t>TRU</t>
  </si>
  <si>
    <t>000330709</t>
  </si>
  <si>
    <t>FATURA:   232784</t>
  </si>
  <si>
    <t>JOI025563-7</t>
  </si>
  <si>
    <t>42260803098929000789570010000253891003699339 </t>
  </si>
  <si>
    <t>27945015000189 </t>
  </si>
  <si>
    <t>MINAS COUROS LTDA</t>
  </si>
  <si>
    <t>000330713</t>
  </si>
  <si>
    <t>MAPA: 162</t>
  </si>
  <si>
    <t>JOI025602-1</t>
  </si>
  <si>
    <t>42260803098929000789570010000254281003707196 </t>
  </si>
  <si>
    <t>43943637000124 </t>
  </si>
  <si>
    <t>FERNANDES E ANDRADE LTDA</t>
  </si>
  <si>
    <t>CONSELHEIRO PENA</t>
  </si>
  <si>
    <t>000330841</t>
  </si>
  <si>
    <t>FATURA:    12346</t>
  </si>
  <si>
    <t>012346</t>
  </si>
  <si>
    <t>JOI025603-0</t>
  </si>
  <si>
    <t>42260803098929000789570010000254291003707207 </t>
  </si>
  <si>
    <t>40193950000102 </t>
  </si>
  <si>
    <t>40.193.950 BRENO DE ARAUJO LIMA</t>
  </si>
  <si>
    <t>000330818</t>
  </si>
  <si>
    <t>JOI025645-5</t>
  </si>
  <si>
    <t>CORTESIA</t>
  </si>
  <si>
    <t>JOIP</t>
  </si>
  <si>
    <t>ARMAZEM</t>
  </si>
  <si>
    <t>42260803098929000789570010000254711003714711 </t>
  </si>
  <si>
    <t>55511582000162 </t>
  </si>
  <si>
    <t>CONSTRUFACIL LTDA</t>
  </si>
  <si>
    <t>DIVINO DAS LARANJEIRAS</t>
  </si>
  <si>
    <t>000329459</t>
  </si>
  <si>
    <t>INFORMADO</t>
  </si>
  <si>
    <t>JOI025657-9</t>
  </si>
  <si>
    <t>42260803098929000789570010000254831003717517 </t>
  </si>
  <si>
    <t>00543999000204 </t>
  </si>
  <si>
    <t>ALBINO DECORACOES EIRELI</t>
  </si>
  <si>
    <t>000330958</t>
  </si>
  <si>
    <t>FATURA:    12262</t>
  </si>
  <si>
    <t>012262</t>
  </si>
  <si>
    <t>JOI025738-9</t>
  </si>
  <si>
    <t>42260803098929000789570010000255661003730844 </t>
  </si>
  <si>
    <t>59541591000157 </t>
  </si>
  <si>
    <t>COMERCIAL BARBOSA E-COMMERCE LTDA</t>
  </si>
  <si>
    <t>000331060</t>
  </si>
  <si>
    <t>FATURA:      149</t>
  </si>
  <si>
    <t>000149</t>
  </si>
  <si>
    <t>JOI025739-7</t>
  </si>
  <si>
    <t>42260803098929000789570010000255671003730850 </t>
  </si>
  <si>
    <t>08678892000196 </t>
  </si>
  <si>
    <t>CONSTRUMAIA S/A</t>
  </si>
  <si>
    <t>000331042</t>
  </si>
  <si>
    <t>JOI025740-1</t>
  </si>
  <si>
    <t>42260803098929000789570010000255681003730865 </t>
  </si>
  <si>
    <t>02631261000135 </t>
  </si>
  <si>
    <t>MADEIREIRA SANTA LUZIA LTDA EPP</t>
  </si>
  <si>
    <t>000331000</t>
  </si>
  <si>
    <t>JOI025741-9</t>
  </si>
  <si>
    <t>42260803098929000789570010000255691003730870 </t>
  </si>
  <si>
    <t>32236320000131 </t>
  </si>
  <si>
    <t>NTC COOLING INDUSTRIAL EIRELI</t>
  </si>
  <si>
    <t>014 VESPASIANO</t>
  </si>
  <si>
    <t>VESPASIANO</t>
  </si>
  <si>
    <t>000331020</t>
  </si>
  <si>
    <t>JOI025864-4</t>
  </si>
  <si>
    <t>42260803098929000789570010000256891003747216 </t>
  </si>
  <si>
    <t>18309666000272 </t>
  </si>
  <si>
    <t>PAPI TEXTIL LTDA</t>
  </si>
  <si>
    <t>MIRAI</t>
  </si>
  <si>
    <t>000331196</t>
  </si>
  <si>
    <t>JOI025865-2</t>
  </si>
  <si>
    <t>42260803098929000789570010000256901003747225 </t>
  </si>
  <si>
    <t>03158506000111 </t>
  </si>
  <si>
    <t>CONSTRUMAC CONSTRUCAO E VAREJO LTDA EPP</t>
  </si>
  <si>
    <t>URUCUIA</t>
  </si>
  <si>
    <t>000331180</t>
  </si>
  <si>
    <t>FATURA:    64647</t>
  </si>
  <si>
    <t>064647</t>
  </si>
  <si>
    <t>JOI025866-1</t>
  </si>
  <si>
    <t>CARGA FECHADA</t>
  </si>
  <si>
    <t>42260803098929000789570010000256911003747230 </t>
  </si>
  <si>
    <t>23797376000174 </t>
  </si>
  <si>
    <t>BARTOFIL DISTRIBUIDORA SA</t>
  </si>
  <si>
    <t>FECI</t>
  </si>
  <si>
    <t>PONTE NOVA</t>
  </si>
  <si>
    <t>FEC</t>
  </si>
  <si>
    <t>000331080</t>
  </si>
  <si>
    <t>JOI025867-9</t>
  </si>
  <si>
    <t>42260803098929000789570010000256921003747246 </t>
  </si>
  <si>
    <t>28837625000121 </t>
  </si>
  <si>
    <t>LORRAYNE OLIVEIRA SILVA 11721084630</t>
  </si>
  <si>
    <t>SANTA VITORIA</t>
  </si>
  <si>
    <t>000331125</t>
  </si>
  <si>
    <t>FATURA:   233142</t>
  </si>
  <si>
    <t>JOI025868-7</t>
  </si>
  <si>
    <t>42260803098929000789570010000256931003747251 </t>
  </si>
  <si>
    <t>38705406000142 </t>
  </si>
  <si>
    <t>SIER MOVEIS LTDA</t>
  </si>
  <si>
    <t>UBA</t>
  </si>
  <si>
    <t>000331201</t>
  </si>
  <si>
    <t>JOI025935-7</t>
  </si>
  <si>
    <t>42260803098929000789570010000257601003754708 </t>
  </si>
  <si>
    <t>000331248</t>
  </si>
  <si>
    <t>JOI025936-5</t>
  </si>
  <si>
    <t>42260803098929000789570010000257611003754713 </t>
  </si>
  <si>
    <t>02870124000153 </t>
  </si>
  <si>
    <t>LENARGE TRANSPORTES E SERVICOS</t>
  </si>
  <si>
    <t>011 SABARA</t>
  </si>
  <si>
    <t>SABARA</t>
  </si>
  <si>
    <t>000331236</t>
  </si>
  <si>
    <t>JOI025937-3</t>
  </si>
  <si>
    <t>42260803098929000789570010000257621003754729 </t>
  </si>
  <si>
    <t>71431001000139 </t>
  </si>
  <si>
    <t>MAXIBOR CASA DA BORRACHA INDUSTRIA E COMERCIO LTDA</t>
  </si>
  <si>
    <t>013 SARZEDO</t>
  </si>
  <si>
    <t>SARZEDO</t>
  </si>
  <si>
    <t>000331259</t>
  </si>
  <si>
    <t>JOI025942-0</t>
  </si>
  <si>
    <t>42260803098929000789570010000257671003758941 </t>
  </si>
  <si>
    <t>39741171000107 </t>
  </si>
  <si>
    <t>BARBOSA E FILHOS MATERIAIS DE CONSTRUCAO LTDA</t>
  </si>
  <si>
    <t>000331325</t>
  </si>
  <si>
    <t>FATURA:      153</t>
  </si>
  <si>
    <t>000153</t>
  </si>
  <si>
    <t>JOI025943-8</t>
  </si>
  <si>
    <t>42260803098929000789570010000257681003758957 </t>
  </si>
  <si>
    <t>05568526000196 </t>
  </si>
  <si>
    <t>TELECIMENTO ALTERNATIVO LTDA</t>
  </si>
  <si>
    <t>000331348</t>
  </si>
  <si>
    <t>JOI025944-6</t>
  </si>
  <si>
    <t>42260803098929000789570010000257691003758962 </t>
  </si>
  <si>
    <t>65134223000197 </t>
  </si>
  <si>
    <t>KENNEDY CONSTRUCOES LTDA</t>
  </si>
  <si>
    <t>SAO VICENTE DE MINAS</t>
  </si>
  <si>
    <t>000331354</t>
  </si>
  <si>
    <t>JOI025945-4</t>
  </si>
  <si>
    <t>42260803098929000789570010000257701003758971 </t>
  </si>
  <si>
    <t>01168124000143 </t>
  </si>
  <si>
    <t>COSTA E PINHEIRO MATS PARA CONST LTDA</t>
  </si>
  <si>
    <t>BURITIS</t>
  </si>
  <si>
    <t>000331371</t>
  </si>
  <si>
    <t>JOI026049-5</t>
  </si>
  <si>
    <t>42260803098929000789570010000258731003773501 </t>
  </si>
  <si>
    <t>01074966000217 </t>
  </si>
  <si>
    <t>LIDERCON LTDA ME</t>
  </si>
  <si>
    <t>011 CURVELO</t>
  </si>
  <si>
    <t>FELIXLANDIA</t>
  </si>
  <si>
    <t>CURVELO</t>
  </si>
  <si>
    <t>000331432</t>
  </si>
  <si>
    <t>CO3809043</t>
  </si>
  <si>
    <t>TCWI</t>
  </si>
  <si>
    <t>FATURA:    65192</t>
  </si>
  <si>
    <t>065192</t>
  </si>
  <si>
    <t>JOI026050-9</t>
  </si>
  <si>
    <t>42260803098929000789570010000258741003773517 </t>
  </si>
  <si>
    <t>22207856000175 </t>
  </si>
  <si>
    <t>FERRAGENS FILGUEIRAS LTDA EPP</t>
  </si>
  <si>
    <t>BICAS</t>
  </si>
  <si>
    <t>000331422</t>
  </si>
  <si>
    <t>022026</t>
  </si>
  <si>
    <t>JOI026099-1</t>
  </si>
  <si>
    <t>42260803098929000789570010000259231003781079 </t>
  </si>
  <si>
    <t>03893311000115 </t>
  </si>
  <si>
    <t>CALCINFER MATERIAIS DE CONSTRUCAO LTDA</t>
  </si>
  <si>
    <t>000331497</t>
  </si>
  <si>
    <t>JOI026100-9</t>
  </si>
  <si>
    <t>42260803098929000789570010000259241003781084 </t>
  </si>
  <si>
    <t>51023567000114 </t>
  </si>
  <si>
    <t>CESARIO TINTAS E PECAS LTDA</t>
  </si>
  <si>
    <t>000331474</t>
  </si>
  <si>
    <t>JOI026101-7</t>
  </si>
  <si>
    <t>42260803098929000789570010000259251003781090 </t>
  </si>
  <si>
    <t>000331465</t>
  </si>
  <si>
    <t>JOI026104-1</t>
  </si>
  <si>
    <t>COMPLEMENTAR FRETE</t>
  </si>
  <si>
    <t>42260803098929000789570010000259281003784910 </t>
  </si>
  <si>
    <t>COMPLEMENTAR DE FRETE</t>
  </si>
  <si>
    <t>JOI026118-1</t>
  </si>
  <si>
    <t>42260803098929000789570010000259421003785630 </t>
  </si>
  <si>
    <t>65851796000131 </t>
  </si>
  <si>
    <t>65.851.796 CLARISSA DE QUEIROZ DRUMOND</t>
  </si>
  <si>
    <t>000331532</t>
  </si>
  <si>
    <t>MAPA: 163</t>
  </si>
  <si>
    <t>JOI026119-0</t>
  </si>
  <si>
    <t>42260803098929000789570010000259431003785646 </t>
  </si>
  <si>
    <t>18925438000146 </t>
  </si>
  <si>
    <t>PRADOLUX INDUSTRIA E COMERCIO</t>
  </si>
  <si>
    <t>000331549</t>
  </si>
  <si>
    <t>JOI026120-3</t>
  </si>
  <si>
    <t>42260803098929000789570010000259441003785651 </t>
  </si>
  <si>
    <t>000331552</t>
  </si>
  <si>
    <t>JOI026121-1</t>
  </si>
  <si>
    <t>42260803098929000789570010000259451003785667 </t>
  </si>
  <si>
    <t>07773599000145 </t>
  </si>
  <si>
    <t>AUTO PENA TINTAS E PECAS LTDA</t>
  </si>
  <si>
    <t>MANHUACU</t>
  </si>
  <si>
    <t>000331594</t>
  </si>
  <si>
    <t>JOI026122-0</t>
  </si>
  <si>
    <t>42260803098929000789570010000259461003785672 </t>
  </si>
  <si>
    <t>09287742000114 </t>
  </si>
  <si>
    <t>KALUEMA MATERIAIS DE CONSTRUCAO LTDA ME</t>
  </si>
  <si>
    <t>000331603</t>
  </si>
  <si>
    <t>JOI026123-8</t>
  </si>
  <si>
    <t>42260803098929000789570010000259471003785688 </t>
  </si>
  <si>
    <t>01001679000104 </t>
  </si>
  <si>
    <t>DI MATERIAIS DE CONTRUCAO LTDA</t>
  </si>
  <si>
    <t>TIROS</t>
  </si>
  <si>
    <t>000331617</t>
  </si>
  <si>
    <t>FATURA:   233909</t>
  </si>
  <si>
    <t>JOI026189-1</t>
  </si>
  <si>
    <t>42260803098929000789570010000260131003798329 </t>
  </si>
  <si>
    <t>000331714</t>
  </si>
  <si>
    <t>FATURA:      156</t>
  </si>
  <si>
    <t>000156</t>
  </si>
  <si>
    <t>JOI026190-4</t>
  </si>
  <si>
    <t>42260803098929000789570010000260141003798334 </t>
  </si>
  <si>
    <t>22661482000678 </t>
  </si>
  <si>
    <t>FREIOPECAS LTDA</t>
  </si>
  <si>
    <t>000331690</t>
  </si>
  <si>
    <t>JOI026235-8</t>
  </si>
  <si>
    <t>42260803098929000789570010000260591003805820 </t>
  </si>
  <si>
    <t>22661482000244 </t>
  </si>
  <si>
    <t>000331805</t>
  </si>
  <si>
    <t>JOI026236-6</t>
  </si>
  <si>
    <t>42260803098929000789570010000260601003805830 </t>
  </si>
  <si>
    <t>26223056000107 </t>
  </si>
  <si>
    <t>ART CALHAS MATERIAL DE CONSTRUCAO LTDA ME</t>
  </si>
  <si>
    <t>000331790</t>
  </si>
  <si>
    <t>JOI026237-4</t>
  </si>
  <si>
    <t>42260803098929000789570010000260611003805845 </t>
  </si>
  <si>
    <t>04322102000184 </t>
  </si>
  <si>
    <t>ELETROMARIO LTDA EPP</t>
  </si>
  <si>
    <t>000331780</t>
  </si>
  <si>
    <t>JOI026289-7</t>
  </si>
  <si>
    <t>42260803098929000789570010000261121003814934 </t>
  </si>
  <si>
    <t>44709242000124 </t>
  </si>
  <si>
    <t>WEIQUER DELCIO GUEDES 28070534672</t>
  </si>
  <si>
    <t>000331845</t>
  </si>
  <si>
    <t>FATURADO</t>
  </si>
  <si>
    <t>JOI026290-1</t>
  </si>
  <si>
    <t>42260803098929000789570010000261131003814940 </t>
  </si>
  <si>
    <t>17732545000195 </t>
  </si>
  <si>
    <t>AGROCP INDUSTRIA E COMERCIO DE</t>
  </si>
  <si>
    <t>000331838</t>
  </si>
  <si>
    <t>JOI026291-9</t>
  </si>
  <si>
    <t>42260803098929000789570010000261141003814955 </t>
  </si>
  <si>
    <t>23524952000100 </t>
  </si>
  <si>
    <t>SMURFIT KAPPA DO BRASIL INDUSTRIA DE EMBALAGENS S.A.</t>
  </si>
  <si>
    <t>PIRAPETINGA</t>
  </si>
  <si>
    <t>000331817</t>
  </si>
  <si>
    <t>sem fatura</t>
  </si>
  <si>
    <t>JOI026292-7</t>
  </si>
  <si>
    <t>42260803098929000789570010000261151003814960 </t>
  </si>
  <si>
    <t>33965363000110 </t>
  </si>
  <si>
    <t>LUIZ F PEREIRA E CIA LTDA</t>
  </si>
  <si>
    <t>000331855</t>
  </si>
  <si>
    <t>JOI026293-5</t>
  </si>
  <si>
    <t>42260803098929000789570010000261161003814976 </t>
  </si>
  <si>
    <t>38620670000183 </t>
  </si>
  <si>
    <t>H.R. AUTO PECAS LTDA - ME</t>
  </si>
  <si>
    <t>TRUR</t>
  </si>
  <si>
    <t>FRUTAL</t>
  </si>
  <si>
    <t>000331830</t>
  </si>
  <si>
    <t>JOI026294-3</t>
  </si>
  <si>
    <t>42260803098929000789570010000261171003814981 </t>
  </si>
  <si>
    <t>03170007000140 </t>
  </si>
  <si>
    <t>ORGANIZACAO FERRAZ DE ITAOBIM LTDA</t>
  </si>
  <si>
    <t>ITAOBIM</t>
  </si>
  <si>
    <t>000331910</t>
  </si>
  <si>
    <t>JOI026295-1</t>
  </si>
  <si>
    <t>42260803098929000789570010000261181003814997 </t>
  </si>
  <si>
    <t>51044848000153 </t>
  </si>
  <si>
    <t>MARVADO S CASA E CONSTRUCAO LTDA</t>
  </si>
  <si>
    <t>000331877</t>
  </si>
  <si>
    <t>JOI026296-0</t>
  </si>
  <si>
    <t>42260803098929000789570010000261191003815001 </t>
  </si>
  <si>
    <t>000331880</t>
  </si>
  <si>
    <r>
      <rPr>
        <b/>
        <sz val="11"/>
        <color theme="1"/>
        <rFont val="Calibri"/>
        <charset val="134"/>
        <scheme val="minor"/>
      </rPr>
      <t>Como fazer cálculo:</t>
    </r>
    <r>
      <rPr>
        <sz val="11"/>
        <color theme="1"/>
        <rFont val="Calibri"/>
        <charset val="134"/>
        <scheme val="minor"/>
      </rPr>
      <t xml:space="preserve"> Retirar relatório opção 200, informando o periodo mensal por unidade origem. Retirar os manifestos "Cancelados". Analisar por rota. Peso Calculo e R$ CTRB. Rota SET x BHZ e BHZ x SET calcular somente uma vez. Valor CTRB e Peso calculo. </t>
    </r>
  </si>
  <si>
    <t>Filial Distribuição</t>
  </si>
  <si>
    <t>SPO</t>
  </si>
  <si>
    <t>RJO</t>
  </si>
  <si>
    <t>CTB</t>
  </si>
  <si>
    <t>BNU/BSQ</t>
  </si>
  <si>
    <t>MESES</t>
  </si>
  <si>
    <t>ROTA</t>
  </si>
  <si>
    <t>SPO-BHZ</t>
  </si>
  <si>
    <t>SPO-RJO</t>
  </si>
  <si>
    <t>SPO-SET</t>
  </si>
  <si>
    <t>SPO-CTB</t>
  </si>
  <si>
    <t>BHZ-SPO</t>
  </si>
  <si>
    <t>BHZ-SET/SET-BHZ</t>
  </si>
  <si>
    <t>BHZ-RJO</t>
  </si>
  <si>
    <t>RJO-BHZ</t>
  </si>
  <si>
    <t>RJO-SPO</t>
  </si>
  <si>
    <t>SET-SPO</t>
  </si>
  <si>
    <t>CTB-SPO</t>
  </si>
  <si>
    <t>CTB-BHZ</t>
  </si>
  <si>
    <t>BNU/BSQ-SPO</t>
  </si>
  <si>
    <t>JAN</t>
  </si>
  <si>
    <t>PESO</t>
  </si>
  <si>
    <t>R$ CTRB</t>
  </si>
  <si>
    <t>R$ MÉDIO</t>
  </si>
  <si>
    <t>FEV</t>
  </si>
  <si>
    <t>MAR</t>
  </si>
  <si>
    <t>ABR</t>
  </si>
  <si>
    <t>MAI</t>
  </si>
  <si>
    <t>JUN</t>
  </si>
  <si>
    <t>JUL</t>
  </si>
  <si>
    <t>AGO</t>
  </si>
  <si>
    <t>OUT</t>
  </si>
  <si>
    <t>NOV</t>
  </si>
  <si>
    <t>DEZ</t>
  </si>
  <si>
    <t>RETIRA BH = EJM/ROP/SES/STJ</t>
  </si>
  <si>
    <t>RETIRA SL = DDB/SSO</t>
  </si>
  <si>
    <t>DATA EMISSÃO</t>
  </si>
  <si>
    <t>TIPO DE DOCUMENTO</t>
  </si>
  <si>
    <t>PLACA DE COLETA</t>
  </si>
  <si>
    <t>EMISSORA</t>
  </si>
  <si>
    <t>UF</t>
  </si>
  <si>
    <t>RECEPTORA</t>
  </si>
  <si>
    <t>CLIENTE PAGADOR</t>
  </si>
  <si>
    <t>NF</t>
  </si>
  <si>
    <t>R$ MERCADORIA</t>
  </si>
  <si>
    <t>VOLUMES</t>
  </si>
  <si>
    <t>% ICMS</t>
  </si>
  <si>
    <t>R$ COLETA</t>
  </si>
  <si>
    <t>CUSTO TRANSF 1</t>
  </si>
  <si>
    <t>CUSTO  TRANSF 2</t>
  </si>
  <si>
    <t>R$ DISTRIBUIÇÃO</t>
  </si>
  <si>
    <t>COMISSÃO UNIDADE</t>
  </si>
  <si>
    <t>R$ REDESPACHO</t>
  </si>
  <si>
    <t>PARCEIRO % / FRETE</t>
  </si>
  <si>
    <t>CUSTO OP.</t>
  </si>
  <si>
    <t>% / FRETE</t>
  </si>
  <si>
    <t>Seguro Acidente (0,010%) com iof</t>
  </si>
  <si>
    <t>Seguro Roubo (0,010%) com iof</t>
  </si>
  <si>
    <t>TOTAL CUSTOS OP.</t>
  </si>
  <si>
    <t>%FRETE</t>
  </si>
  <si>
    <t>INSS DESON</t>
  </si>
  <si>
    <t>PIS/COFINS/IRPJ/CSLL 5,2%</t>
  </si>
  <si>
    <t>TOTAL R$ TRIBUTOS</t>
  </si>
  <si>
    <t>CUSTO GERAL</t>
  </si>
  <si>
    <t>R$ LÍQUIDO</t>
  </si>
  <si>
    <t>RESULTADO</t>
  </si>
  <si>
    <t>CUSTO R$/KG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</si>
</sst>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yy;@"/>
    <numFmt numFmtId="181" formatCode="&quot;R$&quot;\ #,##0.00_);[Red]\(&quot;R$&quot;\ #,##0.00\)"/>
    <numFmt numFmtId="182" formatCode="_-* #,##0_-;\-* #,##0_-;_-* &quot;-&quot;??_-;_-@_-"/>
    <numFmt numFmtId="183" formatCode="_-&quot;R$ &quot;* #,##0.00_-;&quot;-R$ &quot;* #,##0.00_-;_-&quot;R$ &quot;* \-??_-;_-@_-"/>
    <numFmt numFmtId="184" formatCode="0.0%"/>
    <numFmt numFmtId="185" formatCode="&quot;R$ &quot;#,##0.00_);[Red]&quot;(R$ &quot;#,###.00\)"/>
    <numFmt numFmtId="186" formatCode="[$R$]#,##0"/>
    <numFmt numFmtId="187" formatCode="&quot;R$&quot;\ #,##0.00"/>
    <numFmt numFmtId="188" formatCode="0.00_);[Red]\(0.00\)"/>
    <numFmt numFmtId="189" formatCode="#,##0.00_ "/>
    <numFmt numFmtId="190" formatCode="#,##0.00\ ;&quot; (&quot;#,##0.00\);&quot; -&quot;#\ ;@\ "/>
    <numFmt numFmtId="191" formatCode="#,##0.0000\ ;&quot; (&quot;#,##0.0000\);&quot; -&quot;#.00\ ;@\ "/>
    <numFmt numFmtId="192" formatCode="0.00_ "/>
    <numFmt numFmtId="193" formatCode="&quot;R$&quot;\ #,##0.0000_);[Red]\(&quot;R$&quot;\ #,##0.0000\)"/>
  </numFmts>
  <fonts count="49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name val="Calibri"/>
      <charset val="134"/>
      <scheme val="minor"/>
    </font>
    <font>
      <b/>
      <sz val="9"/>
      <color theme="0"/>
      <name val="Calibri"/>
      <charset val="134"/>
    </font>
    <font>
      <b/>
      <sz val="9"/>
      <color theme="1"/>
      <name val="Calibri"/>
      <charset val="134"/>
    </font>
    <font>
      <b/>
      <sz val="9"/>
      <name val="Calibri"/>
      <charset val="134"/>
    </font>
    <font>
      <b/>
      <sz val="9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color indexed="8"/>
      <name val="Calibri"/>
      <charset val="0"/>
    </font>
    <font>
      <b/>
      <sz val="1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9"/>
      <color indexed="8"/>
      <name val="Calibri"/>
      <charset val="0"/>
    </font>
    <font>
      <sz val="10"/>
      <name val="Arial"/>
      <charset val="1"/>
    </font>
    <font>
      <sz val="10"/>
      <color rgb="FF000000"/>
      <name val="Arial"/>
      <charset val="1"/>
    </font>
    <font>
      <sz val="10"/>
      <color rgb="FF000000"/>
      <name val="Calibri"/>
      <charset val="134"/>
    </font>
    <font>
      <sz val="9"/>
      <color theme="1"/>
      <name val="Calibri"/>
      <charset val="134"/>
    </font>
    <font>
      <sz val="9"/>
      <color theme="0"/>
      <name val="Calibri"/>
      <charset val="134"/>
      <scheme val="minor"/>
    </font>
    <font>
      <b/>
      <sz val="10"/>
      <color theme="0"/>
      <name val="Tahoma"/>
      <charset val="134"/>
    </font>
    <font>
      <b/>
      <sz val="10"/>
      <name val="Tahoma"/>
      <charset val="134"/>
    </font>
    <font>
      <sz val="10"/>
      <name val="Tahoma"/>
      <charset val="134"/>
    </font>
    <font>
      <sz val="10"/>
      <color rgb="FFFF0000"/>
      <name val="Tahoma"/>
      <charset val="134"/>
    </font>
    <font>
      <sz val="10"/>
      <color theme="1"/>
      <name val="Tahoma"/>
      <charset val="134"/>
    </font>
    <font>
      <b/>
      <sz val="12"/>
      <color theme="1"/>
      <name val="Calibri"/>
      <charset val="134"/>
      <scheme val="minor"/>
    </font>
    <font>
      <b/>
      <sz val="12"/>
      <color rgb="FF00B050"/>
      <name val="Calibri"/>
      <charset val="134"/>
      <scheme val="minor"/>
    </font>
    <font>
      <b/>
      <sz val="10"/>
      <color rgb="FFFF0000"/>
      <name val="Tahoma"/>
      <charset val="134"/>
    </font>
    <font>
      <b/>
      <sz val="14"/>
      <color theme="0"/>
      <name val="Calibri"/>
      <charset val="134"/>
      <scheme val="minor"/>
    </font>
    <font>
      <sz val="8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333333"/>
      <name val="Calibri"/>
      <charset val="134"/>
    </font>
  </fonts>
  <fills count="68">
    <fill>
      <patternFill patternType="none"/>
    </fill>
    <fill>
      <patternFill patternType="gray125"/>
    </fill>
    <fill>
      <patternFill patternType="solid">
        <fgColor theme="2" tint="-0.5"/>
        <bgColor rgb="FF003300"/>
      </patternFill>
    </fill>
    <fill>
      <patternFill patternType="solid">
        <fgColor theme="2" tint="-0.5"/>
        <bgColor rgb="FF0066CC"/>
      </patternFill>
    </fill>
    <fill>
      <patternFill patternType="solid">
        <fgColor theme="2" tint="-0.5"/>
        <bgColor rgb="FFFFC000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E1"/>
        <bgColor rgb="FFFFC000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rgb="FF92D050"/>
        <bgColor rgb="FFFFC0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34"/>
      </patternFill>
    </fill>
    <fill>
      <patternFill patternType="solid">
        <fgColor rgb="FFFFFFCC"/>
        <bgColor indexed="26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26"/>
      </patternFill>
    </fill>
    <fill>
      <patternFill patternType="solid">
        <fgColor theme="8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"/>
      </left>
      <right/>
      <top/>
      <bottom/>
      <diagonal/>
    </border>
    <border>
      <left/>
      <right/>
      <top/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/>
      <top style="thin">
        <color theme="0" tint="-0.149998474074526"/>
      </top>
      <bottom style="thin">
        <color theme="0" tint="-0.149998474074526"/>
      </bottom>
      <diagonal/>
    </border>
    <border>
      <left/>
      <right/>
      <top style="thin">
        <color theme="0" tint="-0.149998474074526"/>
      </top>
      <bottom style="thin">
        <color theme="0" tint="-0.149998474074526"/>
      </bottom>
      <diagonal/>
    </border>
    <border>
      <left/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/>
      <bottom style="thin">
        <color theme="0" tint="-0.149998474074526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349986266670736"/>
      </left>
      <right style="medium">
        <color theme="0" tint="-0.349986266670736"/>
      </right>
      <top style="medium">
        <color theme="0" tint="-0.349986266670736"/>
      </top>
      <bottom style="medium">
        <color theme="0" tint="-0.349986266670736"/>
      </bottom>
      <diagonal/>
    </border>
    <border>
      <left style="hair">
        <color theme="2" tint="-0.249977111117893"/>
      </left>
      <right style="hair">
        <color theme="2" tint="-0.249977111117893"/>
      </right>
      <top style="hair">
        <color theme="2" tint="-0.249977111117893"/>
      </top>
      <bottom style="hair">
        <color theme="2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31" fillId="0" borderId="0" applyFont="0" applyFill="0" applyBorder="0" applyAlignment="0" applyProtection="0">
      <alignment vertical="center"/>
    </xf>
    <xf numFmtId="179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9" borderId="23" applyNumberFormat="0" applyFon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24" applyNumberFormat="0" applyFill="0" applyAlignment="0" applyProtection="0"/>
    <xf numFmtId="0" fontId="38" fillId="0" borderId="25" applyNumberFormat="0" applyFill="0" applyAlignment="0" applyProtection="0"/>
    <xf numFmtId="0" fontId="39" fillId="0" borderId="26" applyNumberFormat="0" applyFill="0" applyAlignment="0" applyProtection="0"/>
    <xf numFmtId="0" fontId="39" fillId="0" borderId="0" applyNumberFormat="0" applyFill="0" applyBorder="0" applyAlignment="0" applyProtection="0"/>
    <xf numFmtId="0" fontId="40" fillId="43" borderId="27" applyNumberFormat="0" applyAlignment="0" applyProtection="0"/>
    <xf numFmtId="0" fontId="41" fillId="44" borderId="28" applyNumberFormat="0" applyAlignment="0" applyProtection="0"/>
    <xf numFmtId="0" fontId="42" fillId="44" borderId="27" applyNumberFormat="0" applyAlignment="0" applyProtection="0"/>
    <xf numFmtId="0" fontId="10" fillId="45" borderId="29" applyNumberFormat="0" applyAlignment="0" applyProtection="0"/>
    <xf numFmtId="0" fontId="43" fillId="0" borderId="30" applyNumberFormat="0" applyFill="0" applyAlignment="0" applyProtection="0"/>
    <xf numFmtId="0" fontId="13" fillId="0" borderId="31" applyNumberFormat="0" applyFill="0" applyAlignment="0" applyProtection="0"/>
    <xf numFmtId="0" fontId="44" fillId="46" borderId="0" applyNumberFormat="0" applyBorder="0" applyAlignment="0" applyProtection="0"/>
    <xf numFmtId="0" fontId="45" fillId="47" borderId="0" applyNumberFormat="0" applyBorder="0" applyAlignment="0" applyProtection="0"/>
    <xf numFmtId="0" fontId="46" fillId="48" borderId="0" applyNumberFormat="0" applyBorder="0" applyAlignment="0" applyProtection="0"/>
    <xf numFmtId="0" fontId="47" fillId="49" borderId="0" applyNumberFormat="0" applyBorder="0" applyAlignment="0" applyProtection="0"/>
    <xf numFmtId="0" fontId="0" fillId="50" borderId="0" applyNumberFormat="0" applyBorder="0" applyAlignment="0" applyProtection="0"/>
    <xf numFmtId="0" fontId="0" fillId="25" borderId="0" applyNumberFormat="0" applyBorder="0" applyAlignment="0" applyProtection="0"/>
    <xf numFmtId="0" fontId="0" fillId="51" borderId="0" applyNumberFormat="0" applyBorder="0" applyAlignment="0" applyProtection="0"/>
    <xf numFmtId="0" fontId="47" fillId="52" borderId="0" applyNumberFormat="0" applyBorder="0" applyAlignment="0" applyProtection="0"/>
    <xf numFmtId="0" fontId="0" fillId="53" borderId="0" applyNumberFormat="0" applyBorder="0" applyAlignment="0" applyProtection="0"/>
    <xf numFmtId="0" fontId="0" fillId="23" borderId="0" applyNumberFormat="0" applyBorder="0" applyAlignment="0" applyProtection="0"/>
    <xf numFmtId="0" fontId="0" fillId="54" borderId="0" applyNumberFormat="0" applyBorder="0" applyAlignment="0" applyProtection="0"/>
    <xf numFmtId="0" fontId="47" fillId="55" borderId="0" applyNumberFormat="0" applyBorder="0" applyAlignment="0" applyProtection="0"/>
    <xf numFmtId="0" fontId="0" fillId="56" borderId="0" applyNumberFormat="0" applyBorder="0" applyAlignment="0" applyProtection="0"/>
    <xf numFmtId="0" fontId="0" fillId="57" borderId="0" applyNumberFormat="0" applyBorder="0" applyAlignment="0" applyProtection="0"/>
    <xf numFmtId="0" fontId="0" fillId="58" borderId="0" applyNumberFormat="0" applyBorder="0" applyAlignment="0" applyProtection="0"/>
    <xf numFmtId="0" fontId="47" fillId="59" borderId="0" applyNumberFormat="0" applyBorder="0" applyAlignment="0" applyProtection="0"/>
    <xf numFmtId="0" fontId="0" fillId="60" borderId="0" applyNumberFormat="0" applyBorder="0" applyAlignment="0" applyProtection="0"/>
    <xf numFmtId="0" fontId="0" fillId="33" borderId="0" applyNumberFormat="0" applyBorder="0" applyAlignment="0" applyProtection="0"/>
    <xf numFmtId="0" fontId="0" fillId="61" borderId="0" applyNumberFormat="0" applyBorder="0" applyAlignment="0" applyProtection="0"/>
    <xf numFmtId="0" fontId="47" fillId="62" borderId="0" applyNumberFormat="0" applyBorder="0" applyAlignment="0" applyProtection="0"/>
    <xf numFmtId="0" fontId="0" fillId="63" borderId="0" applyNumberFormat="0" applyBorder="0" applyAlignment="0" applyProtection="0"/>
    <xf numFmtId="0" fontId="0" fillId="38" borderId="0" applyNumberFormat="0" applyBorder="0" applyAlignment="0" applyProtection="0"/>
    <xf numFmtId="0" fontId="0" fillId="64" borderId="0" applyNumberFormat="0" applyBorder="0" applyAlignment="0" applyProtection="0"/>
    <xf numFmtId="0" fontId="47" fillId="65" borderId="0" applyNumberFormat="0" applyBorder="0" applyAlignment="0" applyProtection="0"/>
    <xf numFmtId="0" fontId="0" fillId="66" borderId="0" applyNumberFormat="0" applyBorder="0" applyAlignment="0" applyProtection="0"/>
    <xf numFmtId="0" fontId="0" fillId="26" borderId="0" applyNumberFormat="0" applyBorder="0" applyAlignment="0" applyProtection="0"/>
    <xf numFmtId="0" fontId="0" fillId="67" borderId="0" applyNumberFormat="0" applyBorder="0" applyAlignment="0" applyProtection="0"/>
    <xf numFmtId="0" fontId="48" fillId="0" borderId="0"/>
    <xf numFmtId="9" fontId="48" fillId="0" borderId="0"/>
  </cellStyleXfs>
  <cellXfs count="198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80" fontId="2" fillId="0" borderId="0" xfId="0" applyNumberFormat="1" applyFont="1" applyFill="1" applyAlignment="1">
      <alignment vertical="center"/>
    </xf>
    <xf numFmtId="180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181" fontId="5" fillId="0" borderId="0" xfId="2" applyNumberFormat="1" applyFont="1" applyFill="1" applyAlignment="1">
      <alignment vertical="center"/>
    </xf>
    <xf numFmtId="182" fontId="5" fillId="0" borderId="0" xfId="1" applyNumberFormat="1" applyFont="1" applyFill="1" applyAlignment="1">
      <alignment vertical="center"/>
    </xf>
    <xf numFmtId="176" fontId="5" fillId="0" borderId="0" xfId="1" applyFont="1" applyFill="1" applyAlignment="1">
      <alignment vertical="center"/>
    </xf>
    <xf numFmtId="177" fontId="5" fillId="0" borderId="0" xfId="2" applyFont="1" applyFill="1" applyAlignment="1">
      <alignment vertical="center"/>
    </xf>
    <xf numFmtId="10" fontId="5" fillId="0" borderId="0" xfId="3" applyNumberFormat="1" applyFont="1" applyFill="1" applyAlignment="1">
      <alignment vertical="center"/>
    </xf>
    <xf numFmtId="10" fontId="2" fillId="0" borderId="0" xfId="0" applyNumberFormat="1" applyFont="1" applyFill="1" applyAlignment="1">
      <alignment vertical="center"/>
    </xf>
    <xf numFmtId="180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81" fontId="6" fillId="2" borderId="1" xfId="2" applyNumberFormat="1" applyFont="1" applyFill="1" applyBorder="1" applyAlignment="1">
      <alignment horizontal="center" vertical="center" wrapText="1"/>
    </xf>
    <xf numFmtId="182" fontId="6" fillId="2" borderId="1" xfId="1" applyNumberFormat="1" applyFont="1" applyFill="1" applyBorder="1" applyAlignment="1">
      <alignment horizontal="center" vertical="center" wrapText="1"/>
    </xf>
    <xf numFmtId="176" fontId="6" fillId="2" borderId="1" xfId="1" applyFont="1" applyFill="1" applyBorder="1" applyAlignment="1">
      <alignment horizontal="center" vertical="center" wrapText="1"/>
    </xf>
    <xf numFmtId="177" fontId="6" fillId="2" borderId="1" xfId="2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83" fontId="6" fillId="3" borderId="1" xfId="2" applyNumberFormat="1" applyFont="1" applyFill="1" applyBorder="1" applyAlignment="1" applyProtection="1">
      <alignment horizontal="center" vertical="center" wrapText="1"/>
    </xf>
    <xf numFmtId="10" fontId="6" fillId="3" borderId="1" xfId="3" applyNumberFormat="1" applyFont="1" applyFill="1" applyBorder="1" applyAlignment="1" applyProtection="1">
      <alignment horizontal="center" vertical="center" wrapText="1"/>
    </xf>
    <xf numFmtId="183" fontId="6" fillId="2" borderId="1" xfId="2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vertical="center"/>
    </xf>
    <xf numFmtId="181" fontId="4" fillId="5" borderId="1" xfId="0" applyNumberFormat="1" applyFont="1" applyFill="1" applyBorder="1" applyAlignment="1">
      <alignment vertical="center"/>
    </xf>
    <xf numFmtId="182" fontId="4" fillId="5" borderId="1" xfId="1" applyNumberFormat="1" applyFont="1" applyFill="1" applyBorder="1" applyAlignment="1">
      <alignment vertical="center"/>
    </xf>
    <xf numFmtId="176" fontId="4" fillId="5" borderId="1" xfId="1" applyFont="1" applyFill="1" applyBorder="1" applyAlignment="1">
      <alignment vertical="center"/>
    </xf>
    <xf numFmtId="181" fontId="4" fillId="5" borderId="1" xfId="1" applyNumberFormat="1" applyFont="1" applyFill="1" applyBorder="1" applyAlignment="1">
      <alignment vertical="center"/>
    </xf>
    <xf numFmtId="10" fontId="4" fillId="5" borderId="1" xfId="3" applyNumberFormat="1" applyFont="1" applyFill="1" applyBorder="1" applyAlignment="1">
      <alignment vertical="center"/>
    </xf>
    <xf numFmtId="183" fontId="7" fillId="6" borderId="1" xfId="2" applyNumberFormat="1" applyFont="1" applyFill="1" applyBorder="1" applyAlignment="1" applyProtection="1"/>
    <xf numFmtId="183" fontId="8" fillId="7" borderId="1" xfId="2" applyNumberFormat="1" applyFont="1" applyFill="1" applyBorder="1" applyAlignment="1" applyProtection="1"/>
    <xf numFmtId="183" fontId="8" fillId="0" borderId="1" xfId="2" applyNumberFormat="1" applyFont="1" applyFill="1" applyBorder="1" applyAlignment="1" applyProtection="1"/>
    <xf numFmtId="183" fontId="7" fillId="8" borderId="1" xfId="2" applyNumberFormat="1" applyFont="1" applyFill="1" applyBorder="1" applyAlignment="1" applyProtection="1"/>
    <xf numFmtId="184" fontId="7" fillId="9" borderId="1" xfId="3" applyNumberFormat="1" applyFont="1" applyFill="1" applyBorder="1" applyAlignment="1" applyProtection="1"/>
    <xf numFmtId="183" fontId="7" fillId="7" borderId="1" xfId="2" applyNumberFormat="1" applyFont="1" applyFill="1" applyBorder="1" applyAlignment="1" applyProtection="1"/>
    <xf numFmtId="10" fontId="7" fillId="9" borderId="1" xfId="3" applyNumberFormat="1" applyFont="1" applyFill="1" applyBorder="1" applyAlignment="1" applyProtection="1"/>
    <xf numFmtId="183" fontId="7" fillId="10" borderId="1" xfId="2" applyNumberFormat="1" applyFont="1" applyFill="1" applyBorder="1" applyAlignment="1" applyProtection="1"/>
    <xf numFmtId="10" fontId="8" fillId="11" borderId="1" xfId="3" applyNumberFormat="1" applyFont="1" applyFill="1" applyBorder="1" applyAlignment="1" applyProtection="1"/>
    <xf numFmtId="183" fontId="6" fillId="12" borderId="1" xfId="2" applyNumberFormat="1" applyFont="1" applyFill="1" applyBorder="1" applyAlignment="1" applyProtection="1"/>
    <xf numFmtId="10" fontId="8" fillId="13" borderId="1" xfId="3" applyNumberFormat="1" applyFont="1" applyFill="1" applyBorder="1" applyAlignment="1" applyProtection="1"/>
    <xf numFmtId="10" fontId="8" fillId="14" borderId="1" xfId="3" applyNumberFormat="1" applyFont="1" applyFill="1" applyBorder="1" applyAlignment="1" applyProtection="1"/>
    <xf numFmtId="0" fontId="4" fillId="5" borderId="1" xfId="0" applyFont="1" applyFill="1" applyBorder="1" applyAlignment="1">
      <alignment vertical="center"/>
    </xf>
    <xf numFmtId="181" fontId="4" fillId="5" borderId="1" xfId="2" applyNumberFormat="1" applyFont="1" applyFill="1" applyBorder="1" applyAlignment="1">
      <alignment vertical="center"/>
    </xf>
    <xf numFmtId="177" fontId="4" fillId="5" borderId="1" xfId="2" applyFont="1" applyFill="1" applyBorder="1" applyAlignment="1">
      <alignment vertical="center"/>
    </xf>
    <xf numFmtId="183" fontId="8" fillId="15" borderId="1" xfId="2" applyNumberFormat="1" applyFont="1" applyFill="1" applyBorder="1" applyAlignment="1" applyProtection="1"/>
    <xf numFmtId="183" fontId="7" fillId="15" borderId="1" xfId="2" applyNumberFormat="1" applyFont="1" applyFill="1" applyBorder="1" applyAlignment="1" applyProtection="1"/>
    <xf numFmtId="183" fontId="8" fillId="16" borderId="1" xfId="2" applyNumberFormat="1" applyFont="1" applyFill="1" applyBorder="1" applyAlignment="1" applyProtection="1"/>
    <xf numFmtId="183" fontId="7" fillId="16" borderId="1" xfId="2" applyNumberFormat="1" applyFont="1" applyFill="1" applyBorder="1" applyAlignment="1" applyProtection="1"/>
    <xf numFmtId="183" fontId="8" fillId="17" borderId="1" xfId="2" applyNumberFormat="1" applyFont="1" applyFill="1" applyBorder="1" applyAlignment="1" applyProtection="1"/>
    <xf numFmtId="183" fontId="7" fillId="17" borderId="1" xfId="2" applyNumberFormat="1" applyFont="1" applyFill="1" applyBorder="1" applyAlignment="1" applyProtection="1"/>
    <xf numFmtId="177" fontId="9" fillId="18" borderId="1" xfId="2" applyFont="1" applyFill="1" applyBorder="1" applyAlignment="1">
      <alignment vertical="center"/>
    </xf>
    <xf numFmtId="176" fontId="9" fillId="18" borderId="1" xfId="1" applyFont="1" applyFill="1" applyBorder="1" applyAlignment="1">
      <alignment vertical="center"/>
    </xf>
    <xf numFmtId="181" fontId="9" fillId="18" borderId="1" xfId="1" applyNumberFormat="1" applyFont="1" applyFill="1" applyBorder="1" applyAlignment="1">
      <alignment vertical="center"/>
    </xf>
    <xf numFmtId="10" fontId="6" fillId="19" borderId="1" xfId="3" applyNumberFormat="1" applyFont="1" applyFill="1" applyBorder="1" applyAlignment="1" applyProtection="1"/>
    <xf numFmtId="183" fontId="6" fillId="18" borderId="1" xfId="2" applyNumberFormat="1" applyFont="1" applyFill="1" applyBorder="1" applyAlignment="1" applyProtection="1"/>
    <xf numFmtId="10" fontId="2" fillId="0" borderId="0" xfId="3" applyNumberFormat="1" applyFont="1" applyFill="1" applyAlignment="1">
      <alignment vertical="center"/>
    </xf>
    <xf numFmtId="181" fontId="5" fillId="0" borderId="0" xfId="0" applyNumberFormat="1" applyFont="1" applyFill="1" applyAlignment="1">
      <alignment vertical="center"/>
    </xf>
    <xf numFmtId="180" fontId="5" fillId="0" borderId="0" xfId="0" applyNumberFormat="1" applyFont="1" applyFill="1" applyAlignment="1">
      <alignment vertical="center"/>
    </xf>
    <xf numFmtId="180" fontId="3" fillId="0" borderId="0" xfId="0" applyNumberFormat="1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10" fillId="20" borderId="2" xfId="0" applyFont="1" applyFill="1" applyBorder="1" applyAlignment="1">
      <alignment horizontal="center" vertical="center"/>
    </xf>
    <xf numFmtId="0" fontId="10" fillId="2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2" fillId="21" borderId="3" xfId="0" applyFont="1" applyFill="1" applyBorder="1" applyAlignment="1">
      <alignment horizontal="center" vertical="center"/>
    </xf>
    <xf numFmtId="0" fontId="12" fillId="22" borderId="3" xfId="0" applyFont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center" vertical="center"/>
    </xf>
    <xf numFmtId="0" fontId="10" fillId="20" borderId="4" xfId="0" applyFont="1" applyFill="1" applyBorder="1" applyAlignment="1">
      <alignment horizontal="center" vertical="center"/>
    </xf>
    <xf numFmtId="0" fontId="14" fillId="21" borderId="4" xfId="0" applyFont="1" applyFill="1" applyBorder="1" applyAlignment="1">
      <alignment horizontal="center"/>
    </xf>
    <xf numFmtId="0" fontId="14" fillId="22" borderId="5" xfId="0" applyFont="1" applyFill="1" applyBorder="1" applyAlignment="1">
      <alignment horizontal="center"/>
    </xf>
    <xf numFmtId="0" fontId="14" fillId="22" borderId="6" xfId="0" applyFont="1" applyFill="1" applyBorder="1" applyAlignment="1">
      <alignment horizontal="center"/>
    </xf>
    <xf numFmtId="0" fontId="14" fillId="22" borderId="7" xfId="0" applyFont="1" applyFill="1" applyBorder="1" applyAlignment="1">
      <alignment horizontal="center"/>
    </xf>
    <xf numFmtId="0" fontId="14" fillId="22" borderId="4" xfId="0" applyFont="1" applyFill="1" applyBorder="1" applyAlignment="1">
      <alignment horizontal="center"/>
    </xf>
    <xf numFmtId="0" fontId="14" fillId="24" borderId="4" xfId="0" applyFont="1" applyFill="1" applyBorder="1" applyAlignment="1">
      <alignment horizontal="center"/>
    </xf>
    <xf numFmtId="0" fontId="13" fillId="0" borderId="1" xfId="0" applyFont="1" applyBorder="1" applyAlignment="1">
      <alignment vertical="center"/>
    </xf>
    <xf numFmtId="181" fontId="0" fillId="0" borderId="1" xfId="0" applyNumberFormat="1" applyBorder="1"/>
    <xf numFmtId="0" fontId="13" fillId="0" borderId="0" xfId="0" applyFont="1"/>
    <xf numFmtId="0" fontId="13" fillId="23" borderId="4" xfId="0" applyFont="1" applyFill="1" applyBorder="1" applyAlignment="1">
      <alignment horizontal="center" vertical="center"/>
    </xf>
    <xf numFmtId="0" fontId="13" fillId="25" borderId="4" xfId="0" applyFont="1" applyFill="1" applyBorder="1" applyAlignment="1">
      <alignment horizontal="center" vertical="center"/>
    </xf>
    <xf numFmtId="0" fontId="13" fillId="26" borderId="4" xfId="0" applyFont="1" applyFill="1" applyBorder="1" applyAlignment="1">
      <alignment horizontal="center" vertical="center"/>
    </xf>
    <xf numFmtId="0" fontId="13" fillId="27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3" fontId="0" fillId="0" borderId="4" xfId="0" applyNumberFormat="1" applyBorder="1" applyAlignment="1">
      <alignment horizontal="left" vertical="center"/>
    </xf>
    <xf numFmtId="177" fontId="0" fillId="0" borderId="4" xfId="2" applyFont="1" applyBorder="1" applyAlignment="1">
      <alignment horizontal="left" vertical="center"/>
    </xf>
    <xf numFmtId="177" fontId="0" fillId="9" borderId="4" xfId="2" applyFont="1" applyFill="1" applyBorder="1" applyAlignment="1">
      <alignment horizontal="left" vertical="center"/>
    </xf>
    <xf numFmtId="0" fontId="0" fillId="0" borderId="1" xfId="0" applyBorder="1"/>
    <xf numFmtId="177" fontId="0" fillId="9" borderId="1" xfId="2" applyFont="1" applyFill="1" applyBorder="1" applyAlignment="1">
      <alignment horizontal="left" vertical="center"/>
    </xf>
    <xf numFmtId="0" fontId="15" fillId="0" borderId="0" xfId="0" applyFont="1" applyFill="1" applyBorder="1" applyAlignment="1">
      <alignment vertical="center"/>
    </xf>
    <xf numFmtId="9" fontId="0" fillId="0" borderId="0" xfId="0" applyNumberFormat="1"/>
    <xf numFmtId="3" fontId="0" fillId="0" borderId="0" xfId="0" applyNumberFormat="1"/>
    <xf numFmtId="177" fontId="0" fillId="0" borderId="0" xfId="0" applyNumberFormat="1"/>
    <xf numFmtId="185" fontId="16" fillId="0" borderId="0" xfId="2" applyNumberFormat="1" applyFont="1" applyFill="1" applyBorder="1" applyAlignment="1" applyProtection="1">
      <alignment horizontal="left" vertical="center"/>
    </xf>
    <xf numFmtId="49" fontId="17" fillId="0" borderId="0" xfId="0" applyNumberFormat="1" applyFont="1" applyFill="1" applyAlignment="1" applyProtection="1">
      <alignment horizontal="left" vertical="center"/>
    </xf>
    <xf numFmtId="0" fontId="18" fillId="0" borderId="0" xfId="0" applyFont="1" applyAlignment="1">
      <alignment horizontal="center"/>
    </xf>
    <xf numFmtId="186" fontId="18" fillId="0" borderId="0" xfId="0" applyNumberFormat="1" applyFont="1" applyAlignment="1">
      <alignment horizontal="center"/>
    </xf>
    <xf numFmtId="0" fontId="13" fillId="23" borderId="8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181" fontId="0" fillId="0" borderId="0" xfId="0" applyNumberFormat="1"/>
    <xf numFmtId="181" fontId="0" fillId="0" borderId="0" xfId="1" applyNumberFormat="1" applyAlignment="1">
      <alignment horizontal="center"/>
    </xf>
    <xf numFmtId="0" fontId="1" fillId="0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58" fontId="2" fillId="0" borderId="0" xfId="0" applyNumberFormat="1" applyFont="1" applyFill="1" applyAlignment="1">
      <alignment vertical="center"/>
    </xf>
    <xf numFmtId="58" fontId="19" fillId="0" borderId="0" xfId="0" applyNumberFormat="1" applyFont="1" applyFill="1" applyAlignment="1">
      <alignment vertical="center"/>
    </xf>
    <xf numFmtId="0" fontId="2" fillId="0" borderId="0" xfId="0" applyFont="1"/>
    <xf numFmtId="0" fontId="0" fillId="28" borderId="0" xfId="0" applyFill="1"/>
    <xf numFmtId="0" fontId="20" fillId="29" borderId="1" xfId="0" applyFont="1" applyFill="1" applyBorder="1"/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/>
    </xf>
    <xf numFmtId="177" fontId="20" fillId="29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19" fillId="0" borderId="9" xfId="0" applyFont="1" applyBorder="1"/>
    <xf numFmtId="177" fontId="19" fillId="0" borderId="9" xfId="0" applyNumberFormat="1" applyFont="1" applyBorder="1"/>
    <xf numFmtId="176" fontId="19" fillId="0" borderId="9" xfId="0" applyNumberFormat="1" applyFont="1" applyBorder="1"/>
    <xf numFmtId="0" fontId="19" fillId="0" borderId="0" xfId="0" applyFont="1"/>
    <xf numFmtId="0" fontId="3" fillId="0" borderId="1" xfId="0" applyFont="1" applyBorder="1" applyAlignment="1">
      <alignment horizontal="left"/>
    </xf>
    <xf numFmtId="0" fontId="3" fillId="0" borderId="10" xfId="0" applyNumberFormat="1" applyFont="1" applyBorder="1" applyAlignment="1">
      <alignment horizontal="center" vertical="center"/>
    </xf>
    <xf numFmtId="187" fontId="3" fillId="0" borderId="10" xfId="0" applyNumberFormat="1" applyFont="1" applyBorder="1" applyAlignment="1">
      <alignment horizontal="center" vertical="center"/>
    </xf>
    <xf numFmtId="188" fontId="3" fillId="0" borderId="10" xfId="2" applyNumberFormat="1" applyFont="1" applyBorder="1" applyAlignment="1">
      <alignment horizontal="center" vertical="center"/>
    </xf>
    <xf numFmtId="177" fontId="7" fillId="0" borderId="10" xfId="2" applyFont="1" applyBorder="1" applyAlignment="1">
      <alignment horizontal="center"/>
    </xf>
    <xf numFmtId="0" fontId="13" fillId="30" borderId="11" xfId="0" applyFont="1" applyFill="1" applyBorder="1" applyAlignment="1">
      <alignment horizontal="center"/>
    </xf>
    <xf numFmtId="0" fontId="21" fillId="21" borderId="12" xfId="0" applyFont="1" applyFill="1" applyBorder="1" applyAlignment="1">
      <alignment horizontal="center"/>
    </xf>
    <xf numFmtId="189" fontId="22" fillId="31" borderId="12" xfId="2" applyNumberFormat="1" applyFont="1" applyFill="1" applyBorder="1" applyAlignment="1" applyProtection="1"/>
    <xf numFmtId="0" fontId="23" fillId="0" borderId="0" xfId="0" applyFont="1"/>
    <xf numFmtId="0" fontId="23" fillId="0" borderId="12" xfId="0" applyFont="1" applyBorder="1"/>
    <xf numFmtId="177" fontId="22" fillId="31" borderId="12" xfId="2" applyFont="1" applyFill="1" applyBorder="1" applyAlignment="1" applyProtection="1"/>
    <xf numFmtId="190" fontId="22" fillId="31" borderId="12" xfId="1" applyNumberFormat="1" applyFont="1" applyFill="1" applyBorder="1" applyAlignment="1" applyProtection="1"/>
    <xf numFmtId="190" fontId="0" fillId="0" borderId="0" xfId="0" applyNumberFormat="1"/>
    <xf numFmtId="177" fontId="23" fillId="32" borderId="12" xfId="2" applyFont="1" applyFill="1" applyBorder="1" applyAlignment="1" applyProtection="1"/>
    <xf numFmtId="191" fontId="23" fillId="33" borderId="12" xfId="1" applyNumberFormat="1" applyFont="1" applyFill="1" applyBorder="1" applyAlignment="1" applyProtection="1"/>
    <xf numFmtId="190" fontId="23" fillId="34" borderId="12" xfId="1" applyNumberFormat="1" applyFont="1" applyFill="1" applyBorder="1" applyAlignment="1" applyProtection="1"/>
    <xf numFmtId="192" fontId="0" fillId="15" borderId="0" xfId="0" applyNumberFormat="1" applyFill="1"/>
    <xf numFmtId="0" fontId="0" fillId="15" borderId="0" xfId="0" applyFill="1"/>
    <xf numFmtId="0" fontId="23" fillId="0" borderId="12" xfId="0" applyFont="1" applyBorder="1" applyAlignment="1">
      <alignment horizontal="center"/>
    </xf>
    <xf numFmtId="0" fontId="0" fillId="0" borderId="0" xfId="0" applyFill="1"/>
    <xf numFmtId="0" fontId="21" fillId="35" borderId="12" xfId="0" applyFont="1" applyFill="1" applyBorder="1"/>
    <xf numFmtId="190" fontId="21" fillId="35" borderId="12" xfId="0" applyNumberFormat="1" applyFont="1" applyFill="1" applyBorder="1"/>
    <xf numFmtId="9" fontId="24" fillId="0" borderId="12" xfId="3" applyNumberFormat="1" applyFont="1" applyFill="1" applyBorder="1" applyAlignment="1" applyProtection="1">
      <alignment horizontal="center"/>
    </xf>
    <xf numFmtId="190" fontId="23" fillId="0" borderId="12" xfId="1" applyNumberFormat="1" applyFont="1" applyFill="1" applyBorder="1" applyAlignment="1" applyProtection="1"/>
    <xf numFmtId="0" fontId="25" fillId="0" borderId="13" xfId="0" applyFont="1" applyBorder="1"/>
    <xf numFmtId="190" fontId="23" fillId="36" borderId="12" xfId="1" applyNumberFormat="1" applyFont="1" applyFill="1" applyBorder="1" applyAlignment="1" applyProtection="1"/>
    <xf numFmtId="190" fontId="23" fillId="32" borderId="12" xfId="1" applyNumberFormat="1" applyFont="1" applyFill="1" applyBorder="1" applyAlignment="1" applyProtection="1"/>
    <xf numFmtId="0" fontId="21" fillId="21" borderId="13" xfId="0" applyFont="1" applyFill="1" applyBorder="1" applyAlignment="1">
      <alignment horizontal="center"/>
    </xf>
    <xf numFmtId="10" fontId="21" fillId="35" borderId="12" xfId="3" applyNumberFormat="1" applyFont="1" applyFill="1" applyBorder="1"/>
    <xf numFmtId="0" fontId="22" fillId="0" borderId="12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14" xfId="0" applyFont="1" applyBorder="1"/>
    <xf numFmtId="0" fontId="23" fillId="0" borderId="1" xfId="0" applyFont="1" applyBorder="1"/>
    <xf numFmtId="190" fontId="23" fillId="34" borderId="15" xfId="1" applyNumberFormat="1" applyFont="1" applyFill="1" applyBorder="1" applyAlignment="1" applyProtection="1"/>
    <xf numFmtId="0" fontId="23" fillId="30" borderId="0" xfId="0" applyFont="1" applyFill="1" applyBorder="1"/>
    <xf numFmtId="190" fontId="23" fillId="30" borderId="0" xfId="1" applyNumberFormat="1" applyFont="1" applyFill="1" applyBorder="1" applyAlignment="1" applyProtection="1"/>
    <xf numFmtId="10" fontId="24" fillId="0" borderId="0" xfId="3" applyNumberFormat="1" applyFont="1" applyFill="1" applyBorder="1" applyAlignment="1" applyProtection="1"/>
    <xf numFmtId="0" fontId="23" fillId="7" borderId="16" xfId="0" applyFont="1" applyFill="1" applyBorder="1"/>
    <xf numFmtId="0" fontId="23" fillId="7" borderId="17" xfId="0" applyFont="1" applyFill="1" applyBorder="1"/>
    <xf numFmtId="190" fontId="23" fillId="7" borderId="12" xfId="1" applyNumberFormat="1" applyFont="1" applyFill="1" applyBorder="1" applyAlignment="1" applyProtection="1"/>
    <xf numFmtId="10" fontId="23" fillId="37" borderId="12" xfId="3" applyNumberFormat="1" applyFont="1" applyFill="1" applyBorder="1" applyAlignment="1" applyProtection="1"/>
    <xf numFmtId="190" fontId="23" fillId="0" borderId="12" xfId="0" applyNumberFormat="1" applyFont="1" applyBorder="1"/>
    <xf numFmtId="193" fontId="23" fillId="36" borderId="18" xfId="3" applyNumberFormat="1" applyFont="1" applyFill="1" applyBorder="1" applyAlignment="1" applyProtection="1"/>
    <xf numFmtId="190" fontId="23" fillId="32" borderId="19" xfId="1" applyNumberFormat="1" applyFont="1" applyFill="1" applyBorder="1" applyAlignment="1" applyProtection="1"/>
    <xf numFmtId="10" fontId="23" fillId="0" borderId="1" xfId="3" applyNumberFormat="1" applyFont="1" applyBorder="1"/>
    <xf numFmtId="10" fontId="0" fillId="0" borderId="0" xfId="0" applyNumberFormat="1"/>
    <xf numFmtId="0" fontId="23" fillId="0" borderId="0" xfId="0" applyFont="1" applyFill="1"/>
    <xf numFmtId="0" fontId="23" fillId="7" borderId="12" xfId="0" applyFont="1" applyFill="1" applyBorder="1"/>
    <xf numFmtId="10" fontId="23" fillId="7" borderId="12" xfId="3" applyNumberFormat="1" applyFont="1" applyFill="1" applyBorder="1" applyAlignment="1" applyProtection="1"/>
    <xf numFmtId="190" fontId="23" fillId="7" borderId="12" xfId="0" applyNumberFormat="1" applyFont="1" applyFill="1" applyBorder="1"/>
    <xf numFmtId="193" fontId="0" fillId="36" borderId="12" xfId="3" applyNumberFormat="1" applyFill="1" applyBorder="1"/>
    <xf numFmtId="0" fontId="23" fillId="0" borderId="15" xfId="0" applyFont="1" applyBorder="1"/>
    <xf numFmtId="0" fontId="22" fillId="38" borderId="12" xfId="0" applyFont="1" applyFill="1" applyBorder="1"/>
    <xf numFmtId="190" fontId="22" fillId="38" borderId="12" xfId="0" applyNumberFormat="1" applyFont="1" applyFill="1" applyBorder="1"/>
    <xf numFmtId="10" fontId="23" fillId="28" borderId="0" xfId="0" applyNumberFormat="1" applyFont="1" applyFill="1"/>
    <xf numFmtId="10" fontId="23" fillId="0" borderId="12" xfId="3" applyNumberFormat="1" applyFont="1" applyFill="1" applyBorder="1" applyAlignment="1" applyProtection="1">
      <alignment horizontal="center" vertical="center" wrapText="1"/>
    </xf>
    <xf numFmtId="190" fontId="23" fillId="0" borderId="12" xfId="0" applyNumberFormat="1" applyFont="1" applyBorder="1" applyAlignment="1">
      <alignment horizontal="center" vertical="center" wrapText="1"/>
    </xf>
    <xf numFmtId="190" fontId="23" fillId="39" borderId="12" xfId="1" applyNumberFormat="1" applyFont="1" applyFill="1" applyBorder="1" applyAlignment="1" applyProtection="1"/>
    <xf numFmtId="0" fontId="22" fillId="0" borderId="12" xfId="0" applyFont="1" applyBorder="1"/>
    <xf numFmtId="190" fontId="22" fillId="39" borderId="12" xfId="0" applyNumberFormat="1" applyFont="1" applyFill="1" applyBorder="1"/>
    <xf numFmtId="0" fontId="22" fillId="38" borderId="13" xfId="0" applyFont="1" applyFill="1" applyBorder="1"/>
    <xf numFmtId="190" fontId="22" fillId="38" borderId="13" xfId="0" applyNumberFormat="1" applyFont="1" applyFill="1" applyBorder="1"/>
    <xf numFmtId="0" fontId="21" fillId="21" borderId="19" xfId="0" applyFont="1" applyFill="1" applyBorder="1" applyAlignment="1">
      <alignment horizontal="center"/>
    </xf>
    <xf numFmtId="0" fontId="21" fillId="21" borderId="20" xfId="0" applyFont="1" applyFill="1" applyBorder="1" applyAlignment="1">
      <alignment horizontal="center"/>
    </xf>
    <xf numFmtId="0" fontId="21" fillId="21" borderId="15" xfId="0" applyFont="1" applyFill="1" applyBorder="1" applyAlignment="1">
      <alignment horizontal="center"/>
    </xf>
    <xf numFmtId="0" fontId="26" fillId="0" borderId="21" xfId="0" applyFont="1" applyBorder="1" applyAlignment="1">
      <alignment horizontal="center"/>
    </xf>
    <xf numFmtId="10" fontId="27" fillId="39" borderId="21" xfId="3" applyNumberFormat="1" applyFont="1" applyFill="1" applyBorder="1" applyAlignment="1">
      <alignment horizontal="center" vertical="center"/>
    </xf>
    <xf numFmtId="190" fontId="22" fillId="37" borderId="12" xfId="1" applyNumberFormat="1" applyFont="1" applyFill="1" applyBorder="1" applyAlignment="1" applyProtection="1"/>
    <xf numFmtId="177" fontId="22" fillId="37" borderId="12" xfId="2" applyFont="1" applyFill="1" applyBorder="1" applyAlignment="1" applyProtection="1"/>
    <xf numFmtId="0" fontId="10" fillId="40" borderId="1" xfId="0" applyFont="1" applyFill="1" applyBorder="1"/>
    <xf numFmtId="184" fontId="10" fillId="40" borderId="1" xfId="0" applyNumberFormat="1" applyFont="1" applyFill="1" applyBorder="1"/>
    <xf numFmtId="0" fontId="24" fillId="0" borderId="12" xfId="0" applyFont="1" applyBorder="1"/>
    <xf numFmtId="190" fontId="28" fillId="37" borderId="19" xfId="1" applyNumberFormat="1" applyFont="1" applyFill="1" applyBorder="1" applyAlignment="1" applyProtection="1"/>
    <xf numFmtId="10" fontId="0" fillId="0" borderId="1" xfId="3" applyNumberFormat="1" applyBorder="1"/>
    <xf numFmtId="184" fontId="0" fillId="0" borderId="1" xfId="3" applyNumberFormat="1" applyBorder="1"/>
    <xf numFmtId="190" fontId="23" fillId="37" borderId="12" xfId="1" applyNumberFormat="1" applyFont="1" applyFill="1" applyBorder="1" applyAlignment="1" applyProtection="1"/>
    <xf numFmtId="190" fontId="28" fillId="0" borderId="12" xfId="1" applyNumberFormat="1" applyFont="1" applyFill="1" applyBorder="1" applyAlignment="1" applyProtection="1"/>
    <xf numFmtId="0" fontId="0" fillId="7" borderId="0" xfId="0" applyFill="1"/>
    <xf numFmtId="0" fontId="23" fillId="0" borderId="19" xfId="0" applyFont="1" applyBorder="1"/>
    <xf numFmtId="176" fontId="0" fillId="0" borderId="1" xfId="1" applyBorder="1"/>
    <xf numFmtId="0" fontId="29" fillId="41" borderId="22" xfId="0" applyFont="1" applyFill="1" applyBorder="1" applyAlignment="1">
      <alignment horizontal="left" vertical="center"/>
    </xf>
    <xf numFmtId="0" fontId="26" fillId="42" borderId="22" xfId="0" applyFont="1" applyFill="1" applyBorder="1" applyAlignment="1">
      <alignment horizontal="left" vertical="center"/>
    </xf>
    <xf numFmtId="0" fontId="30" fillId="0" borderId="0" xfId="0" applyFont="1" applyFill="1" applyAlignment="1">
      <alignment vertical="center"/>
    </xf>
    <xf numFmtId="0" fontId="2" fillId="0" borderId="0" xfId="0" applyFont="1" applyFill="1" applyAlignment="1" quotePrefix="1">
      <alignment vertical="center"/>
    </xf>
    <xf numFmtId="0" fontId="2" fillId="0" borderId="0" xfId="0" applyFont="1" quotePrefix="1"/>
    <xf numFmtId="180" fontId="4" fillId="5" borderId="1" xfId="0" applyNumberFormat="1" applyFont="1" applyFill="1" applyBorder="1" applyAlignment="1" quotePrefix="1">
      <alignment vertical="center"/>
    </xf>
    <xf numFmtId="0" fontId="4" fillId="5" borderId="1" xfId="0" applyFont="1" applyFill="1" applyBorder="1" applyAlignment="1" quotePrefix="1">
      <alignment vertical="center"/>
    </xf>
  </cellXfs>
  <cellStyles count="51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TableStyleLight1" xfId="49"/>
    <cellStyle name="Porcentagem 2" xfId="50"/>
  </cellStyles>
  <tableStyles count="0" defaultTableStyle="TableStyleMedium2" defaultPivotStyle="PivotStyleLight16"/>
  <colors>
    <mruColors>
      <color rgb="00FFFFE1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2">
  <dgm:title val=""/>
  <dgm:desc val=""/>
  <dgm:catLst>
    <dgm:cat type="colorful" pri="10200"/>
  </dgm:catLst>
  <dgm:styleLbl name="align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Node1">
    <dgm:fillClrLst>
      <a:schemeClr val="accent2"/>
      <a:schemeClr val="accent3"/>
    </dgm:fillClrLst>
    <dgm:linClrLst>
      <a:schemeClr val="accent2"/>
      <a:schemeClr val="accent3"/>
    </dgm:linClrLst>
    <dgm:effectClrLst/>
    <dgm:txLinClrLst/>
    <dgm:txFillClrLst/>
    <dgm:txEffectClrLst/>
  </dgm:styleLbl>
  <dgm:styleLbl name="asst0">
    <dgm:fillClrLst meth="repeat">
      <a:schemeClr val="accent2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b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>
      <a:schemeClr val="accent2">
        <a:tint val="50000"/>
      </a:schemeClr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ln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>
        <a:tint val="5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sibTrans1D1">
    <dgm:fillClrLst/>
    <dgm:linClrLst>
      <a:schemeClr val="accent2"/>
      <a:schemeClr val="accent3"/>
    </dgm:linClrLst>
    <dgm:effectClrLst/>
    <dgm:txLinClrLst/>
    <dgm:txFillClrLst meth="repeat">
      <a:schemeClr val="tx1"/>
    </dgm:txFillClrLst>
    <dgm:txEffectClrLst/>
  </dgm:styleLbl>
  <dgm:styleLbl name="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solidAlign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vennNode1">
    <dgm:fillClrLst>
      <a:schemeClr val="accent2">
        <a:alpha val="50000"/>
      </a:schemeClr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0039B7F-1E7A-4E6F-833F-7A25D2EC421C}" type="doc">
      <dgm:prSet loTypeId="urn:microsoft.com/office/officeart/2005/8/layout/process5" loCatId="process" qsTypeId="urn:microsoft.com/office/officeart/2005/8/quickstyle/simple4" qsCatId="simple" csTypeId="urn:microsoft.com/office/officeart/2005/8/colors/colorful2" csCatId="colorful" phldr="1"/>
      <dgm:spPr/>
      <dgm:t>
        <a:bodyPr/>
        <a:lstStyle/>
        <a:p>
          <a:endParaRPr lang="pt-BR"/>
        </a:p>
      </dgm:t>
    </dgm:pt>
    <dgm:pt modelId="{179D91A1-FC0E-46DF-B6AA-AA90341F4566}">
      <dgm:prSet phldrT="[Texto]"/>
      <dgm:spPr/>
      <dgm:t>
        <a:bodyPr/>
        <a:lstStyle/>
        <a:p>
          <a:r>
            <a:rPr lang="pt-BR"/>
            <a:t>Fornecedor</a:t>
          </a:r>
        </a:p>
      </dgm:t>
    </dgm:pt>
    <dgm:pt modelId="{88B59414-CE25-467F-A196-7FB52154AEEA}" cxnId="{0C2CF52B-4A3D-4C74-BEB5-EC1BC99F051B}" type="parTrans">
      <dgm:prSet/>
      <dgm:spPr/>
      <dgm:t>
        <a:bodyPr/>
        <a:lstStyle/>
        <a:p>
          <a:endParaRPr lang="pt-BR"/>
        </a:p>
      </dgm:t>
    </dgm:pt>
    <dgm:pt modelId="{B3BF3CE6-8BA5-4001-A59D-4EDC79DC4F8E}" cxnId="{0C2CF52B-4A3D-4C74-BEB5-EC1BC99F051B}" type="sibTrans">
      <dgm:prSet/>
      <dgm:spPr/>
      <dgm:t>
        <a:bodyPr/>
        <a:lstStyle/>
        <a:p>
          <a:r>
            <a:rPr lang="pt-BR" b="1"/>
            <a:t>CD1</a:t>
          </a:r>
        </a:p>
      </dgm:t>
    </dgm:pt>
    <dgm:pt modelId="{25484D35-8EF4-4A0D-9085-87D7C82E8246}">
      <dgm:prSet phldrT="[Texto]" custT="1"/>
      <dgm:spPr/>
      <dgm:t>
        <a:bodyPr/>
        <a:lstStyle/>
        <a:p>
          <a:r>
            <a:rPr lang="pt-BR" sz="1100"/>
            <a:t>COA1</a:t>
          </a:r>
          <a:br>
            <a:rPr lang="pt-BR" sz="1900"/>
          </a:br>
          <a:r>
            <a:rPr lang="pt-BR" sz="2000"/>
            <a:t>Filial 1</a:t>
          </a:r>
          <a:endParaRPr lang="pt-BR" sz="1900"/>
        </a:p>
      </dgm:t>
    </dgm:pt>
    <dgm:pt modelId="{01582755-2C44-4E3D-AA82-45B5D9260E13}" cxnId="{535F1861-5C48-40F4-84B1-6E1AA665198E}" type="parTrans">
      <dgm:prSet/>
      <dgm:spPr/>
      <dgm:t>
        <a:bodyPr/>
        <a:lstStyle/>
        <a:p>
          <a:endParaRPr lang="pt-BR"/>
        </a:p>
      </dgm:t>
    </dgm:pt>
    <dgm:pt modelId="{AED6CA76-40F5-4E37-A56E-4F2D73C211B1}" cxnId="{535F1861-5C48-40F4-84B1-6E1AA665198E}" type="sibTrans">
      <dgm:prSet/>
      <dgm:spPr/>
      <dgm:t>
        <a:bodyPr/>
        <a:lstStyle/>
        <a:p>
          <a:r>
            <a:rPr lang="pt-BR" b="1"/>
            <a:t>CT1</a:t>
          </a:r>
        </a:p>
      </dgm:t>
    </dgm:pt>
    <dgm:pt modelId="{332F7F3A-F5F0-452B-A942-A3F708CAEA0B}">
      <dgm:prSet phldrT="[Texto]"/>
      <dgm:spPr/>
      <dgm:t>
        <a:bodyPr/>
        <a:lstStyle/>
        <a:p>
          <a:r>
            <a:rPr lang="pt-BR"/>
            <a:t>PARCEIRO</a:t>
          </a:r>
        </a:p>
      </dgm:t>
    </dgm:pt>
    <dgm:pt modelId="{185F930B-11DE-45AA-9409-EAA25170698C}" cxnId="{0EDBD033-ECBF-40BC-AA88-B500432776FF}" type="parTrans">
      <dgm:prSet/>
      <dgm:spPr/>
      <dgm:t>
        <a:bodyPr/>
        <a:lstStyle/>
        <a:p>
          <a:endParaRPr lang="pt-BR"/>
        </a:p>
      </dgm:t>
    </dgm:pt>
    <dgm:pt modelId="{61C2F012-E3DF-41E9-A29F-D0629FA3D8EF}" cxnId="{0EDBD033-ECBF-40BC-AA88-B500432776FF}" type="sibTrans">
      <dgm:prSet/>
      <dgm:spPr/>
      <dgm:t>
        <a:bodyPr/>
        <a:lstStyle/>
        <a:p>
          <a:r>
            <a:rPr lang="pt-BR" b="1"/>
            <a:t>CP1</a:t>
          </a:r>
        </a:p>
      </dgm:t>
    </dgm:pt>
    <dgm:pt modelId="{EBD45543-A104-4B8E-80E8-D172B7DA447D}">
      <dgm:prSet phldrT="[Texto]"/>
      <dgm:spPr/>
      <dgm:t>
        <a:bodyPr/>
        <a:lstStyle/>
        <a:p>
          <a:r>
            <a:rPr lang="pt-BR"/>
            <a:t>DESTINATÁRIO</a:t>
          </a:r>
        </a:p>
      </dgm:t>
    </dgm:pt>
    <dgm:pt modelId="{263881C8-8CC1-4B38-AADF-EA8F5F3B0040}" cxnId="{1252D880-4E8C-4FF9-8A4E-4F56DFBCBFF7}" type="parTrans">
      <dgm:prSet/>
      <dgm:spPr/>
      <dgm:t>
        <a:bodyPr/>
        <a:lstStyle/>
        <a:p>
          <a:endParaRPr lang="pt-BR"/>
        </a:p>
      </dgm:t>
    </dgm:pt>
    <dgm:pt modelId="{C43F33C9-6354-438E-A341-649F9CFAC492}" cxnId="{1252D880-4E8C-4FF9-8A4E-4F56DFBCBFF7}" type="sibTrans">
      <dgm:prSet/>
      <dgm:spPr/>
      <dgm:t>
        <a:bodyPr/>
        <a:lstStyle/>
        <a:p>
          <a:endParaRPr lang="pt-BR"/>
        </a:p>
      </dgm:t>
    </dgm:pt>
    <dgm:pt modelId="{7B0DF256-75B1-4C85-9714-B419D5043991}">
      <dgm:prSet custT="1"/>
      <dgm:spPr/>
      <dgm:t>
        <a:bodyPr/>
        <a:lstStyle/>
        <a:p>
          <a:r>
            <a:rPr lang="pt-BR" sz="1100"/>
            <a:t>COA3</a:t>
          </a:r>
          <a:br>
            <a:rPr lang="pt-BR" sz="2000"/>
          </a:br>
          <a:r>
            <a:rPr lang="pt-BR" sz="2000"/>
            <a:t>FILIAL 3</a:t>
          </a:r>
        </a:p>
      </dgm:t>
    </dgm:pt>
    <dgm:pt modelId="{C3F97B95-5EDC-41A7-999B-E835637F3305}" cxnId="{6431BD5E-B5C0-4FF2-82D2-DFE49BCBAB89}" type="parTrans">
      <dgm:prSet/>
      <dgm:spPr/>
      <dgm:t>
        <a:bodyPr/>
        <a:lstStyle/>
        <a:p>
          <a:endParaRPr lang="pt-BR"/>
        </a:p>
      </dgm:t>
    </dgm:pt>
    <dgm:pt modelId="{DFD2ADD2-E94C-47BE-8D62-922A72AC0BC9}" cxnId="{6431BD5E-B5C0-4FF2-82D2-DFE49BCBAB89}" type="sibTrans">
      <dgm:prSet custT="1"/>
      <dgm:spPr/>
      <dgm:t>
        <a:bodyPr/>
        <a:lstStyle/>
        <a:p>
          <a:r>
            <a:rPr lang="pt-BR" sz="1200" b="1"/>
            <a:t>CD2</a:t>
          </a:r>
          <a:endParaRPr lang="pt-BR" sz="1100" b="1"/>
        </a:p>
      </dgm:t>
    </dgm:pt>
    <dgm:pt modelId="{7B6926E0-EF45-49A8-85B4-82A1DA576F92}">
      <dgm:prSet phldrT="[Texto]" custT="1"/>
      <dgm:spPr/>
      <dgm:t>
        <a:bodyPr/>
        <a:lstStyle/>
        <a:p>
          <a:r>
            <a:rPr lang="pt-BR" sz="1100"/>
            <a:t>COA2</a:t>
          </a:r>
          <a:br>
            <a:rPr lang="pt-BR" sz="2000"/>
          </a:br>
          <a:r>
            <a:rPr lang="pt-BR" sz="2000"/>
            <a:t>FILIAL 2</a:t>
          </a:r>
        </a:p>
      </dgm:t>
    </dgm:pt>
    <dgm:pt modelId="{B7AF6F88-15D0-4418-9083-379E4C1C6B01}" cxnId="{958DA6EE-F37D-47A4-B260-1A83207F71FB}" type="sibTrans">
      <dgm:prSet/>
      <dgm:spPr/>
      <dgm:t>
        <a:bodyPr/>
        <a:lstStyle/>
        <a:p>
          <a:r>
            <a:rPr lang="pt-BR" b="1"/>
            <a:t>CT2</a:t>
          </a:r>
        </a:p>
      </dgm:t>
    </dgm:pt>
    <dgm:pt modelId="{8C3EA6A6-3EB9-4BA5-A904-8B83D22184B7}" cxnId="{958DA6EE-F37D-47A4-B260-1A83207F71FB}" type="parTrans">
      <dgm:prSet/>
      <dgm:spPr/>
      <dgm:t>
        <a:bodyPr/>
        <a:lstStyle/>
        <a:p>
          <a:endParaRPr lang="pt-BR"/>
        </a:p>
      </dgm:t>
    </dgm:pt>
    <dgm:pt modelId="{F46C8507-092B-47BA-B829-FCD881EE3050}" type="pres">
      <dgm:prSet presAssocID="{20039B7F-1E7A-4E6F-833F-7A25D2EC421C}" presName="diagram" presStyleCnt="0">
        <dgm:presLayoutVars>
          <dgm:dir/>
          <dgm:resizeHandles val="exact"/>
        </dgm:presLayoutVars>
      </dgm:prSet>
      <dgm:spPr/>
    </dgm:pt>
    <dgm:pt modelId="{E7FC8939-E681-43A3-9610-405C54AA1E7A}" type="pres">
      <dgm:prSet presAssocID="{179D91A1-FC0E-46DF-B6AA-AA90341F4566}" presName="node" presStyleLbl="node1" presStyleIdx="0" presStyleCnt="6">
        <dgm:presLayoutVars>
          <dgm:bulletEnabled val="1"/>
        </dgm:presLayoutVars>
      </dgm:prSet>
      <dgm:spPr/>
    </dgm:pt>
    <dgm:pt modelId="{FC7E25D7-ADB2-4D1C-ABD7-F12164C2835B}" type="pres">
      <dgm:prSet presAssocID="{B3BF3CE6-8BA5-4001-A59D-4EDC79DC4F8E}" presName="sibTrans" presStyleLbl="sibTrans2D1" presStyleIdx="0" presStyleCnt="5" custScaleX="137778"/>
      <dgm:spPr/>
    </dgm:pt>
    <dgm:pt modelId="{88864369-6676-4F10-BFAA-4469D8408879}" type="pres">
      <dgm:prSet presAssocID="{B3BF3CE6-8BA5-4001-A59D-4EDC79DC4F8E}" presName="connectorText" presStyleLbl="sibTrans2D1" presStyleIdx="0" presStyleCnt="5"/>
      <dgm:spPr/>
    </dgm:pt>
    <dgm:pt modelId="{0EE4A746-1C61-4FBA-85CE-7BA1465B041B}" type="pres">
      <dgm:prSet presAssocID="{25484D35-8EF4-4A0D-9085-87D7C82E8246}" presName="node" presStyleLbl="node1" presStyleIdx="1" presStyleCnt="6" custLinFactNeighborX="5560">
        <dgm:presLayoutVars>
          <dgm:bulletEnabled val="1"/>
        </dgm:presLayoutVars>
      </dgm:prSet>
      <dgm:spPr/>
    </dgm:pt>
    <dgm:pt modelId="{6007F432-99A8-487E-88E9-C50ACA6AD344}" type="pres">
      <dgm:prSet presAssocID="{AED6CA76-40F5-4E37-A56E-4F2D73C211B1}" presName="sibTrans" presStyleLbl="sibTrans2D1" presStyleIdx="1" presStyleCnt="5" custScaleX="149978"/>
      <dgm:spPr/>
    </dgm:pt>
    <dgm:pt modelId="{5358AAB9-7F3E-4E56-9105-B762B45AF395}" type="pres">
      <dgm:prSet presAssocID="{AED6CA76-40F5-4E37-A56E-4F2D73C211B1}" presName="connectorText" presStyleLbl="sibTrans2D1" presStyleIdx="1" presStyleCnt="5"/>
      <dgm:spPr/>
    </dgm:pt>
    <dgm:pt modelId="{5116E636-AF2A-4E1B-9FA1-279318067B2A}" type="pres">
      <dgm:prSet presAssocID="{7B6926E0-EF45-49A8-85B4-82A1DA576F92}" presName="node" presStyleLbl="node1" presStyleIdx="2" presStyleCnt="6" custLinFactNeighborX="14456">
        <dgm:presLayoutVars>
          <dgm:bulletEnabled val="1"/>
        </dgm:presLayoutVars>
      </dgm:prSet>
      <dgm:spPr/>
    </dgm:pt>
    <dgm:pt modelId="{6DF7EEE9-C7DD-4222-BCDA-C115E3E0DD42}" type="pres">
      <dgm:prSet presAssocID="{B7AF6F88-15D0-4418-9083-379E4C1C6B01}" presName="sibTrans" presStyleLbl="sibTrans2D1" presStyleIdx="2" presStyleCnt="5" custScaleX="150992" custLinFactNeighborX="1867"/>
      <dgm:spPr/>
    </dgm:pt>
    <dgm:pt modelId="{2579A3E2-CD7A-4F50-9991-212C552E0858}" type="pres">
      <dgm:prSet presAssocID="{B7AF6F88-15D0-4418-9083-379E4C1C6B01}" presName="connectorText" presStyleLbl="sibTrans2D1" presStyleIdx="2" presStyleCnt="5"/>
      <dgm:spPr/>
    </dgm:pt>
    <dgm:pt modelId="{D621F505-0521-42F1-90EB-0160334104B9}" type="pres">
      <dgm:prSet presAssocID="{7B0DF256-75B1-4C85-9714-B419D5043991}" presName="node" presStyleLbl="node1" presStyleIdx="3" presStyleCnt="6" custLinFactNeighborX="28172" custLinFactNeighborY="-19">
        <dgm:presLayoutVars>
          <dgm:bulletEnabled val="1"/>
        </dgm:presLayoutVars>
      </dgm:prSet>
      <dgm:spPr/>
    </dgm:pt>
    <dgm:pt modelId="{80210538-04E5-435F-897C-9DD87D9A845D}" type="pres">
      <dgm:prSet presAssocID="{DFD2ADD2-E94C-47BE-8D62-922A72AC0BC9}" presName="sibTrans" presStyleLbl="sibTrans2D1" presStyleIdx="3" presStyleCnt="5" custAng="21522284" custScaleX="145954" custScaleY="132020" custLinFactNeighborX="-151" custLinFactNeighborY="6798"/>
      <dgm:spPr/>
    </dgm:pt>
    <dgm:pt modelId="{430F07E6-DAFD-4DA0-BBB6-0482A3792D76}" type="pres">
      <dgm:prSet presAssocID="{DFD2ADD2-E94C-47BE-8D62-922A72AC0BC9}" presName="connectorText" presStyleLbl="sibTrans2D1" presStyleIdx="3" presStyleCnt="5"/>
      <dgm:spPr/>
    </dgm:pt>
    <dgm:pt modelId="{7DBC59C2-876A-4AAD-B67B-AA0C14653655}" type="pres">
      <dgm:prSet presAssocID="{332F7F3A-F5F0-452B-A942-A3F708CAEA0B}" presName="node" presStyleLbl="node1" presStyleIdx="4" presStyleCnt="6" custLinFactNeighborX="43446" custLinFactNeighborY="-2782">
        <dgm:presLayoutVars>
          <dgm:bulletEnabled val="1"/>
        </dgm:presLayoutVars>
      </dgm:prSet>
      <dgm:spPr/>
    </dgm:pt>
    <dgm:pt modelId="{A9010806-0350-4F79-91F0-8A1D6B773101}" type="pres">
      <dgm:prSet presAssocID="{61C2F012-E3DF-41E9-A29F-D0629FA3D8EF}" presName="sibTrans" presStyleLbl="sibTrans2D1" presStyleIdx="4" presStyleCnt="5" custAng="21139625" custScaleX="153855"/>
      <dgm:spPr/>
    </dgm:pt>
    <dgm:pt modelId="{660C006B-5644-46D3-BEB5-E8195022B62F}" type="pres">
      <dgm:prSet presAssocID="{61C2F012-E3DF-41E9-A29F-D0629FA3D8EF}" presName="connectorText" presStyleLbl="sibTrans2D1" presStyleIdx="4" presStyleCnt="5"/>
      <dgm:spPr/>
    </dgm:pt>
    <dgm:pt modelId="{91ABB2BB-3715-4583-B364-ADCD929B791C}" type="pres">
      <dgm:prSet presAssocID="{EBD45543-A104-4B8E-80E8-D172B7DA447D}" presName="node" presStyleLbl="node1" presStyleIdx="5" presStyleCnt="6" custLinFactNeighborX="7811">
        <dgm:presLayoutVars>
          <dgm:bulletEnabled val="1"/>
        </dgm:presLayoutVars>
      </dgm:prSet>
      <dgm:spPr/>
    </dgm:pt>
  </dgm:ptLst>
  <dgm:cxnLst>
    <dgm:cxn modelId="{C22C530B-C19D-4871-9828-1A6BD51C415B}" type="presOf" srcId="{61C2F012-E3DF-41E9-A29F-D0629FA3D8EF}" destId="{A9010806-0350-4F79-91F0-8A1D6B773101}" srcOrd="0" destOrd="0" presId="urn:microsoft.com/office/officeart/2005/8/layout/process5"/>
    <dgm:cxn modelId="{0C2CF52B-4A3D-4C74-BEB5-EC1BC99F051B}" srcId="{20039B7F-1E7A-4E6F-833F-7A25D2EC421C}" destId="{179D91A1-FC0E-46DF-B6AA-AA90341F4566}" srcOrd="0" destOrd="0" parTransId="{88B59414-CE25-467F-A196-7FB52154AEEA}" sibTransId="{B3BF3CE6-8BA5-4001-A59D-4EDC79DC4F8E}"/>
    <dgm:cxn modelId="{8765EF2F-6F23-4033-B5A2-3BFBF6FB1E35}" type="presOf" srcId="{7B0DF256-75B1-4C85-9714-B419D5043991}" destId="{D621F505-0521-42F1-90EB-0160334104B9}" srcOrd="0" destOrd="0" presId="urn:microsoft.com/office/officeart/2005/8/layout/process5"/>
    <dgm:cxn modelId="{0EDBD033-ECBF-40BC-AA88-B500432776FF}" srcId="{20039B7F-1E7A-4E6F-833F-7A25D2EC421C}" destId="{332F7F3A-F5F0-452B-A942-A3F708CAEA0B}" srcOrd="4" destOrd="0" parTransId="{185F930B-11DE-45AA-9409-EAA25170698C}" sibTransId="{61C2F012-E3DF-41E9-A29F-D0629FA3D8EF}"/>
    <dgm:cxn modelId="{1D9B6D36-0F21-47C3-997E-A3B18642AAD6}" type="presOf" srcId="{20039B7F-1E7A-4E6F-833F-7A25D2EC421C}" destId="{F46C8507-092B-47BA-B829-FCD881EE3050}" srcOrd="0" destOrd="0" presId="urn:microsoft.com/office/officeart/2005/8/layout/process5"/>
    <dgm:cxn modelId="{6431BD5E-B5C0-4FF2-82D2-DFE49BCBAB89}" srcId="{20039B7F-1E7A-4E6F-833F-7A25D2EC421C}" destId="{7B0DF256-75B1-4C85-9714-B419D5043991}" srcOrd="3" destOrd="0" parTransId="{C3F97B95-5EDC-41A7-999B-E835637F3305}" sibTransId="{DFD2ADD2-E94C-47BE-8D62-922A72AC0BC9}"/>
    <dgm:cxn modelId="{535F1861-5C48-40F4-84B1-6E1AA665198E}" srcId="{20039B7F-1E7A-4E6F-833F-7A25D2EC421C}" destId="{25484D35-8EF4-4A0D-9085-87D7C82E8246}" srcOrd="1" destOrd="0" parTransId="{01582755-2C44-4E3D-AA82-45B5D9260E13}" sibTransId="{AED6CA76-40F5-4E37-A56E-4F2D73C211B1}"/>
    <dgm:cxn modelId="{55ACD243-01A6-4492-A313-3608C38C5408}" type="presOf" srcId="{332F7F3A-F5F0-452B-A942-A3F708CAEA0B}" destId="{7DBC59C2-876A-4AAD-B67B-AA0C14653655}" srcOrd="0" destOrd="0" presId="urn:microsoft.com/office/officeart/2005/8/layout/process5"/>
    <dgm:cxn modelId="{EFFF4D44-6FBF-48F0-898E-F1C167B2DCF2}" type="presOf" srcId="{7B6926E0-EF45-49A8-85B4-82A1DA576F92}" destId="{5116E636-AF2A-4E1B-9FA1-279318067B2A}" srcOrd="0" destOrd="0" presId="urn:microsoft.com/office/officeart/2005/8/layout/process5"/>
    <dgm:cxn modelId="{16DB3845-3343-42AA-9687-B7A0AF7F6410}" type="presOf" srcId="{EBD45543-A104-4B8E-80E8-D172B7DA447D}" destId="{91ABB2BB-3715-4583-B364-ADCD929B791C}" srcOrd="0" destOrd="0" presId="urn:microsoft.com/office/officeart/2005/8/layout/process5"/>
    <dgm:cxn modelId="{8830784A-1C2D-4E28-B303-2553C1680CC0}" type="presOf" srcId="{AED6CA76-40F5-4E37-A56E-4F2D73C211B1}" destId="{5358AAB9-7F3E-4E56-9105-B762B45AF395}" srcOrd="1" destOrd="0" presId="urn:microsoft.com/office/officeart/2005/8/layout/process5"/>
    <dgm:cxn modelId="{6EA32A54-192F-4285-A674-2B4D63EDA6A0}" type="presOf" srcId="{B7AF6F88-15D0-4418-9083-379E4C1C6B01}" destId="{2579A3E2-CD7A-4F50-9991-212C552E0858}" srcOrd="1" destOrd="0" presId="urn:microsoft.com/office/officeart/2005/8/layout/process5"/>
    <dgm:cxn modelId="{8447A454-50D3-4FC5-87DB-F3F4C86AFF3A}" type="presOf" srcId="{DFD2ADD2-E94C-47BE-8D62-922A72AC0BC9}" destId="{80210538-04E5-435F-897C-9DD87D9A845D}" srcOrd="0" destOrd="0" presId="urn:microsoft.com/office/officeart/2005/8/layout/process5"/>
    <dgm:cxn modelId="{55C9DB7E-214B-444B-952B-926E0A7D1495}" type="presOf" srcId="{61C2F012-E3DF-41E9-A29F-D0629FA3D8EF}" destId="{660C006B-5644-46D3-BEB5-E8195022B62F}" srcOrd="1" destOrd="0" presId="urn:microsoft.com/office/officeart/2005/8/layout/process5"/>
    <dgm:cxn modelId="{1252D880-4E8C-4FF9-8A4E-4F56DFBCBFF7}" srcId="{20039B7F-1E7A-4E6F-833F-7A25D2EC421C}" destId="{EBD45543-A104-4B8E-80E8-D172B7DA447D}" srcOrd="5" destOrd="0" parTransId="{263881C8-8CC1-4B38-AADF-EA8F5F3B0040}" sibTransId="{C43F33C9-6354-438E-A341-649F9CFAC492}"/>
    <dgm:cxn modelId="{FD360AA9-5093-409D-B8B7-4839FF1E36A8}" type="presOf" srcId="{179D91A1-FC0E-46DF-B6AA-AA90341F4566}" destId="{E7FC8939-E681-43A3-9610-405C54AA1E7A}" srcOrd="0" destOrd="0" presId="urn:microsoft.com/office/officeart/2005/8/layout/process5"/>
    <dgm:cxn modelId="{2AB79ABA-B20B-4AE9-810B-BE9A67D53347}" type="presOf" srcId="{AED6CA76-40F5-4E37-A56E-4F2D73C211B1}" destId="{6007F432-99A8-487E-88E9-C50ACA6AD344}" srcOrd="0" destOrd="0" presId="urn:microsoft.com/office/officeart/2005/8/layout/process5"/>
    <dgm:cxn modelId="{D82146C5-A171-4BFB-8737-7779B33A3216}" type="presOf" srcId="{DFD2ADD2-E94C-47BE-8D62-922A72AC0BC9}" destId="{430F07E6-DAFD-4DA0-BBB6-0482A3792D76}" srcOrd="1" destOrd="0" presId="urn:microsoft.com/office/officeart/2005/8/layout/process5"/>
    <dgm:cxn modelId="{64BEF3DE-7EB5-4F1E-AB9A-9FA92043AD6C}" type="presOf" srcId="{25484D35-8EF4-4A0D-9085-87D7C82E8246}" destId="{0EE4A746-1C61-4FBA-85CE-7BA1465B041B}" srcOrd="0" destOrd="0" presId="urn:microsoft.com/office/officeart/2005/8/layout/process5"/>
    <dgm:cxn modelId="{55B9E6E1-48E4-4AFD-9A5F-CDC351E742B1}" type="presOf" srcId="{B3BF3CE6-8BA5-4001-A59D-4EDC79DC4F8E}" destId="{FC7E25D7-ADB2-4D1C-ABD7-F12164C2835B}" srcOrd="0" destOrd="0" presId="urn:microsoft.com/office/officeart/2005/8/layout/process5"/>
    <dgm:cxn modelId="{958DA6EE-F37D-47A4-B260-1A83207F71FB}" srcId="{20039B7F-1E7A-4E6F-833F-7A25D2EC421C}" destId="{7B6926E0-EF45-49A8-85B4-82A1DA576F92}" srcOrd="2" destOrd="0" parTransId="{8C3EA6A6-3EB9-4BA5-A904-8B83D22184B7}" sibTransId="{B7AF6F88-15D0-4418-9083-379E4C1C6B01}"/>
    <dgm:cxn modelId="{3166C6F8-7694-4D1B-930B-F92EBF72B060}" type="presOf" srcId="{B3BF3CE6-8BA5-4001-A59D-4EDC79DC4F8E}" destId="{88864369-6676-4F10-BFAA-4469D8408879}" srcOrd="1" destOrd="0" presId="urn:microsoft.com/office/officeart/2005/8/layout/process5"/>
    <dgm:cxn modelId="{2B8D72F9-191C-4ADB-AA84-9C30A4591946}" type="presOf" srcId="{B7AF6F88-15D0-4418-9083-379E4C1C6B01}" destId="{6DF7EEE9-C7DD-4222-BCDA-C115E3E0DD42}" srcOrd="0" destOrd="0" presId="urn:microsoft.com/office/officeart/2005/8/layout/process5"/>
    <dgm:cxn modelId="{FE527669-1037-46FE-9EBA-83C638F87323}" type="presParOf" srcId="{F46C8507-092B-47BA-B829-FCD881EE3050}" destId="{E7FC8939-E681-43A3-9610-405C54AA1E7A}" srcOrd="0" destOrd="0" presId="urn:microsoft.com/office/officeart/2005/8/layout/process5"/>
    <dgm:cxn modelId="{A35B3A95-E7B3-48BD-8732-62EF844E3232}" type="presParOf" srcId="{F46C8507-092B-47BA-B829-FCD881EE3050}" destId="{FC7E25D7-ADB2-4D1C-ABD7-F12164C2835B}" srcOrd="1" destOrd="0" presId="urn:microsoft.com/office/officeart/2005/8/layout/process5"/>
    <dgm:cxn modelId="{6E98B445-2EEB-4A44-A9FB-0BC3047CC782}" type="presParOf" srcId="{FC7E25D7-ADB2-4D1C-ABD7-F12164C2835B}" destId="{88864369-6676-4F10-BFAA-4469D8408879}" srcOrd="0" destOrd="0" presId="urn:microsoft.com/office/officeart/2005/8/layout/process5"/>
    <dgm:cxn modelId="{02CEB150-DC77-4B43-86F7-2535F254F939}" type="presParOf" srcId="{F46C8507-092B-47BA-B829-FCD881EE3050}" destId="{0EE4A746-1C61-4FBA-85CE-7BA1465B041B}" srcOrd="2" destOrd="0" presId="urn:microsoft.com/office/officeart/2005/8/layout/process5"/>
    <dgm:cxn modelId="{E6455F9D-B7C3-403A-B14D-5D5E70615E09}" type="presParOf" srcId="{F46C8507-092B-47BA-B829-FCD881EE3050}" destId="{6007F432-99A8-487E-88E9-C50ACA6AD344}" srcOrd="3" destOrd="0" presId="urn:microsoft.com/office/officeart/2005/8/layout/process5"/>
    <dgm:cxn modelId="{9A9A941D-75E1-4A95-A430-2658988A6C34}" type="presParOf" srcId="{6007F432-99A8-487E-88E9-C50ACA6AD344}" destId="{5358AAB9-7F3E-4E56-9105-B762B45AF395}" srcOrd="0" destOrd="0" presId="urn:microsoft.com/office/officeart/2005/8/layout/process5"/>
    <dgm:cxn modelId="{BAD750D9-09FB-458F-836D-C5DB42320E2A}" type="presParOf" srcId="{F46C8507-092B-47BA-B829-FCD881EE3050}" destId="{5116E636-AF2A-4E1B-9FA1-279318067B2A}" srcOrd="4" destOrd="0" presId="urn:microsoft.com/office/officeart/2005/8/layout/process5"/>
    <dgm:cxn modelId="{779256DF-598E-486E-866C-D84A76D27F6D}" type="presParOf" srcId="{F46C8507-092B-47BA-B829-FCD881EE3050}" destId="{6DF7EEE9-C7DD-4222-BCDA-C115E3E0DD42}" srcOrd="5" destOrd="0" presId="urn:microsoft.com/office/officeart/2005/8/layout/process5"/>
    <dgm:cxn modelId="{D482C391-FEAA-460B-A1F1-53328B6A9C0E}" type="presParOf" srcId="{6DF7EEE9-C7DD-4222-BCDA-C115E3E0DD42}" destId="{2579A3E2-CD7A-4F50-9991-212C552E0858}" srcOrd="0" destOrd="0" presId="urn:microsoft.com/office/officeart/2005/8/layout/process5"/>
    <dgm:cxn modelId="{94F3B6FE-D66E-4898-8BF8-D7F177082297}" type="presParOf" srcId="{F46C8507-092B-47BA-B829-FCD881EE3050}" destId="{D621F505-0521-42F1-90EB-0160334104B9}" srcOrd="6" destOrd="0" presId="urn:microsoft.com/office/officeart/2005/8/layout/process5"/>
    <dgm:cxn modelId="{C34D0389-B478-461D-AD65-5E0CD2ED242F}" type="presParOf" srcId="{F46C8507-092B-47BA-B829-FCD881EE3050}" destId="{80210538-04E5-435F-897C-9DD87D9A845D}" srcOrd="7" destOrd="0" presId="urn:microsoft.com/office/officeart/2005/8/layout/process5"/>
    <dgm:cxn modelId="{106EB4ED-A562-4397-8758-E28A8A45FDCE}" type="presParOf" srcId="{80210538-04E5-435F-897C-9DD87D9A845D}" destId="{430F07E6-DAFD-4DA0-BBB6-0482A3792D76}" srcOrd="0" destOrd="0" presId="urn:microsoft.com/office/officeart/2005/8/layout/process5"/>
    <dgm:cxn modelId="{045DE98D-D6DB-4A2D-BD51-BD20F26CD880}" type="presParOf" srcId="{F46C8507-092B-47BA-B829-FCD881EE3050}" destId="{7DBC59C2-876A-4AAD-B67B-AA0C14653655}" srcOrd="8" destOrd="0" presId="urn:microsoft.com/office/officeart/2005/8/layout/process5"/>
    <dgm:cxn modelId="{A0AC20F8-180D-4C3D-840C-AD2269B3C52A}" type="presParOf" srcId="{F46C8507-092B-47BA-B829-FCD881EE3050}" destId="{A9010806-0350-4F79-91F0-8A1D6B773101}" srcOrd="9" destOrd="0" presId="urn:microsoft.com/office/officeart/2005/8/layout/process5"/>
    <dgm:cxn modelId="{6450A788-690C-43A1-9334-AEB69FAFD536}" type="presParOf" srcId="{A9010806-0350-4F79-91F0-8A1D6B773101}" destId="{660C006B-5644-46D3-BEB5-E8195022B62F}" srcOrd="0" destOrd="0" presId="urn:microsoft.com/office/officeart/2005/8/layout/process5"/>
    <dgm:cxn modelId="{CEEC71DE-228A-4E86-B0C1-E37B572CB487}" type="presParOf" srcId="{F46C8507-092B-47BA-B829-FCD881EE3050}" destId="{91ABB2BB-3715-4583-B364-ADCD929B791C}" srcOrd="10" destOrd="0" presId="urn:microsoft.com/office/officeart/2005/8/layout/process5"/>
  </dgm:cxnLst>
  <dgm:bg/>
  <dgm:whole/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 xmlns:r="http://schemas.openxmlformats.org/officeDocument/2006/relationships">
  <dsp:spTree>
    <dsp:nvGrpSpPr>
      <dsp:cNvPr id="2" name="Grupo 1"/>
      <dsp:cNvGrpSpPr/>
    </dsp:nvGrpSpPr>
    <dsp:grpSpPr>
      <a:xfrm>
        <a:off x="0" y="0"/>
        <a:ext cx="11036935" cy="2536825"/>
        <a:chOff x="0" y="0"/>
        <a:chExt cx="11036935" cy="2536825"/>
      </a:xfrm>
    </dsp:grpSpPr>
    <dsp:sp modelId="{E7FC8939-E681-43A3-9610-405C54AA1E7A}">
      <dsp:nvSpPr>
        <dsp:cNvPr id="3" name="Retângulo arredondado 2"/>
        <dsp:cNvSpPr/>
      </dsp:nvSpPr>
      <dsp:spPr bwMode="white">
        <a:xfrm>
          <a:off x="289935" y="-1805"/>
          <a:ext cx="1589793" cy="953876"/>
        </a:xfrm>
        <a:prstGeom prst="roundRect">
          <a:avLst>
            <a:gd name="adj" fmla="val 10000"/>
          </a:avLst>
        </a:prstGeom>
      </dsp:spPr>
      <dsp:style>
        <a:lnRef idx="0">
          <a:schemeClr val="lt1"/>
        </a:lnRef>
        <a:fillRef idx="3">
          <a:schemeClr val="accent2">
            <a:hueOff val="0"/>
            <a:satOff val="0"/>
            <a:lumOff val="0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68580" tIns="68580" rIns="68580" bIns="68580" anchor="ctr"/>
        <a:lstStyle>
          <a:lvl1pPr algn="ctr">
            <a:defRPr sz="1800"/>
          </a:lvl1pPr>
          <a:lvl2pPr marL="114300" indent="-114300" algn="ctr">
            <a:defRPr sz="1400"/>
          </a:lvl2pPr>
          <a:lvl3pPr marL="228600" indent="-114300" algn="ctr">
            <a:defRPr sz="1400"/>
          </a:lvl3pPr>
          <a:lvl4pPr marL="342900" indent="-114300" algn="ctr">
            <a:defRPr sz="1400"/>
          </a:lvl4pPr>
          <a:lvl5pPr marL="457200" indent="-114300" algn="ctr">
            <a:defRPr sz="1400"/>
          </a:lvl5pPr>
          <a:lvl6pPr marL="571500" indent="-114300" algn="ctr">
            <a:defRPr sz="1400"/>
          </a:lvl6pPr>
          <a:lvl7pPr marL="685800" indent="-114300" algn="ctr">
            <a:defRPr sz="1400"/>
          </a:lvl7pPr>
          <a:lvl8pPr marL="800100" indent="-114300" algn="ctr">
            <a:defRPr sz="1400"/>
          </a:lvl8pPr>
          <a:lvl9pPr marL="914400" indent="-114300" algn="ctr">
            <a:defRPr sz="14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/>
            <a:t>Fornecedor</a:t>
          </a:r>
        </a:p>
      </dsp:txBody>
      <dsp:txXfrm>
        <a:off x="289935" y="-1805"/>
        <a:ext cx="1589793" cy="953876"/>
      </dsp:txXfrm>
    </dsp:sp>
    <dsp:sp modelId="{FC7E25D7-ADB2-4D1C-ABD7-F12164C2835B}">
      <dsp:nvSpPr>
        <dsp:cNvPr id="4" name="Seta para a direita 3"/>
        <dsp:cNvSpPr/>
      </dsp:nvSpPr>
      <dsp:spPr bwMode="white">
        <a:xfrm rot="2681">
          <a:off x="2049941" y="278901"/>
          <a:ext cx="383884" cy="394269"/>
        </a:xfrm>
        <a:prstGeom prst="rightArrow">
          <a:avLst>
            <a:gd name="adj1" fmla="val 60000"/>
            <a:gd name="adj2" fmla="val 50000"/>
          </a:avLst>
        </a:prstGeom>
      </dsp:spPr>
      <dsp:style>
        <a:lnRef idx="0">
          <a:schemeClr val="lt1"/>
        </a:lnRef>
        <a:fillRef idx="3">
          <a:schemeClr val="accent2">
            <a:hueOff val="0"/>
            <a:satOff val="0"/>
            <a:lumOff val="0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0" tIns="0" rIns="0" bIns="0" anchor="ctr"/>
        <a:lstStyle>
          <a:lvl1pPr algn="ctr">
            <a:defRPr sz="1100"/>
          </a:lvl1pPr>
          <a:lvl2pPr marL="57150" indent="-57150" algn="ctr">
            <a:defRPr sz="800"/>
          </a:lvl2pPr>
          <a:lvl3pPr marL="114300" indent="-57150" algn="ctr">
            <a:defRPr sz="800"/>
          </a:lvl3pPr>
          <a:lvl4pPr marL="171450" indent="-57150" algn="ctr">
            <a:defRPr sz="800"/>
          </a:lvl4pPr>
          <a:lvl5pPr marL="228600" indent="-57150" algn="ctr">
            <a:defRPr sz="800"/>
          </a:lvl5pPr>
          <a:lvl6pPr marL="285750" indent="-57150" algn="ctr">
            <a:defRPr sz="800"/>
          </a:lvl6pPr>
          <a:lvl7pPr marL="342900" indent="-57150" algn="ctr">
            <a:defRPr sz="800"/>
          </a:lvl7pPr>
          <a:lvl8pPr marL="400050" indent="-57150" algn="ctr">
            <a:defRPr sz="800"/>
          </a:lvl8pPr>
          <a:lvl9pPr marL="457200" indent="-57150" algn="ctr">
            <a:defRPr sz="8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b="1"/>
            <a:t>CD1</a:t>
          </a:r>
        </a:p>
      </dsp:txBody>
      <dsp:txXfrm rot="2681">
        <a:off x="2049941" y="278901"/>
        <a:ext cx="383884" cy="394269"/>
      </dsp:txXfrm>
    </dsp:sp>
    <dsp:sp modelId="{0EE4A746-1C61-4FBA-85CE-7BA1465B041B}">
      <dsp:nvSpPr>
        <dsp:cNvPr id="5" name="Retângulo arredondado 4"/>
        <dsp:cNvSpPr/>
      </dsp:nvSpPr>
      <dsp:spPr bwMode="white">
        <a:xfrm>
          <a:off x="2604038" y="0"/>
          <a:ext cx="1589793" cy="953876"/>
        </a:xfrm>
        <a:prstGeom prst="roundRect">
          <a:avLst>
            <a:gd name="adj" fmla="val 10000"/>
          </a:avLst>
        </a:prstGeom>
      </dsp:spPr>
      <dsp:style>
        <a:lnRef idx="0">
          <a:schemeClr val="lt1"/>
        </a:lnRef>
        <a:fillRef idx="3">
          <a:schemeClr val="accent2">
            <a:hueOff val="-300000"/>
            <a:satOff val="-16783"/>
            <a:lumOff val="1725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41910" tIns="41910" rIns="41910" bIns="41910" anchor="ctr"/>
        <a:lstStyle>
          <a:lvl1pPr algn="ctr">
            <a:defRPr sz="1800"/>
          </a:lvl1pPr>
          <a:lvl2pPr marL="114300" indent="-114300" algn="ctr">
            <a:defRPr sz="1400"/>
          </a:lvl2pPr>
          <a:lvl3pPr marL="228600" indent="-114300" algn="ctr">
            <a:defRPr sz="1400"/>
          </a:lvl3pPr>
          <a:lvl4pPr marL="342900" indent="-114300" algn="ctr">
            <a:defRPr sz="1400"/>
          </a:lvl4pPr>
          <a:lvl5pPr marL="457200" indent="-114300" algn="ctr">
            <a:defRPr sz="1400"/>
          </a:lvl5pPr>
          <a:lvl6pPr marL="571500" indent="-114300" algn="ctr">
            <a:defRPr sz="1400"/>
          </a:lvl6pPr>
          <a:lvl7pPr marL="685800" indent="-114300" algn="ctr">
            <a:defRPr sz="1400"/>
          </a:lvl7pPr>
          <a:lvl8pPr marL="800100" indent="-114300" algn="ctr">
            <a:defRPr sz="1400"/>
          </a:lvl8pPr>
          <a:lvl9pPr marL="914400" indent="-114300" algn="ctr">
            <a:defRPr sz="14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sz="1100"/>
            <a:t>COA1</a:t>
          </a:r>
          <a:br>
            <a:rPr lang="pt-BR" sz="1900"/>
          </a:br>
          <a:r>
            <a:rPr lang="pt-BR" sz="2000"/>
            <a:t>Filial 1</a:t>
          </a:r>
          <a:endParaRPr lang="pt-BR" sz="1900"/>
        </a:p>
      </dsp:txBody>
      <dsp:txXfrm>
        <a:off x="2604038" y="0"/>
        <a:ext cx="1589793" cy="953876"/>
      </dsp:txXfrm>
    </dsp:sp>
    <dsp:sp modelId="{6007F432-99A8-487E-88E9-C50ACA6AD344}">
      <dsp:nvSpPr>
        <dsp:cNvPr id="6" name="Seta para a direita 5"/>
        <dsp:cNvSpPr/>
      </dsp:nvSpPr>
      <dsp:spPr bwMode="white">
        <a:xfrm>
          <a:off x="4376507" y="279804"/>
          <a:ext cx="411993" cy="394269"/>
        </a:xfrm>
        <a:prstGeom prst="rightArrow">
          <a:avLst>
            <a:gd name="adj1" fmla="val 60000"/>
            <a:gd name="adj2" fmla="val 50000"/>
          </a:avLst>
        </a:prstGeom>
      </dsp:spPr>
      <dsp:style>
        <a:lnRef idx="0">
          <a:schemeClr val="lt1"/>
        </a:lnRef>
        <a:fillRef idx="3">
          <a:schemeClr val="accent2">
            <a:hueOff val="-375000"/>
            <a:satOff val="-20979"/>
            <a:lumOff val="2157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0" tIns="0" rIns="0" bIns="0" anchor="ctr"/>
        <a:lstStyle>
          <a:lvl1pPr algn="ctr">
            <a:defRPr sz="1100"/>
          </a:lvl1pPr>
          <a:lvl2pPr marL="57150" indent="-57150" algn="ctr">
            <a:defRPr sz="800"/>
          </a:lvl2pPr>
          <a:lvl3pPr marL="114300" indent="-57150" algn="ctr">
            <a:defRPr sz="800"/>
          </a:lvl3pPr>
          <a:lvl4pPr marL="171450" indent="-57150" algn="ctr">
            <a:defRPr sz="800"/>
          </a:lvl4pPr>
          <a:lvl5pPr marL="228600" indent="-57150" algn="ctr">
            <a:defRPr sz="800"/>
          </a:lvl5pPr>
          <a:lvl6pPr marL="285750" indent="-57150" algn="ctr">
            <a:defRPr sz="800"/>
          </a:lvl6pPr>
          <a:lvl7pPr marL="342900" indent="-57150" algn="ctr">
            <a:defRPr sz="800"/>
          </a:lvl7pPr>
          <a:lvl8pPr marL="400050" indent="-57150" algn="ctr">
            <a:defRPr sz="800"/>
          </a:lvl8pPr>
          <a:lvl9pPr marL="457200" indent="-57150" algn="ctr">
            <a:defRPr sz="8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b="1"/>
            <a:t>CT1</a:t>
          </a:r>
        </a:p>
      </dsp:txBody>
      <dsp:txXfrm>
        <a:off x="4376507" y="279804"/>
        <a:ext cx="411993" cy="394269"/>
      </dsp:txXfrm>
    </dsp:sp>
    <dsp:sp modelId="{5116E636-AF2A-4E1B-9FA1-279318067B2A}">
      <dsp:nvSpPr>
        <dsp:cNvPr id="7" name="Retângulo arredondado 6"/>
        <dsp:cNvSpPr/>
      </dsp:nvSpPr>
      <dsp:spPr bwMode="white">
        <a:xfrm>
          <a:off x="4971176" y="0"/>
          <a:ext cx="1589793" cy="953876"/>
        </a:xfrm>
        <a:prstGeom prst="roundRect">
          <a:avLst>
            <a:gd name="adj" fmla="val 10000"/>
          </a:avLst>
        </a:prstGeom>
      </dsp:spPr>
      <dsp:style>
        <a:lnRef idx="0">
          <a:schemeClr val="lt1"/>
        </a:lnRef>
        <a:fillRef idx="3">
          <a:schemeClr val="accent2">
            <a:hueOff val="-600000"/>
            <a:satOff val="-33568"/>
            <a:lumOff val="3451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41910" tIns="41910" rIns="41910" bIns="41910" anchor="ctr"/>
        <a:lstStyle>
          <a:lvl1pPr algn="ctr">
            <a:defRPr sz="1800"/>
          </a:lvl1pPr>
          <a:lvl2pPr marL="114300" indent="-114300" algn="ctr">
            <a:defRPr sz="1400"/>
          </a:lvl2pPr>
          <a:lvl3pPr marL="228600" indent="-114300" algn="ctr">
            <a:defRPr sz="1400"/>
          </a:lvl3pPr>
          <a:lvl4pPr marL="342900" indent="-114300" algn="ctr">
            <a:defRPr sz="1400"/>
          </a:lvl4pPr>
          <a:lvl5pPr marL="457200" indent="-114300" algn="ctr">
            <a:defRPr sz="1400"/>
          </a:lvl5pPr>
          <a:lvl6pPr marL="571500" indent="-114300" algn="ctr">
            <a:defRPr sz="1400"/>
          </a:lvl6pPr>
          <a:lvl7pPr marL="685800" indent="-114300" algn="ctr">
            <a:defRPr sz="1400"/>
          </a:lvl7pPr>
          <a:lvl8pPr marL="800100" indent="-114300" algn="ctr">
            <a:defRPr sz="1400"/>
          </a:lvl8pPr>
          <a:lvl9pPr marL="914400" indent="-114300" algn="ctr">
            <a:defRPr sz="14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sz="1100"/>
            <a:t>COA2</a:t>
          </a:r>
          <a:br>
            <a:rPr lang="pt-BR" sz="2000"/>
          </a:br>
          <a:r>
            <a:rPr lang="pt-BR" sz="2000"/>
            <a:t>FILIAL 2</a:t>
          </a:r>
        </a:p>
      </dsp:txBody>
      <dsp:txXfrm>
        <a:off x="4971176" y="0"/>
        <a:ext cx="1589793" cy="953876"/>
      </dsp:txXfrm>
    </dsp:sp>
    <dsp:sp modelId="{6DF7EEE9-C7DD-4222-BCDA-C115E3E0DD42}">
      <dsp:nvSpPr>
        <dsp:cNvPr id="8" name="Seta para a direita 7"/>
        <dsp:cNvSpPr/>
      </dsp:nvSpPr>
      <dsp:spPr bwMode="white">
        <a:xfrm>
          <a:off x="6767249" y="279804"/>
          <a:ext cx="452606" cy="394269"/>
        </a:xfrm>
        <a:prstGeom prst="rightArrow">
          <a:avLst>
            <a:gd name="adj1" fmla="val 60000"/>
            <a:gd name="adj2" fmla="val 50000"/>
          </a:avLst>
        </a:prstGeom>
      </dsp:spPr>
      <dsp:style>
        <a:lnRef idx="0">
          <a:schemeClr val="lt1"/>
        </a:lnRef>
        <a:fillRef idx="3">
          <a:schemeClr val="accent2">
            <a:hueOff val="-750000"/>
            <a:satOff val="-41960"/>
            <a:lumOff val="4314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0" tIns="0" rIns="0" bIns="0" anchor="ctr"/>
        <a:lstStyle>
          <a:lvl1pPr algn="ctr">
            <a:defRPr sz="1100"/>
          </a:lvl1pPr>
          <a:lvl2pPr marL="57150" indent="-57150" algn="ctr">
            <a:defRPr sz="800"/>
          </a:lvl2pPr>
          <a:lvl3pPr marL="114300" indent="-57150" algn="ctr">
            <a:defRPr sz="800"/>
          </a:lvl3pPr>
          <a:lvl4pPr marL="171450" indent="-57150" algn="ctr">
            <a:defRPr sz="800"/>
          </a:lvl4pPr>
          <a:lvl5pPr marL="228600" indent="-57150" algn="ctr">
            <a:defRPr sz="800"/>
          </a:lvl5pPr>
          <a:lvl6pPr marL="285750" indent="-57150" algn="ctr">
            <a:defRPr sz="800"/>
          </a:lvl6pPr>
          <a:lvl7pPr marL="342900" indent="-57150" algn="ctr">
            <a:defRPr sz="800"/>
          </a:lvl7pPr>
          <a:lvl8pPr marL="400050" indent="-57150" algn="ctr">
            <a:defRPr sz="800"/>
          </a:lvl8pPr>
          <a:lvl9pPr marL="457200" indent="-57150" algn="ctr">
            <a:defRPr sz="8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b="1"/>
            <a:t>CT2</a:t>
          </a:r>
        </a:p>
      </dsp:txBody>
      <dsp:txXfrm>
        <a:off x="6767249" y="279804"/>
        <a:ext cx="452606" cy="394269"/>
      </dsp:txXfrm>
    </dsp:sp>
    <dsp:sp modelId="{D621F505-0521-42F1-90EB-0160334104B9}">
      <dsp:nvSpPr>
        <dsp:cNvPr id="9" name="Retângulo arredondado 8"/>
        <dsp:cNvSpPr/>
      </dsp:nvSpPr>
      <dsp:spPr bwMode="white">
        <a:xfrm>
          <a:off x="7414942" y="0"/>
          <a:ext cx="1589793" cy="953876"/>
        </a:xfrm>
        <a:prstGeom prst="roundRect">
          <a:avLst>
            <a:gd name="adj" fmla="val 10000"/>
          </a:avLst>
        </a:prstGeom>
      </dsp:spPr>
      <dsp:style>
        <a:lnRef idx="0">
          <a:schemeClr val="lt1"/>
        </a:lnRef>
        <a:fillRef idx="3">
          <a:schemeClr val="accent2">
            <a:hueOff val="-900000"/>
            <a:satOff val="-50352"/>
            <a:lumOff val="5176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41910" tIns="41910" rIns="41910" bIns="41910" anchor="ctr"/>
        <a:lstStyle>
          <a:lvl1pPr algn="ctr">
            <a:defRPr sz="1800"/>
          </a:lvl1pPr>
          <a:lvl2pPr marL="114300" indent="-114300" algn="ctr">
            <a:defRPr sz="1400"/>
          </a:lvl2pPr>
          <a:lvl3pPr marL="228600" indent="-114300" algn="ctr">
            <a:defRPr sz="1400"/>
          </a:lvl3pPr>
          <a:lvl4pPr marL="342900" indent="-114300" algn="ctr">
            <a:defRPr sz="1400"/>
          </a:lvl4pPr>
          <a:lvl5pPr marL="457200" indent="-114300" algn="ctr">
            <a:defRPr sz="1400"/>
          </a:lvl5pPr>
          <a:lvl6pPr marL="571500" indent="-114300" algn="ctr">
            <a:defRPr sz="1400"/>
          </a:lvl6pPr>
          <a:lvl7pPr marL="685800" indent="-114300" algn="ctr">
            <a:defRPr sz="1400"/>
          </a:lvl7pPr>
          <a:lvl8pPr marL="800100" indent="-114300" algn="ctr">
            <a:defRPr sz="1400"/>
          </a:lvl8pPr>
          <a:lvl9pPr marL="914400" indent="-114300" algn="ctr">
            <a:defRPr sz="14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sz="1100"/>
            <a:t>COA3</a:t>
          </a:r>
          <a:br>
            <a:rPr lang="pt-BR" sz="2000"/>
          </a:br>
          <a:r>
            <a:rPr lang="pt-BR" sz="2000"/>
            <a:t>FILIAL 3</a:t>
          </a:r>
        </a:p>
      </dsp:txBody>
      <dsp:txXfrm>
        <a:off x="7414942" y="0"/>
        <a:ext cx="1589793" cy="953876"/>
      </dsp:txXfrm>
    </dsp:sp>
    <dsp:sp modelId="{80210538-04E5-435F-897C-9DD87D9A845D}">
      <dsp:nvSpPr>
        <dsp:cNvPr id="10" name="Seta para a direita 9"/>
        <dsp:cNvSpPr/>
      </dsp:nvSpPr>
      <dsp:spPr bwMode="white">
        <a:xfrm rot="21522284">
          <a:off x="9108458" y="300105"/>
          <a:ext cx="234476" cy="394269"/>
        </a:xfrm>
        <a:prstGeom prst="rightArrow">
          <a:avLst>
            <a:gd name="adj1" fmla="val 60000"/>
            <a:gd name="adj2" fmla="val 50000"/>
          </a:avLst>
        </a:prstGeom>
      </dsp:spPr>
      <dsp:style>
        <a:lnRef idx="0">
          <a:schemeClr val="lt1"/>
        </a:lnRef>
        <a:fillRef idx="3">
          <a:schemeClr val="accent2">
            <a:hueOff val="-1125000"/>
            <a:satOff val="-62940"/>
            <a:lumOff val="6471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0" tIns="0" rIns="0" bIns="0" anchor="ctr"/>
        <a:lstStyle>
          <a:lvl1pPr algn="ctr">
            <a:defRPr sz="1100"/>
          </a:lvl1pPr>
          <a:lvl2pPr marL="57150" indent="-57150" algn="ctr">
            <a:defRPr sz="800"/>
          </a:lvl2pPr>
          <a:lvl3pPr marL="114300" indent="-57150" algn="ctr">
            <a:defRPr sz="800"/>
          </a:lvl3pPr>
          <a:lvl4pPr marL="171450" indent="-57150" algn="ctr">
            <a:defRPr sz="800"/>
          </a:lvl4pPr>
          <a:lvl5pPr marL="228600" indent="-57150" algn="ctr">
            <a:defRPr sz="800"/>
          </a:lvl5pPr>
          <a:lvl6pPr marL="285750" indent="-57150" algn="ctr">
            <a:defRPr sz="800"/>
          </a:lvl6pPr>
          <a:lvl7pPr marL="342900" indent="-57150" algn="ctr">
            <a:defRPr sz="800"/>
          </a:lvl7pPr>
          <a:lvl8pPr marL="400050" indent="-57150" algn="ctr">
            <a:defRPr sz="800"/>
          </a:lvl8pPr>
          <a:lvl9pPr marL="457200" indent="-57150" algn="ctr">
            <a:defRPr sz="8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sz="1200" b="1"/>
            <a:t>CD2</a:t>
          </a:r>
          <a:endParaRPr lang="pt-BR" sz="1100" b="1"/>
        </a:p>
      </dsp:txBody>
      <dsp:txXfrm rot="21522284">
        <a:off x="9108458" y="300105"/>
        <a:ext cx="234476" cy="394269"/>
      </dsp:txXfrm>
    </dsp:sp>
    <dsp:sp modelId="{7DBC59C2-876A-4AAD-B67B-AA0C14653655}">
      <dsp:nvSpPr>
        <dsp:cNvPr id="11" name="Retângulo arredondado 10"/>
        <dsp:cNvSpPr/>
      </dsp:nvSpPr>
      <dsp:spPr bwMode="white">
        <a:xfrm>
          <a:off x="9447142" y="0"/>
          <a:ext cx="1589793" cy="953876"/>
        </a:xfrm>
        <a:prstGeom prst="roundRect">
          <a:avLst>
            <a:gd name="adj" fmla="val 10000"/>
          </a:avLst>
        </a:prstGeom>
      </dsp:spPr>
      <dsp:style>
        <a:lnRef idx="0">
          <a:schemeClr val="lt1"/>
        </a:lnRef>
        <a:fillRef idx="3">
          <a:schemeClr val="accent2">
            <a:hueOff val="-1200000"/>
            <a:satOff val="-67136"/>
            <a:lumOff val="6902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68580" tIns="68580" rIns="68580" bIns="68580" anchor="ctr"/>
        <a:lstStyle>
          <a:lvl1pPr algn="ctr">
            <a:defRPr sz="1800"/>
          </a:lvl1pPr>
          <a:lvl2pPr marL="114300" indent="-114300" algn="ctr">
            <a:defRPr sz="1400"/>
          </a:lvl2pPr>
          <a:lvl3pPr marL="228600" indent="-114300" algn="ctr">
            <a:defRPr sz="1400"/>
          </a:lvl3pPr>
          <a:lvl4pPr marL="342900" indent="-114300" algn="ctr">
            <a:defRPr sz="1400"/>
          </a:lvl4pPr>
          <a:lvl5pPr marL="457200" indent="-114300" algn="ctr">
            <a:defRPr sz="1400"/>
          </a:lvl5pPr>
          <a:lvl6pPr marL="571500" indent="-114300" algn="ctr">
            <a:defRPr sz="1400"/>
          </a:lvl6pPr>
          <a:lvl7pPr marL="685800" indent="-114300" algn="ctr">
            <a:defRPr sz="1400"/>
          </a:lvl7pPr>
          <a:lvl8pPr marL="800100" indent="-114300" algn="ctr">
            <a:defRPr sz="1400"/>
          </a:lvl8pPr>
          <a:lvl9pPr marL="914400" indent="-114300" algn="ctr">
            <a:defRPr sz="14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/>
            <a:t>PARCEIRO</a:t>
          </a:r>
        </a:p>
      </dsp:txBody>
      <dsp:txXfrm>
        <a:off x="9447142" y="0"/>
        <a:ext cx="1589793" cy="953876"/>
      </dsp:txXfrm>
    </dsp:sp>
    <dsp:sp modelId="{A9010806-0350-4F79-91F0-8A1D6B773101}">
      <dsp:nvSpPr>
        <dsp:cNvPr id="12" name="Seta para a direita 11"/>
        <dsp:cNvSpPr/>
      </dsp:nvSpPr>
      <dsp:spPr bwMode="white">
        <a:xfrm rot="26898296">
          <a:off x="9991544" y="1071278"/>
          <a:ext cx="335232" cy="394269"/>
        </a:xfrm>
        <a:prstGeom prst="rightArrow">
          <a:avLst>
            <a:gd name="adj1" fmla="val 60000"/>
            <a:gd name="adj2" fmla="val 50000"/>
          </a:avLst>
        </a:prstGeom>
      </dsp:spPr>
      <dsp:style>
        <a:lnRef idx="0">
          <a:schemeClr val="lt1"/>
        </a:lnRef>
        <a:fillRef idx="3">
          <a:schemeClr val="accent2">
            <a:hueOff val="-1500000"/>
            <a:satOff val="-83921"/>
            <a:lumOff val="8627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rot="-5400000" lIns="0" tIns="0" rIns="0" bIns="0" anchor="ctr"/>
        <a:lstStyle>
          <a:lvl1pPr algn="ctr">
            <a:defRPr sz="1100"/>
          </a:lvl1pPr>
          <a:lvl2pPr marL="57150" indent="-57150" algn="ctr">
            <a:defRPr sz="800"/>
          </a:lvl2pPr>
          <a:lvl3pPr marL="114300" indent="-57150" algn="ctr">
            <a:defRPr sz="800"/>
          </a:lvl3pPr>
          <a:lvl4pPr marL="171450" indent="-57150" algn="ctr">
            <a:defRPr sz="800"/>
          </a:lvl4pPr>
          <a:lvl5pPr marL="228600" indent="-57150" algn="ctr">
            <a:defRPr sz="800"/>
          </a:lvl5pPr>
          <a:lvl6pPr marL="285750" indent="-57150" algn="ctr">
            <a:defRPr sz="800"/>
          </a:lvl6pPr>
          <a:lvl7pPr marL="342900" indent="-57150" algn="ctr">
            <a:defRPr sz="800"/>
          </a:lvl7pPr>
          <a:lvl8pPr marL="400050" indent="-57150" algn="ctr">
            <a:defRPr sz="800"/>
          </a:lvl8pPr>
          <a:lvl9pPr marL="457200" indent="-57150" algn="ctr">
            <a:defRPr sz="8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 b="1"/>
            <a:t>CP1</a:t>
          </a:r>
        </a:p>
      </dsp:txBody>
      <dsp:txXfrm rot="26898296">
        <a:off x="9991544" y="1071278"/>
        <a:ext cx="335232" cy="394269"/>
      </dsp:txXfrm>
    </dsp:sp>
    <dsp:sp modelId="{91ABB2BB-3715-4583-B364-ADCD929B791C}">
      <dsp:nvSpPr>
        <dsp:cNvPr id="13" name="Retângulo arredondado 12"/>
        <dsp:cNvSpPr/>
      </dsp:nvSpPr>
      <dsp:spPr bwMode="white">
        <a:xfrm>
          <a:off x="9281386" y="1582949"/>
          <a:ext cx="1589793" cy="953876"/>
        </a:xfrm>
        <a:prstGeom prst="roundRect">
          <a:avLst>
            <a:gd name="adj" fmla="val 10000"/>
          </a:avLst>
        </a:prstGeom>
      </dsp:spPr>
      <dsp:style>
        <a:lnRef idx="0">
          <a:schemeClr val="lt1"/>
        </a:lnRef>
        <a:fillRef idx="3">
          <a:schemeClr val="accent2">
            <a:hueOff val="-1500000"/>
            <a:satOff val="-83921"/>
            <a:lumOff val="8627"/>
            <a:alpha val="100000"/>
          </a:schemeClr>
        </a:fillRef>
        <a:effectRef idx="2">
          <a:scrgbClr r="0" g="0" b="0"/>
        </a:effectRef>
        <a:fontRef idx="minor">
          <a:schemeClr val="lt1"/>
        </a:fontRef>
      </dsp:style>
      <dsp:txBody>
        <a:bodyPr lIns="68580" tIns="68580" rIns="68580" bIns="68580" anchor="ctr"/>
        <a:lstStyle>
          <a:lvl1pPr algn="ctr">
            <a:defRPr sz="1800"/>
          </a:lvl1pPr>
          <a:lvl2pPr marL="114300" indent="-114300" algn="ctr">
            <a:defRPr sz="1400"/>
          </a:lvl2pPr>
          <a:lvl3pPr marL="228600" indent="-114300" algn="ctr">
            <a:defRPr sz="1400"/>
          </a:lvl3pPr>
          <a:lvl4pPr marL="342900" indent="-114300" algn="ctr">
            <a:defRPr sz="1400"/>
          </a:lvl4pPr>
          <a:lvl5pPr marL="457200" indent="-114300" algn="ctr">
            <a:defRPr sz="1400"/>
          </a:lvl5pPr>
          <a:lvl6pPr marL="571500" indent="-114300" algn="ctr">
            <a:defRPr sz="1400"/>
          </a:lvl6pPr>
          <a:lvl7pPr marL="685800" indent="-114300" algn="ctr">
            <a:defRPr sz="1400"/>
          </a:lvl7pPr>
          <a:lvl8pPr marL="800100" indent="-114300" algn="ctr">
            <a:defRPr sz="1400"/>
          </a:lvl8pPr>
          <a:lvl9pPr marL="914400" indent="-114300" algn="ctr">
            <a:defRPr sz="1400"/>
          </a:lvl9pPr>
        </a:lstStyle>
        <a:p>
          <a:pPr lvl="0">
            <a:lnSpc>
              <a:spcPct val="100000"/>
            </a:lnSpc>
            <a:spcBef>
              <a:spcPct val="0"/>
            </a:spcBef>
            <a:spcAft>
              <a:spcPct val="35000"/>
            </a:spcAft>
          </a:pPr>
          <a:r>
            <a:rPr lang="pt-BR"/>
            <a:t>DESTINATÁRIO</a:t>
          </a:r>
        </a:p>
      </dsp:txBody>
      <dsp:txXfrm>
        <a:off x="9281386" y="1582949"/>
        <a:ext cx="1589793" cy="95387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5">
  <dgm:title val=""/>
  <dgm:desc val=""/>
  <dgm:catLst>
    <dgm:cat type="process" pri="17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axis="self" func="var" arg="dir" op="equ" val="norm">
        <dgm:alg type="snake">
          <dgm:param type="bkpt" val="endCnv"/>
          <dgm:param type="contDir" val="revDir"/>
          <dgm:param type="grDir" val="tL"/>
          <dgm:param type="flowDir" val="row"/>
        </dgm:alg>
      </dgm:if>
      <dgm:else name="Name2">
        <dgm:alg type="snake">
          <dgm:param type="bkpt" val="endCnv"/>
          <dgm:param type="contDir" val="revDir"/>
          <dgm:param type="grDir" val="tR"/>
          <dgm:param type="flowDir" val="row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forName="sibTrans" refType="w" refFor="ch" refPtType="node" op="equ" fact="0.4"/>
      <dgm:constr type="sp" refType="w" refFor="ch" refForName="sibTrans" op="equ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align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Node1">
    <dgm:scene3d>
      <a:camera prst="orthographicFront"/>
      <a:lightRig rig="threePt" dir="t"/>
    </dgm:scene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0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ibTrans2D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callout">
    <dgm:scene3d>
      <a:camera prst="orthographicFront"/>
      <a:lightRig rig="threePt" dir="t"/>
    </dgm:scene3d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ImgPlace1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fgSibTrans2D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0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2D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/>
      <a:lightRig rig="threePt" dir="t"/>
    </dgm:scene3d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olidAlign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vennNode1">
    <dgm:scene3d>
      <a:camera prst="orthographicFront"/>
      <a:lightRig rig="threePt" dir="t"/>
    </dgm:scene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</dgm:styleDef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hyperlink" Target="#FONTES!A1"/><Relationship Id="rId8" Type="http://schemas.openxmlformats.org/officeDocument/2006/relationships/hyperlink" Target="#'RESULTADO REDESPACHO'!A1"/><Relationship Id="rId7" Type="http://schemas.openxmlformats.org/officeDocument/2006/relationships/hyperlink" Target="#'RESULTADO DIRETO'!A1"/><Relationship Id="rId6" Type="http://schemas.openxmlformats.org/officeDocument/2006/relationships/hyperlink" Target="#'RELATORIO BASE'!A1"/><Relationship Id="rId5" Type="http://schemas.openxmlformats.org/officeDocument/2006/relationships/image" Target="../media/image1.png"/><Relationship Id="rId4" Type="http://schemas.openxmlformats.org/officeDocument/2006/relationships/diagramColors" Target="../diagrams/colors1.xml"/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0" Type="http://schemas.openxmlformats.org/officeDocument/2006/relationships/hyperlink" Target="#'CUSTO TRANSFERENCIA'!A1"/><Relationship Id="rId1" Type="http://schemas.openxmlformats.org/officeDocument/2006/relationships/diagramData" Target="../diagrams/data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BAS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BAS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BAS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BASE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1</xdr:row>
      <xdr:rowOff>152400</xdr:rowOff>
    </xdr:from>
    <xdr:to>
      <xdr:col>13</xdr:col>
      <xdr:colOff>38100</xdr:colOff>
      <xdr:row>15</xdr:row>
      <xdr:rowOff>91440</xdr:rowOff>
    </xdr:to>
    <xdr:graphicFrame>
      <xdr:nvGraphicFramePr>
        <xdr:cNvPr id="2" name="Diagrama 1"/>
        <xdr:cNvGraphicFramePr/>
      </xdr:nvGraphicFramePr>
      <xdr:xfrm>
        <a:off x="0" y="335280"/>
        <a:ext cx="11049000" cy="249936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absolute">
    <xdr:from>
      <xdr:col>12</xdr:col>
      <xdr:colOff>472440</xdr:colOff>
      <xdr:row>11</xdr:row>
      <xdr:rowOff>76201</xdr:rowOff>
    </xdr:from>
    <xdr:to>
      <xdr:col>16</xdr:col>
      <xdr:colOff>297180</xdr:colOff>
      <xdr:row>18</xdr:row>
      <xdr:rowOff>114301</xdr:rowOff>
    </xdr:to>
    <xdr:sp>
      <xdr:nvSpPr>
        <xdr:cNvPr id="3" name="CaixaDeTexto 2"/>
        <xdr:cNvSpPr txBox="1"/>
      </xdr:nvSpPr>
      <xdr:spPr>
        <a:xfrm>
          <a:off x="10866120" y="2087880"/>
          <a:ext cx="2293620" cy="13182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Legenda:</a:t>
          </a:r>
          <a:endParaRPr lang="pt-BR" sz="900" b="1"/>
        </a:p>
        <a:p>
          <a:endParaRPr lang="pt-BR" sz="800"/>
        </a:p>
        <a:p>
          <a:r>
            <a:rPr lang="pt-BR" sz="800" b="1"/>
            <a:t>CD1</a:t>
          </a:r>
          <a:r>
            <a:rPr lang="pt-BR" sz="800" baseline="0"/>
            <a:t> - Custo de distribuição na origem/coleta</a:t>
          </a:r>
          <a:endParaRPr lang="pt-BR" sz="800" baseline="0"/>
        </a:p>
        <a:p>
          <a:r>
            <a:rPr lang="pt-BR" sz="800" b="1" baseline="0"/>
            <a:t>CT1</a:t>
          </a:r>
          <a:r>
            <a:rPr lang="pt-BR" sz="800" baseline="0"/>
            <a:t> - Custo de transferência entre filiais 1-2</a:t>
          </a:r>
          <a:endParaRPr lang="pt-BR" sz="800" baseline="0"/>
        </a:p>
        <a:p>
          <a:r>
            <a:rPr lang="pt-BR" sz="800" b="1" baseline="0"/>
            <a:t>CT2</a:t>
          </a:r>
          <a:r>
            <a:rPr lang="pt-BR" sz="800" baseline="0"/>
            <a:t> - Custo de transferência entre filiais 2-3</a:t>
          </a:r>
          <a:endParaRPr lang="pt-BR" sz="800" baseline="0"/>
        </a:p>
        <a:p>
          <a:r>
            <a:rPr lang="pt-BR" sz="800" b="1" baseline="0"/>
            <a:t>CD2</a:t>
          </a:r>
          <a:r>
            <a:rPr lang="pt-BR" sz="800" baseline="0"/>
            <a:t> - Custo de distribuição na entrega/ parceiro</a:t>
          </a:r>
          <a:endParaRPr lang="pt-BR" sz="800" baseline="0"/>
        </a:p>
        <a:p>
          <a:r>
            <a:rPr lang="pt-BR" sz="800" b="1" baseline="0"/>
            <a:t>CP1</a:t>
          </a:r>
          <a:r>
            <a:rPr lang="pt-BR" sz="800" baseline="0"/>
            <a:t> - Custo parceiro cliente final</a:t>
          </a:r>
          <a:endParaRPr lang="pt-BR" sz="800" baseline="0"/>
        </a:p>
        <a:p>
          <a:r>
            <a:rPr lang="pt-BR" sz="800" b="1" baseline="0"/>
            <a:t>COA1</a:t>
          </a:r>
          <a:r>
            <a:rPr lang="pt-BR" sz="800" baseline="0"/>
            <a:t> - Custo operação armazem origem</a:t>
          </a:r>
          <a:endParaRPr lang="pt-BR" sz="800" baseline="0"/>
        </a:p>
        <a:p>
          <a:r>
            <a:rPr lang="pt-BR" sz="800" b="1" baseline="0"/>
            <a:t>COA2</a:t>
          </a:r>
          <a:r>
            <a:rPr lang="pt-BR" sz="800" baseline="0"/>
            <a:t> -Custo operação armazem destino</a:t>
          </a:r>
          <a:endParaRPr lang="pt-BR" sz="800"/>
        </a:p>
      </xdr:txBody>
    </xdr:sp>
    <xdr:clientData/>
  </xdr:twoCellAnchor>
  <xdr:twoCellAnchor editAs="absolute">
    <xdr:from>
      <xdr:col>13</xdr:col>
      <xdr:colOff>464820</xdr:colOff>
      <xdr:row>0</xdr:row>
      <xdr:rowOff>45720</xdr:rowOff>
    </xdr:from>
    <xdr:to>
      <xdr:col>17</xdr:col>
      <xdr:colOff>487680</xdr:colOff>
      <xdr:row>9</xdr:row>
      <xdr:rowOff>114300</xdr:rowOff>
    </xdr:to>
    <xdr:pic>
      <xdr:nvPicPr>
        <xdr:cNvPr id="11" name="Imagem 1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5720" y="45720"/>
          <a:ext cx="2491740" cy="1714500"/>
        </a:xfrm>
        <a:prstGeom prst="rect">
          <a:avLst/>
        </a:prstGeom>
      </xdr:spPr>
    </xdr:pic>
    <xdr:clientData/>
  </xdr:twoCellAnchor>
  <xdr:twoCellAnchor>
    <xdr:from>
      <xdr:col>3</xdr:col>
      <xdr:colOff>594360</xdr:colOff>
      <xdr:row>14</xdr:row>
      <xdr:rowOff>99060</xdr:rowOff>
    </xdr:from>
    <xdr:to>
      <xdr:col>6</xdr:col>
      <xdr:colOff>403860</xdr:colOff>
      <xdr:row>25</xdr:row>
      <xdr:rowOff>38100</xdr:rowOff>
    </xdr:to>
    <xdr:grpSp>
      <xdr:nvGrpSpPr>
        <xdr:cNvPr id="10" name="Agrupar 9"/>
        <xdr:cNvGrpSpPr/>
      </xdr:nvGrpSpPr>
      <xdr:grpSpPr>
        <a:xfrm>
          <a:off x="5433060" y="2659380"/>
          <a:ext cx="1661160" cy="2499360"/>
          <a:chOff x="5425440" y="2430780"/>
          <a:chExt cx="1638300" cy="2468880"/>
        </a:xfrm>
      </xdr:grpSpPr>
      <xdr:grpSp>
        <xdr:nvGrpSpPr>
          <xdr:cNvPr id="8" name="Agrupar 7"/>
          <xdr:cNvGrpSpPr/>
        </xdr:nvGrpSpPr>
        <xdr:grpSpPr>
          <a:xfrm>
            <a:off x="5425440" y="2430780"/>
            <a:ext cx="1630680" cy="1950720"/>
            <a:chOff x="11064240" y="175260"/>
            <a:chExt cx="1112520" cy="2019300"/>
          </a:xfrm>
        </xdr:grpSpPr>
        <xdr:sp>
          <xdr:nvSpPr>
            <xdr:cNvPr id="4" name="Retângulo: Cantos Arredondados 3">
              <a:hlinkClick xmlns:r="http://schemas.openxmlformats.org/officeDocument/2006/relationships" r:id="rId6"/>
            </xdr:cNvPr>
            <xdr:cNvSpPr/>
          </xdr:nvSpPr>
          <xdr:spPr>
            <a:xfrm>
              <a:off x="11064240" y="175260"/>
              <a:ext cx="1112520" cy="388620"/>
            </a:xfrm>
            <a:prstGeom prst="round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Relatório</a:t>
              </a:r>
              <a:r>
                <a:rPr lang="pt-BR" sz="1200" b="1" baseline="0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 Base	</a:t>
              </a:r>
              <a:r>
                <a:rPr lang="pt-BR" sz="1200" b="1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	</a:t>
              </a:r>
              <a:endParaRPr lang="pt-BR" sz="1200" b="1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endParaRPr>
            </a:p>
          </xdr:txBody>
        </xdr:sp>
        <xdr:sp>
          <xdr:nvSpPr>
            <xdr:cNvPr id="5" name="Retângulo: Cantos Arredondados 4">
              <a:hlinkClick xmlns:r="http://schemas.openxmlformats.org/officeDocument/2006/relationships" r:id="rId7"/>
            </xdr:cNvPr>
            <xdr:cNvSpPr/>
          </xdr:nvSpPr>
          <xdr:spPr>
            <a:xfrm>
              <a:off x="11064240" y="723900"/>
              <a:ext cx="1112520" cy="388620"/>
            </a:xfrm>
            <a:prstGeom prst="round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Resultado</a:t>
              </a:r>
              <a:r>
                <a:rPr lang="pt-BR" sz="1200" b="1" baseline="0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 Direto	</a:t>
              </a:r>
              <a:endParaRPr lang="pt-BR" sz="1200" b="1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endParaRPr>
            </a:p>
          </xdr:txBody>
        </xdr:sp>
        <xdr:sp>
          <xdr:nvSpPr>
            <xdr:cNvPr id="6" name="Retângulo: Cantos Arredondados 5">
              <a:hlinkClick xmlns:r="http://schemas.openxmlformats.org/officeDocument/2006/relationships" r:id="rId8"/>
            </xdr:cNvPr>
            <xdr:cNvSpPr/>
          </xdr:nvSpPr>
          <xdr:spPr>
            <a:xfrm>
              <a:off x="11064240" y="1272540"/>
              <a:ext cx="1112520" cy="388620"/>
            </a:xfrm>
            <a:prstGeom prst="round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Resultado</a:t>
              </a:r>
              <a:r>
                <a:rPr lang="pt-BR" sz="1200" b="1" baseline="0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 Redespacho	</a:t>
              </a:r>
              <a:endParaRPr lang="pt-BR" sz="1200" b="1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endParaRPr>
            </a:p>
          </xdr:txBody>
        </xdr:sp>
        <xdr:sp>
          <xdr:nvSpPr>
            <xdr:cNvPr id="7" name="Retângulo: Cantos Arredondados 6">
              <a:hlinkClick xmlns:r="http://schemas.openxmlformats.org/officeDocument/2006/relationships" r:id="rId9"/>
            </xdr:cNvPr>
            <xdr:cNvSpPr/>
          </xdr:nvSpPr>
          <xdr:spPr>
            <a:xfrm>
              <a:off x="11064240" y="1805940"/>
              <a:ext cx="1112520" cy="388620"/>
            </a:xfrm>
            <a:prstGeom prst="round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Calibri Light" panose="020F0302020204030204" pitchFamily="34" charset="0"/>
                  <a:ea typeface="Calibri Light" panose="020F0302020204030204" pitchFamily="34" charset="0"/>
                  <a:cs typeface="Calibri Light" panose="020F0302020204030204" pitchFamily="34" charset="0"/>
                </a:rPr>
                <a:t>Fontes</a:t>
              </a:r>
              <a:endParaRPr lang="pt-BR" sz="1200" b="1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endParaRPr>
            </a:p>
          </xdr:txBody>
        </xdr:sp>
      </xdr:grpSp>
      <xdr:sp>
        <xdr:nvSpPr>
          <xdr:cNvPr id="9" name="Retângulo: Cantos Arredondados 8">
            <a:hlinkClick xmlns:r="http://schemas.openxmlformats.org/officeDocument/2006/relationships" r:id="rId10"/>
          </xdr:cNvPr>
          <xdr:cNvSpPr/>
        </xdr:nvSpPr>
        <xdr:spPr>
          <a:xfrm>
            <a:off x="5433060" y="4511040"/>
            <a:ext cx="1630680" cy="388620"/>
          </a:xfrm>
          <a:prstGeom prst="roundRect">
            <a:avLst/>
          </a:prstGeom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Custos</a:t>
            </a:r>
            <a:r>
              <a:rPr lang="pt-BR" sz="1200" b="1" baseline="0"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 Transferência</a:t>
            </a:r>
            <a:endParaRPr lang="pt-BR" sz="1200" b="1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30480</xdr:rowOff>
    </xdr:from>
    <xdr:to>
      <xdr:col>2</xdr:col>
      <xdr:colOff>60960</xdr:colOff>
      <xdr:row>1</xdr:row>
      <xdr:rowOff>152400</xdr:rowOff>
    </xdr:to>
    <xdr:sp>
      <xdr:nvSpPr>
        <xdr:cNvPr id="2" name="Retângulo: Cantos Arredondados 1">
          <a:hlinkClick xmlns:r="http://schemas.openxmlformats.org/officeDocument/2006/relationships" r:id="rId1"/>
        </xdr:cNvPr>
        <xdr:cNvSpPr/>
      </xdr:nvSpPr>
      <xdr:spPr>
        <a:xfrm>
          <a:off x="38100" y="30480"/>
          <a:ext cx="1691640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INÍCIO</a:t>
          </a:r>
          <a:endParaRPr lang="pt-BR" sz="1200" b="1">
            <a:latin typeface="Calibri Light" panose="020F0302020204030204" pitchFamily="34" charset="0"/>
            <a:ea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60960</xdr:colOff>
      <xdr:row>0</xdr:row>
      <xdr:rowOff>68580</xdr:rowOff>
    </xdr:from>
    <xdr:to>
      <xdr:col>2</xdr:col>
      <xdr:colOff>83820</xdr:colOff>
      <xdr:row>2</xdr:row>
      <xdr:rowOff>7620</xdr:rowOff>
    </xdr:to>
    <xdr:sp>
      <xdr:nvSpPr>
        <xdr:cNvPr id="2" name="Retângulo: Cantos Arredondados 1">
          <a:hlinkClick xmlns:r="http://schemas.openxmlformats.org/officeDocument/2006/relationships" r:id="rId1"/>
        </xdr:cNvPr>
        <xdr:cNvSpPr/>
      </xdr:nvSpPr>
      <xdr:spPr>
        <a:xfrm>
          <a:off x="60960" y="68580"/>
          <a:ext cx="1440180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INÍCIO</a:t>
          </a:r>
          <a:endParaRPr lang="pt-BR" sz="1200" b="1">
            <a:latin typeface="Calibri Light" panose="020F0302020204030204" pitchFamily="34" charset="0"/>
            <a:ea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30480</xdr:rowOff>
    </xdr:from>
    <xdr:to>
      <xdr:col>2</xdr:col>
      <xdr:colOff>60960</xdr:colOff>
      <xdr:row>1</xdr:row>
      <xdr:rowOff>152400</xdr:rowOff>
    </xdr:to>
    <xdr:sp>
      <xdr:nvSpPr>
        <xdr:cNvPr id="2" name="Retângulo: Cantos Arredondados 1">
          <a:hlinkClick xmlns:r="http://schemas.openxmlformats.org/officeDocument/2006/relationships" r:id="rId1"/>
        </xdr:cNvPr>
        <xdr:cNvSpPr/>
      </xdr:nvSpPr>
      <xdr:spPr>
        <a:xfrm>
          <a:off x="38100" y="30480"/>
          <a:ext cx="1257300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INÍCIO</a:t>
          </a:r>
          <a:endParaRPr lang="pt-BR" sz="1200" b="1">
            <a:latin typeface="Calibri Light" panose="020F0302020204030204" pitchFamily="34" charset="0"/>
            <a:ea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144</xdr:col>
      <xdr:colOff>34925</xdr:colOff>
      <xdr:row>1</xdr:row>
      <xdr:rowOff>0</xdr:rowOff>
    </xdr:from>
    <xdr:to>
      <xdr:col>146</xdr:col>
      <xdr:colOff>600710</xdr:colOff>
      <xdr:row>31</xdr:row>
      <xdr:rowOff>0</xdr:rowOff>
    </xdr:to>
    <xdr:pic>
      <xdr:nvPicPr>
        <xdr:cNvPr id="4" name="Imagem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819665" y="152400"/>
          <a:ext cx="1784985" cy="457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60960</xdr:colOff>
      <xdr:row>0</xdr:row>
      <xdr:rowOff>68580</xdr:rowOff>
    </xdr:from>
    <xdr:to>
      <xdr:col>4</xdr:col>
      <xdr:colOff>371475</xdr:colOff>
      <xdr:row>2</xdr:row>
      <xdr:rowOff>7620</xdr:rowOff>
    </xdr:to>
    <xdr:sp>
      <xdr:nvSpPr>
        <xdr:cNvPr id="2" name="Retângulo: Cantos Arredondados 1">
          <a:hlinkClick xmlns:r="http://schemas.openxmlformats.org/officeDocument/2006/relationships" r:id="rId1"/>
        </xdr:cNvPr>
        <xdr:cNvSpPr/>
      </xdr:nvSpPr>
      <xdr:spPr>
        <a:xfrm>
          <a:off x="60960" y="68580"/>
          <a:ext cx="1234440" cy="3048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INÍCIO</a:t>
          </a:r>
          <a:endParaRPr lang="pt-BR" sz="1200" b="1">
            <a:latin typeface="Calibri Light" panose="020F0302020204030204" pitchFamily="34" charset="0"/>
            <a:ea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9:G33"/>
  <sheetViews>
    <sheetView showGridLines="0" showRowColHeaders="0" zoomScale="115" zoomScaleNormal="115" workbookViewId="0">
      <selection activeCell="C22" sqref="C22"/>
    </sheetView>
  </sheetViews>
  <sheetFormatPr defaultColWidth="9" defaultRowHeight="14.4" outlineLevelCol="6"/>
  <cols>
    <col min="1" max="1" width="2.88888888888889" customWidth="1"/>
    <col min="2" max="2" width="23.6666666666667" customWidth="1"/>
    <col min="3" max="3" width="44" customWidth="1"/>
  </cols>
  <sheetData>
    <row r="19" ht="25.2" customHeight="1" spans="2:3">
      <c r="B19" s="195" t="s">
        <v>0</v>
      </c>
      <c r="C19" s="196" t="str">
        <f>'CUSTO NOVA'!H2</f>
        <v>BRASCOLA LTDA -</v>
      </c>
    </row>
    <row r="20" ht="25.2" customHeight="1" spans="2:3">
      <c r="B20" s="195" t="s">
        <v>1</v>
      </c>
      <c r="C20" s="196"/>
    </row>
    <row r="21" ht="25.2" customHeight="1" spans="2:3">
      <c r="B21" s="195" t="s">
        <v>2</v>
      </c>
      <c r="C21" s="196"/>
    </row>
    <row r="22" ht="25.2" customHeight="1" spans="2:3">
      <c r="B22" s="195" t="s">
        <v>3</v>
      </c>
      <c r="C22" s="196"/>
    </row>
    <row r="33" spans="6:7">
      <c r="F33" s="197"/>
      <c r="G33" s="197"/>
    </row>
  </sheetData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30"/>
  <sheetViews>
    <sheetView showGridLines="0" zoomScale="70" zoomScaleNormal="70" workbookViewId="0">
      <pane ySplit="2" topLeftCell="A3" activePane="bottomLeft" state="frozen"/>
      <selection/>
      <selection pane="bottomLeft" activeCell="Q29" sqref="Q29"/>
    </sheetView>
  </sheetViews>
  <sheetFormatPr defaultColWidth="9" defaultRowHeight="14.4"/>
  <cols>
    <col min="2" max="2" width="15.3333333333333" customWidth="1"/>
    <col min="3" max="3" width="11.1111111111111" customWidth="1"/>
    <col min="4" max="4" width="18.5555555555556" customWidth="1"/>
    <col min="5" max="5" width="10.3148148148148" customWidth="1"/>
    <col min="6" max="6" width="10.1111111111111" customWidth="1"/>
    <col min="7" max="7" width="11.8981481481481" customWidth="1"/>
    <col min="8" max="8" width="22.8888888888889" customWidth="1"/>
    <col min="9" max="9" width="16.6666666666667" customWidth="1"/>
    <col min="10" max="10" width="10.6666666666667" customWidth="1"/>
    <col min="11" max="11" width="14.1111111111111"/>
    <col min="12" max="12" width="50.5555555555556" customWidth="1"/>
    <col min="14" max="14" width="21"/>
    <col min="15" max="15" width="9.66666666666667"/>
    <col min="16" max="17" width="12.8888888888889"/>
    <col min="18" max="18" width="11.5555555555556"/>
    <col min="19" max="19" width="21"/>
    <col min="20" max="21" width="12.8888888888889"/>
  </cols>
  <sheetData>
    <row r="2" ht="15.15"/>
    <row r="3" ht="15.15" spans="2:21">
      <c r="B3" s="120" t="s">
        <v>4</v>
      </c>
      <c r="C3" s="120"/>
      <c r="D3" s="63" t="s">
        <v>5</v>
      </c>
      <c r="L3" s="121" t="s">
        <v>6</v>
      </c>
      <c r="M3" s="121"/>
      <c r="N3" s="121"/>
      <c r="P3" s="121" t="s">
        <v>7</v>
      </c>
      <c r="Q3" s="121"/>
      <c r="R3" s="121"/>
      <c r="S3" s="122">
        <v>70449976</v>
      </c>
    </row>
    <row r="4" ht="15.15" spans="2:21">
      <c r="B4" s="121" t="s">
        <v>8</v>
      </c>
      <c r="C4" s="121"/>
      <c r="D4" s="121"/>
      <c r="F4" s="123"/>
      <c r="G4" s="121" t="s">
        <v>6</v>
      </c>
      <c r="H4" s="121"/>
      <c r="I4" s="121"/>
      <c r="L4" s="124" t="s">
        <v>9</v>
      </c>
      <c r="M4" s="124"/>
      <c r="N4" s="125">
        <v>10313790</v>
      </c>
      <c r="P4" s="121" t="s">
        <v>10</v>
      </c>
      <c r="Q4" s="121"/>
      <c r="R4" s="121"/>
      <c r="S4" s="122">
        <v>15734290</v>
      </c>
    </row>
    <row r="5" ht="15.15" spans="2:21">
      <c r="B5" s="124" t="s">
        <v>11</v>
      </c>
      <c r="C5" s="124"/>
      <c r="D5" s="126">
        <f>VLOOKUP('RESULTADO DIRETO'!D3,FONTES!B5:I15,5,)</f>
        <v>33465.1</v>
      </c>
      <c r="E5" s="127"/>
      <c r="F5" s="123"/>
      <c r="G5" s="124" t="s">
        <v>12</v>
      </c>
      <c r="H5" s="124"/>
      <c r="I5" s="125">
        <f>VLOOKUP(D3,FONTES!B5:I15,8,)</f>
        <v>22859.0303</v>
      </c>
      <c r="L5" s="124" t="s">
        <v>13</v>
      </c>
      <c r="M5" s="124"/>
      <c r="N5" s="128">
        <v>4671731</v>
      </c>
      <c r="P5" s="121" t="s">
        <v>14</v>
      </c>
      <c r="Q5" s="121"/>
      <c r="R5" s="121"/>
      <c r="S5" s="122">
        <f>S4/S3</f>
        <v>0.223339891556528</v>
      </c>
    </row>
    <row r="6" ht="15.15" spans="2:21">
      <c r="B6" s="124" t="s">
        <v>15</v>
      </c>
      <c r="C6" s="124"/>
      <c r="D6" s="129">
        <f>D5/D24</f>
        <v>2.43175642774922</v>
      </c>
      <c r="F6" s="123"/>
      <c r="G6" s="124" t="s">
        <v>16</v>
      </c>
      <c r="H6" s="124"/>
      <c r="I6" s="130"/>
      <c r="J6" s="131"/>
      <c r="K6" s="132"/>
      <c r="L6" s="124" t="s">
        <v>17</v>
      </c>
      <c r="M6" s="124"/>
      <c r="N6" s="128">
        <v>-2454302.57</v>
      </c>
    </row>
    <row r="7" ht="15.15" spans="2:21">
      <c r="B7" s="124" t="s">
        <v>18</v>
      </c>
      <c r="C7" s="124"/>
      <c r="D7" s="133"/>
      <c r="F7" s="123"/>
      <c r="G7" s="124" t="s">
        <v>19</v>
      </c>
      <c r="H7" s="124"/>
      <c r="I7" s="128">
        <f>($D$25*0.01%)*7.38%+($D$25*0.01%)</f>
        <v>36.4391420666</v>
      </c>
      <c r="J7" s="134"/>
      <c r="L7" s="135" t="s">
        <v>20</v>
      </c>
      <c r="M7" s="135"/>
      <c r="N7" s="136">
        <f>SUM(N4:N6)</f>
        <v>12531218.43</v>
      </c>
      <c r="P7" s="121" t="s">
        <v>21</v>
      </c>
      <c r="Q7" s="121"/>
      <c r="R7" s="121"/>
      <c r="S7" s="122">
        <v>85634757.01</v>
      </c>
    </row>
    <row r="8" ht="15.15" spans="2:21">
      <c r="B8" s="124" t="s">
        <v>22</v>
      </c>
      <c r="C8" s="137">
        <v>0.12</v>
      </c>
      <c r="D8" s="138">
        <f>VLOOKUP('RESULTADO DIRETO'!D3,FONTES!B5:I15,3,)</f>
        <v>4015.812</v>
      </c>
      <c r="E8">
        <f>IF(D7=$A$2,D5*C8,$A$11)</f>
        <v>4015.812</v>
      </c>
      <c r="F8" s="123"/>
      <c r="G8" s="124" t="s">
        <v>23</v>
      </c>
      <c r="H8" s="124"/>
      <c r="I8" s="128">
        <f>($D$25*0.01%)*7.38%+($D$25*0.01%)</f>
        <v>36.4391420666</v>
      </c>
      <c r="L8" s="124" t="s">
        <v>24</v>
      </c>
      <c r="M8" s="124"/>
      <c r="N8" s="125">
        <v>1301293</v>
      </c>
      <c r="P8" s="124" t="s">
        <v>25</v>
      </c>
      <c r="Q8" s="124"/>
      <c r="S8" s="128">
        <v>600078</v>
      </c>
      <c r="T8" s="134"/>
    </row>
    <row r="9" ht="15.15" spans="2:21">
      <c r="F9" s="123"/>
      <c r="G9" s="139" t="s">
        <v>26</v>
      </c>
      <c r="H9" s="139"/>
      <c r="I9" s="140"/>
      <c r="L9" s="124" t="s">
        <v>27</v>
      </c>
      <c r="M9" s="124"/>
      <c r="N9" s="141">
        <v>-306752</v>
      </c>
      <c r="P9" s="142" t="s">
        <v>21</v>
      </c>
      <c r="Q9" s="142"/>
      <c r="R9" s="142"/>
      <c r="S9" s="143">
        <f>S8/S7</f>
        <v>0.00700741172103666</v>
      </c>
      <c r="T9" s="134"/>
    </row>
    <row r="10" ht="15.15" spans="2:21">
      <c r="B10" s="144" t="s">
        <v>28</v>
      </c>
      <c r="C10" s="144"/>
      <c r="D10" s="144"/>
      <c r="F10" s="145"/>
      <c r="G10" s="146" t="s">
        <v>29</v>
      </c>
      <c r="H10" s="147"/>
      <c r="I10" s="148"/>
      <c r="L10" s="124" t="s">
        <v>30</v>
      </c>
      <c r="M10" s="124"/>
      <c r="N10" s="141">
        <v>-54194</v>
      </c>
      <c r="P10" s="149"/>
      <c r="Q10" s="149"/>
      <c r="R10" s="150"/>
      <c r="T10" s="134"/>
    </row>
    <row r="11" ht="15.15" spans="2:21">
      <c r="B11" s="144" t="s">
        <v>31</v>
      </c>
      <c r="C11" s="144" t="s">
        <v>32</v>
      </c>
      <c r="D11" s="144" t="s">
        <v>11</v>
      </c>
      <c r="F11" s="151"/>
      <c r="G11" s="152" t="s">
        <v>33</v>
      </c>
      <c r="H11" s="153"/>
      <c r="I11" s="154"/>
      <c r="J11" s="123"/>
      <c r="L11" s="124" t="s">
        <v>34</v>
      </c>
      <c r="M11" s="124"/>
      <c r="N11" s="141">
        <v>-37032</v>
      </c>
      <c r="Q11" s="134"/>
      <c r="R11" s="134"/>
      <c r="S11" s="134"/>
      <c r="T11" s="134"/>
    </row>
    <row r="12" ht="15.15" spans="2:21">
      <c r="B12" s="124" t="s">
        <v>35</v>
      </c>
      <c r="C12" s="155"/>
      <c r="D12" s="156">
        <f>VLOOKUP(D3,FONTES!B5:I15,3,)</f>
        <v>4015.812</v>
      </c>
      <c r="F12" s="157">
        <f>N27</f>
        <v>0.209061611035893</v>
      </c>
      <c r="G12" s="124" t="s">
        <v>36</v>
      </c>
      <c r="H12" s="124"/>
      <c r="I12" s="158">
        <f>'CUSTO NOVA'!X83</f>
        <v>1793.20516703007</v>
      </c>
      <c r="J12" s="159">
        <f>I12/D5</f>
        <v>0.0535843361301796</v>
      </c>
      <c r="L12" s="124" t="s">
        <v>37</v>
      </c>
      <c r="M12" s="124"/>
      <c r="N12" s="141">
        <v>-16900</v>
      </c>
      <c r="O12" s="160"/>
      <c r="Q12" s="161"/>
      <c r="R12" s="134"/>
      <c r="S12" s="134"/>
      <c r="T12" s="134"/>
      <c r="U12" s="134"/>
    </row>
    <row r="13" ht="15.15" spans="2:21">
      <c r="B13" s="162" t="s">
        <v>38</v>
      </c>
      <c r="C13" s="163"/>
      <c r="D13" s="164"/>
      <c r="F13" s="165">
        <f>N15</f>
        <v>0.190427012068819</v>
      </c>
      <c r="G13" s="166" t="s">
        <v>39</v>
      </c>
      <c r="H13" s="124"/>
      <c r="I13" s="158">
        <f>'CUSTO NOVA'!Z83</f>
        <v>1633.36874853259</v>
      </c>
      <c r="J13" s="159">
        <f>I13/D5</f>
        <v>0.0488081239420349</v>
      </c>
      <c r="L13" s="124" t="s">
        <v>40</v>
      </c>
      <c r="M13" s="124"/>
      <c r="N13" s="141">
        <v>-2055</v>
      </c>
      <c r="Q13" s="161"/>
      <c r="R13" s="134"/>
      <c r="S13" s="134"/>
      <c r="T13" s="134"/>
    </row>
    <row r="14" ht="15.15" spans="2:21">
      <c r="B14" s="124" t="s">
        <v>41</v>
      </c>
      <c r="C14" s="155">
        <v>0</v>
      </c>
      <c r="D14" s="156">
        <f>IF(D5="","",(D5*C14))</f>
        <v>0</v>
      </c>
      <c r="F14" s="123"/>
      <c r="G14" s="167" t="s">
        <v>42</v>
      </c>
      <c r="H14" s="167"/>
      <c r="I14" s="168">
        <f>SUM(I5:I13)</f>
        <v>26358.4824996959</v>
      </c>
      <c r="J14" s="169">
        <f>SUM(J12:J13)</f>
        <v>0.102392460072215</v>
      </c>
      <c r="L14" s="135" t="s">
        <v>20</v>
      </c>
      <c r="M14" s="135"/>
      <c r="N14" s="136">
        <f>SUM(N8:N13)</f>
        <v>884360</v>
      </c>
      <c r="Q14" s="161"/>
      <c r="R14" s="134"/>
      <c r="S14" s="134"/>
      <c r="T14" s="134"/>
    </row>
    <row r="15" ht="15.15" spans="2:21">
      <c r="B15" s="124" t="s">
        <v>43</v>
      </c>
      <c r="C15" s="170">
        <v>0.052</v>
      </c>
      <c r="D15" s="171">
        <f>D5*C15</f>
        <v>1740.1852</v>
      </c>
      <c r="L15" s="135" t="s">
        <v>14</v>
      </c>
      <c r="M15" s="135"/>
      <c r="N15" s="136">
        <f>(N7+N14)/S3</f>
        <v>0.190427012068819</v>
      </c>
      <c r="Q15" s="134"/>
      <c r="R15" s="134"/>
      <c r="S15" s="134"/>
      <c r="T15" s="134"/>
    </row>
    <row r="16" ht="15.15" spans="2:21">
      <c r="B16" s="124" t="s">
        <v>44</v>
      </c>
      <c r="C16" s="170"/>
      <c r="D16" s="171"/>
      <c r="G16" s="121" t="s">
        <v>45</v>
      </c>
      <c r="H16" s="121"/>
      <c r="I16" s="121"/>
      <c r="Q16" s="134"/>
      <c r="R16" s="134"/>
      <c r="S16" s="134"/>
      <c r="T16" s="134"/>
    </row>
    <row r="17" ht="15.15" spans="2:20">
      <c r="B17" s="124" t="s">
        <v>46</v>
      </c>
      <c r="C17" s="170"/>
      <c r="D17" s="171"/>
      <c r="G17" s="124" t="s">
        <v>47</v>
      </c>
      <c r="H17" s="124"/>
      <c r="I17" s="172">
        <f>D5</f>
        <v>33465.1</v>
      </c>
      <c r="Q17" s="134"/>
      <c r="R17" s="134"/>
      <c r="S17" s="134"/>
      <c r="T17" s="134"/>
    </row>
    <row r="18" ht="15.15" spans="2:20">
      <c r="B18" s="124" t="s">
        <v>48</v>
      </c>
      <c r="C18" s="170"/>
      <c r="D18" s="171"/>
      <c r="G18" s="124" t="s">
        <v>49</v>
      </c>
      <c r="H18" s="124"/>
      <c r="I18" s="172">
        <f>D19*-1</f>
        <v>-5755.9972</v>
      </c>
      <c r="Q18" s="134"/>
      <c r="R18" s="134"/>
      <c r="S18" s="134"/>
      <c r="T18" s="134"/>
    </row>
    <row r="19" ht="15.15" spans="2:20">
      <c r="B19" s="173" t="s">
        <v>50</v>
      </c>
      <c r="C19" s="173"/>
      <c r="D19" s="174">
        <f>SUM(D12:D18)</f>
        <v>5755.9972</v>
      </c>
      <c r="G19" s="124" t="s">
        <v>51</v>
      </c>
      <c r="H19" s="124"/>
      <c r="I19" s="172">
        <f>I14*-1</f>
        <v>-26358.4824996959</v>
      </c>
      <c r="Q19" s="134"/>
      <c r="R19" s="134"/>
      <c r="S19" s="134"/>
      <c r="T19" s="134"/>
    </row>
    <row r="20" ht="15.15" spans="2:20">
      <c r="G20" s="124"/>
      <c r="H20" s="124"/>
      <c r="I20" s="138"/>
      <c r="L20" s="121" t="s">
        <v>6</v>
      </c>
      <c r="M20" s="121"/>
      <c r="N20" s="121"/>
      <c r="Q20" s="134"/>
      <c r="R20" s="134"/>
      <c r="S20" s="134"/>
      <c r="T20" s="134"/>
    </row>
    <row r="21" ht="15.15" spans="2:20">
      <c r="B21" s="121" t="s">
        <v>52</v>
      </c>
      <c r="C21" s="121"/>
      <c r="D21" s="174">
        <f>D5-D19</f>
        <v>27709.1028</v>
      </c>
      <c r="G21" s="124"/>
      <c r="H21" s="124"/>
      <c r="I21" s="138"/>
      <c r="L21" s="124" t="s">
        <v>53</v>
      </c>
      <c r="M21" s="124"/>
      <c r="N21" s="125">
        <v>15734290</v>
      </c>
      <c r="Q21" s="134"/>
      <c r="R21" s="134"/>
      <c r="S21" s="134"/>
      <c r="T21" s="134"/>
    </row>
    <row r="22" ht="15.15" spans="2:20">
      <c r="G22" s="175" t="s">
        <v>54</v>
      </c>
      <c r="H22" s="175"/>
      <c r="I22" s="176">
        <f>SUM(I17:I21)</f>
        <v>1350.62030030415</v>
      </c>
      <c r="L22" s="124" t="s">
        <v>55</v>
      </c>
      <c r="M22" s="124"/>
      <c r="N22" s="128">
        <v>76586</v>
      </c>
      <c r="Q22" s="134"/>
      <c r="R22" s="134"/>
      <c r="S22" s="134"/>
      <c r="T22" s="134"/>
    </row>
    <row r="23" ht="16.35" spans="2:20">
      <c r="B23" s="177" t="s">
        <v>56</v>
      </c>
      <c r="C23" s="178"/>
      <c r="D23" s="179"/>
      <c r="G23" s="180" t="s">
        <v>57</v>
      </c>
      <c r="H23" s="180"/>
      <c r="I23" s="181">
        <f>I22*100%/I17</f>
        <v>0.0403590696069682</v>
      </c>
      <c r="L23" s="124" t="s">
        <v>58</v>
      </c>
      <c r="M23" s="124"/>
      <c r="N23" s="128">
        <v>12917</v>
      </c>
      <c r="Q23" s="134"/>
      <c r="R23" s="134"/>
      <c r="S23" s="134"/>
      <c r="T23" s="134"/>
    </row>
    <row r="24" ht="15.15" spans="2:20">
      <c r="B24" s="124" t="s">
        <v>59</v>
      </c>
      <c r="C24" s="124"/>
      <c r="D24" s="182">
        <f>VLOOKUP(D3,FONTES!B5:I15,4,)</f>
        <v>13761.699</v>
      </c>
      <c r="L24" s="124" t="s">
        <v>60</v>
      </c>
      <c r="M24" s="124"/>
      <c r="N24" s="128">
        <v>-306546.52</v>
      </c>
    </row>
    <row r="25" ht="15.15" spans="2:20">
      <c r="B25" s="124" t="s">
        <v>61</v>
      </c>
      <c r="C25" s="124"/>
      <c r="D25" s="183">
        <f>VLOOKUP(D3,FONTES!B5:I15,7,)</f>
        <v>339347.57</v>
      </c>
      <c r="G25" s="184" t="s">
        <v>62</v>
      </c>
      <c r="H25" s="184">
        <v>82</v>
      </c>
      <c r="I25" s="185">
        <f>SUM(I26:I27)</f>
        <v>1</v>
      </c>
      <c r="L25" s="124" t="s">
        <v>63</v>
      </c>
      <c r="M25" s="124"/>
      <c r="N25" s="128">
        <v>-788861</v>
      </c>
    </row>
    <row r="26" ht="15.15" spans="2:20">
      <c r="B26" s="186" t="s">
        <v>64</v>
      </c>
      <c r="C26" s="186"/>
      <c r="D26" s="187">
        <f>VLOOKUP(D3,FONTES!B5:I15,6,)</f>
        <v>8055.45</v>
      </c>
      <c r="E26" s="188">
        <f>D26/D5</f>
        <v>0.240711965599983</v>
      </c>
      <c r="G26" s="86" t="s">
        <v>65</v>
      </c>
      <c r="H26" s="86">
        <v>16</v>
      </c>
      <c r="I26" s="189">
        <f>H26/H25</f>
        <v>0.195121951219512</v>
      </c>
      <c r="L26" s="135" t="s">
        <v>20</v>
      </c>
      <c r="M26" s="135"/>
      <c r="N26" s="136">
        <f>SUM(N21:N25)</f>
        <v>14728385.48</v>
      </c>
    </row>
    <row r="27" ht="15.15" spans="2:20">
      <c r="B27" s="124"/>
      <c r="C27" s="124"/>
      <c r="D27" s="190"/>
      <c r="G27" s="86" t="s">
        <v>66</v>
      </c>
      <c r="H27" s="86">
        <v>66</v>
      </c>
      <c r="I27" s="189">
        <f>H27/H25</f>
        <v>0.804878048780488</v>
      </c>
      <c r="L27" s="135" t="s">
        <v>14</v>
      </c>
      <c r="M27" s="135"/>
      <c r="N27" s="136">
        <f>N26/S3</f>
        <v>0.209061611035893</v>
      </c>
    </row>
    <row r="28" ht="15.15" spans="2:20">
      <c r="B28" s="186" t="s">
        <v>67</v>
      </c>
      <c r="C28" s="186"/>
      <c r="D28" s="191">
        <v>21962.954</v>
      </c>
      <c r="E28" s="188">
        <f>D26/D28</f>
        <v>0.366774432983833</v>
      </c>
    </row>
    <row r="29" ht="15.15" spans="2:20">
      <c r="B29" s="192" t="s">
        <v>68</v>
      </c>
      <c r="C29" s="192"/>
      <c r="D29" s="192"/>
    </row>
    <row r="30" ht="15.15" spans="2:20">
      <c r="B30" s="124" t="s">
        <v>59</v>
      </c>
      <c r="C30" s="193"/>
      <c r="D30" s="194"/>
    </row>
  </sheetData>
  <mergeCells count="63">
    <mergeCell ref="B3:C3"/>
    <mergeCell ref="L3:N3"/>
    <mergeCell ref="P3:R3"/>
    <mergeCell ref="B4:D4"/>
    <mergeCell ref="G4:I4"/>
    <mergeCell ref="L4:M4"/>
    <mergeCell ref="P4:R4"/>
    <mergeCell ref="B5:C5"/>
    <mergeCell ref="G5:H5"/>
    <mergeCell ref="L5:M5"/>
    <mergeCell ref="P5:R5"/>
    <mergeCell ref="G6:H6"/>
    <mergeCell ref="L6:M6"/>
    <mergeCell ref="B7:C7"/>
    <mergeCell ref="G7:H7"/>
    <mergeCell ref="L7:M7"/>
    <mergeCell ref="P7:R7"/>
    <mergeCell ref="G8:H8"/>
    <mergeCell ref="L8:M8"/>
    <mergeCell ref="P8:Q8"/>
    <mergeCell ref="G9:H9"/>
    <mergeCell ref="L9:M9"/>
    <mergeCell ref="P9:R9"/>
    <mergeCell ref="B10:D10"/>
    <mergeCell ref="G10:H10"/>
    <mergeCell ref="L10:M10"/>
    <mergeCell ref="P10:Q10"/>
    <mergeCell ref="G11:H11"/>
    <mergeCell ref="L11:M11"/>
    <mergeCell ref="G12:H12"/>
    <mergeCell ref="L12:M12"/>
    <mergeCell ref="G13:H13"/>
    <mergeCell ref="L13:M13"/>
    <mergeCell ref="G14:H14"/>
    <mergeCell ref="L14:M14"/>
    <mergeCell ref="L15:M15"/>
    <mergeCell ref="G16:I16"/>
    <mergeCell ref="G17:H17"/>
    <mergeCell ref="G18:H18"/>
    <mergeCell ref="B19:C19"/>
    <mergeCell ref="G19:H19"/>
    <mergeCell ref="G20:H20"/>
    <mergeCell ref="L20:N20"/>
    <mergeCell ref="B21:C21"/>
    <mergeCell ref="G21:H21"/>
    <mergeCell ref="L21:M21"/>
    <mergeCell ref="G22:H22"/>
    <mergeCell ref="L22:M22"/>
    <mergeCell ref="B23:D23"/>
    <mergeCell ref="G23:H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B30:C30"/>
    <mergeCell ref="C15:C18"/>
    <mergeCell ref="D15:D18"/>
  </mergeCells>
  <dataValidations count="4">
    <dataValidation type="list" allowBlank="1" showInputMessage="1" showErrorMessage="1" sqref="D3">
      <formula1>"JAN,FEV,MAR,ABR,MAI,JUN,JUL,TOTAL GERAL"</formula1>
    </dataValidation>
    <dataValidation type="list" allowBlank="1" showErrorMessage="1" sqref="D7">
      <formula1>"$#REF!.$A$2:$A$3"</formula1>
    </dataValidation>
    <dataValidation type="list" allowBlank="1" showErrorMessage="1" sqref="C12">
      <formula1>$A$4:$A$10</formula1>
    </dataValidation>
    <dataValidation type="list" allowBlank="1" showErrorMessage="1" sqref="C14">
      <formula1>"0%,5%,7%,12%,18%"</formula1>
    </dataValidation>
  </dataValidations>
  <pageMargins left="0.511811024" right="0.511811024" top="0.787401575" bottom="0.787401575" header="0.31496062" footer="0.31496062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15"/>
  <sheetViews>
    <sheetView showGridLines="0" workbookViewId="0">
      <selection activeCell="I7" sqref="I7"/>
    </sheetView>
  </sheetViews>
  <sheetFormatPr defaultColWidth="9" defaultRowHeight="14.4"/>
  <cols>
    <col min="2" max="2" width="11.6666666666667" customWidth="1"/>
    <col min="3" max="3" width="11.4444444444444" customWidth="1"/>
    <col min="4" max="4" width="10.5555555555556" customWidth="1"/>
    <col min="5" max="5" width="11" customWidth="1"/>
    <col min="6" max="7" width="14.3333333333333" customWidth="1"/>
    <col min="8" max="8" width="19.6666666666667" customWidth="1"/>
    <col min="9" max="9" width="14.3333333333333" customWidth="1"/>
    <col min="12" max="12" width="9.66666666666667"/>
    <col min="15" max="15" width="9.66666666666667"/>
    <col min="17" max="19" width="9.66666666666667"/>
  </cols>
  <sheetData>
    <row r="4" spans="2:9">
      <c r="G4" s="105"/>
    </row>
    <row r="5" spans="2:9">
      <c r="B5" s="106" t="s">
        <v>4</v>
      </c>
      <c r="C5" s="107" t="s">
        <v>69</v>
      </c>
      <c r="D5" s="108" t="s">
        <v>70</v>
      </c>
      <c r="E5" s="106" t="s">
        <v>71</v>
      </c>
      <c r="F5" s="107" t="s">
        <v>8</v>
      </c>
      <c r="G5" s="109" t="s">
        <v>72</v>
      </c>
      <c r="H5" s="106" t="s">
        <v>73</v>
      </c>
      <c r="I5" s="107" t="s">
        <v>20</v>
      </c>
    </row>
    <row r="6" spans="2:9">
      <c r="B6" s="110" t="s">
        <v>74</v>
      </c>
      <c r="C6" s="111">
        <f>'CUSTO NOVA'!I83</f>
        <v>82</v>
      </c>
      <c r="D6" s="112">
        <f>'CUSTO NOVA'!AF83</f>
        <v>4015.812</v>
      </c>
      <c r="E6" s="113">
        <f>'CUSTO NOVA'!L83</f>
        <v>13761.699</v>
      </c>
      <c r="F6" s="112">
        <f>'CUSTO NOVA'!M83</f>
        <v>33465.1</v>
      </c>
      <c r="G6" s="112">
        <f>'CUSTO NOVA'!T83</f>
        <v>8055.45</v>
      </c>
      <c r="H6" s="112">
        <f>'CUSTO NOVA'!J83</f>
        <v>339347.57</v>
      </c>
      <c r="I6" s="112">
        <f>'CUSTO NOVA'!V83</f>
        <v>22859.0303</v>
      </c>
    </row>
    <row r="7" spans="2:9">
      <c r="B7" s="110" t="s">
        <v>75</v>
      </c>
      <c r="C7" s="114"/>
      <c r="D7" s="114"/>
      <c r="E7" s="114"/>
      <c r="F7" s="114"/>
      <c r="G7" s="114"/>
      <c r="H7" s="114"/>
      <c r="I7" s="114"/>
    </row>
    <row r="8" spans="2:9">
      <c r="B8" s="110" t="s">
        <v>76</v>
      </c>
      <c r="C8" s="114"/>
      <c r="D8" s="114"/>
      <c r="E8" s="114"/>
      <c r="F8" s="114"/>
      <c r="G8" s="114"/>
      <c r="H8" s="114"/>
      <c r="I8" s="114"/>
    </row>
    <row r="9" spans="2:9">
      <c r="B9" s="110" t="s">
        <v>77</v>
      </c>
      <c r="C9" s="114"/>
      <c r="D9" s="114"/>
      <c r="E9" s="114"/>
      <c r="F9" s="114"/>
      <c r="G9" s="114"/>
      <c r="H9" s="114"/>
      <c r="I9" s="114"/>
    </row>
    <row r="10" spans="2:9">
      <c r="B10" s="110" t="s">
        <v>78</v>
      </c>
      <c r="C10" s="114"/>
      <c r="D10" s="114"/>
      <c r="E10" s="114"/>
      <c r="F10" s="114"/>
      <c r="G10" s="114"/>
      <c r="H10" s="114"/>
      <c r="I10" s="114"/>
    </row>
    <row r="11" spans="2:9">
      <c r="B11" s="110" t="s">
        <v>79</v>
      </c>
      <c r="C11" s="114"/>
      <c r="D11" s="114"/>
      <c r="E11" s="114"/>
      <c r="F11" s="114"/>
      <c r="G11" s="114"/>
      <c r="H11" s="114"/>
      <c r="I11" s="114"/>
    </row>
    <row r="12" spans="2:9">
      <c r="B12" s="110" t="s">
        <v>80</v>
      </c>
      <c r="C12" s="114"/>
      <c r="D12" s="114"/>
      <c r="E12" s="114"/>
      <c r="F12" s="114"/>
      <c r="G12" s="114"/>
      <c r="H12" s="114"/>
      <c r="I12" s="114"/>
    </row>
    <row r="13" spans="2:9">
      <c r="B13" s="110" t="s">
        <v>81</v>
      </c>
      <c r="C13" s="114"/>
      <c r="D13" s="114"/>
      <c r="E13" s="114"/>
      <c r="F13" s="114"/>
      <c r="G13" s="114"/>
      <c r="H13" s="114"/>
      <c r="I13" s="114"/>
    </row>
    <row r="14" spans="2:9">
      <c r="B14" s="110" t="s">
        <v>82</v>
      </c>
      <c r="C14" s="114"/>
      <c r="D14" s="114"/>
      <c r="E14" s="114"/>
      <c r="F14" s="114"/>
      <c r="G14" s="114"/>
      <c r="H14" s="114"/>
      <c r="I14" s="114"/>
    </row>
    <row r="15" spans="2:9">
      <c r="B15" s="115" t="s">
        <v>83</v>
      </c>
      <c r="C15" s="116">
        <f t="shared" ref="C15:I15" si="0">SUM(C6:C14)</f>
        <v>82</v>
      </c>
      <c r="D15" s="117">
        <f t="shared" si="0"/>
        <v>4015.812</v>
      </c>
      <c r="E15" s="118">
        <f t="shared" si="0"/>
        <v>13761.699</v>
      </c>
      <c r="F15" s="117">
        <f t="shared" si="0"/>
        <v>33465.1</v>
      </c>
      <c r="G15" s="117">
        <f t="shared" si="0"/>
        <v>8055.45</v>
      </c>
      <c r="H15" s="119">
        <f t="shared" si="0"/>
        <v>339347.57</v>
      </c>
      <c r="I15" s="117">
        <f t="shared" si="0"/>
        <v>22859.0303</v>
      </c>
    </row>
  </sheetData>
  <pageMargins left="0.511811024" right="0.511811024" top="0.787401575" bottom="0.787401575" header="0.31496062" footer="0.31496062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pane ySplit="2" topLeftCell="A3" activePane="bottomLeft" state="frozen"/>
      <selection/>
      <selection pane="bottomLeft" activeCell="H27" sqref="H27"/>
    </sheetView>
  </sheetViews>
  <sheetFormatPr defaultColWidth="9" defaultRowHeight="14.4" outlineLevelRow="1"/>
  <sheetData>
    <row r="2" ht="47" customHeight="1"/>
  </sheetData>
  <pageMargins left="0.511811024" right="0.511811024" top="0.787401575" bottom="0.787401575" header="0.31496062" footer="0.31496062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M83"/>
  <sheetViews>
    <sheetView zoomScale="85" zoomScaleNormal="85" topLeftCell="A32" workbookViewId="0">
      <selection activeCell="CW88" sqref="CW88"/>
    </sheetView>
  </sheetViews>
  <sheetFormatPr defaultColWidth="8.88888888888889" defaultRowHeight="10.2"/>
  <cols>
    <col min="1" max="1" width="2.22222222222222" style="1" customWidth="1"/>
    <col min="2" max="5" width="8.88888888888889" style="1"/>
    <col min="6" max="6" width="9" style="1"/>
    <col min="7" max="38" width="8.88888888888889" style="1"/>
    <col min="39" max="39" width="15.037037037037" style="1" customWidth="1"/>
    <col min="40" max="41" width="8.88888888888889" style="1"/>
    <col min="42" max="42" width="8.88888888888889" style="1" hidden="1" customWidth="1"/>
    <col min="43" max="43" width="8.88888888888889" style="1"/>
    <col min="44" max="50" width="8.88888888888889" style="1" hidden="1" customWidth="1"/>
    <col min="51" max="51" width="8.88888888888889" style="1"/>
    <col min="52" max="53" width="8.88888888888889" style="1" hidden="1" customWidth="1"/>
    <col min="54" max="54" width="8.88888888888889" style="1"/>
    <col min="55" max="56" width="8.88888888888889" style="1" hidden="1" customWidth="1"/>
    <col min="57" max="58" width="8.88888888888889" style="1"/>
    <col min="59" max="60" width="8.88888888888889" style="1" customWidth="1"/>
    <col min="61" max="68" width="8.88888888888889" style="1" hidden="1" customWidth="1"/>
    <col min="69" max="69" width="8.88888888888889" style="1" customWidth="1"/>
    <col min="70" max="75" width="8.88888888888889" style="1" hidden="1" customWidth="1"/>
    <col min="76" max="76" width="8.88888888888889" style="1" customWidth="1"/>
    <col min="77" max="98" width="8.88888888888889" style="1" hidden="1" customWidth="1"/>
    <col min="99" max="99" width="8.88888888888889" style="1"/>
    <col min="100" max="100" width="14.1111111111111" style="1" customWidth="1"/>
    <col min="101" max="101" width="14.5092592592593" style="1" customWidth="1"/>
    <col min="102" max="102" width="10.3240740740741" style="1" customWidth="1"/>
    <col min="103" max="103" width="10.8518518518519" style="1" customWidth="1"/>
    <col min="104" max="104" width="13.7222222222222" style="1" customWidth="1"/>
    <col min="105" max="105" width="23.2222222222222" style="1" customWidth="1"/>
    <col min="106" max="16384" width="8.88888888888889" style="1"/>
  </cols>
  <sheetData>
    <row r="1" s="100" customFormat="1" ht="12" spans="1:117">
      <c r="A1" s="100">
        <v>1</v>
      </c>
      <c r="B1" s="100" t="s">
        <v>84</v>
      </c>
      <c r="C1" s="100" t="s">
        <v>85</v>
      </c>
      <c r="D1" s="100" t="s">
        <v>86</v>
      </c>
      <c r="E1" s="100" t="s">
        <v>87</v>
      </c>
      <c r="F1" s="100" t="s">
        <v>88</v>
      </c>
      <c r="G1" s="100" t="s">
        <v>89</v>
      </c>
      <c r="H1" s="100" t="s">
        <v>90</v>
      </c>
      <c r="I1" s="100" t="s">
        <v>91</v>
      </c>
      <c r="J1" s="100" t="s">
        <v>92</v>
      </c>
      <c r="K1" s="100" t="s">
        <v>93</v>
      </c>
      <c r="L1" s="100" t="s">
        <v>94</v>
      </c>
      <c r="M1" s="100" t="s">
        <v>95</v>
      </c>
      <c r="N1" s="100" t="s">
        <v>96</v>
      </c>
      <c r="O1" s="100" t="s">
        <v>97</v>
      </c>
      <c r="P1" s="100" t="s">
        <v>98</v>
      </c>
      <c r="Q1" s="100" t="s">
        <v>99</v>
      </c>
      <c r="R1" s="100" t="s">
        <v>100</v>
      </c>
      <c r="S1" s="100" t="s">
        <v>101</v>
      </c>
      <c r="T1" s="100" t="s">
        <v>102</v>
      </c>
      <c r="U1" s="100" t="s">
        <v>103</v>
      </c>
      <c r="V1" s="100" t="s">
        <v>104</v>
      </c>
      <c r="W1" s="100" t="s">
        <v>105</v>
      </c>
      <c r="X1" s="100" t="s">
        <v>106</v>
      </c>
      <c r="Y1" s="100" t="s">
        <v>107</v>
      </c>
      <c r="Z1" s="100" t="s">
        <v>108</v>
      </c>
      <c r="AA1" s="100" t="s">
        <v>109</v>
      </c>
      <c r="AB1" s="100" t="s">
        <v>110</v>
      </c>
      <c r="AC1" s="100" t="s">
        <v>111</v>
      </c>
      <c r="AD1" s="100" t="s">
        <v>112</v>
      </c>
      <c r="AE1" s="100" t="s">
        <v>113</v>
      </c>
      <c r="AF1" s="100" t="s">
        <v>114</v>
      </c>
      <c r="AG1" s="100" t="s">
        <v>115</v>
      </c>
      <c r="AH1" s="100" t="s">
        <v>116</v>
      </c>
      <c r="AI1" s="100" t="s">
        <v>117</v>
      </c>
      <c r="AJ1" s="100" t="s">
        <v>118</v>
      </c>
      <c r="AK1" s="100" t="s">
        <v>119</v>
      </c>
      <c r="AL1" s="100" t="s">
        <v>120</v>
      </c>
      <c r="AM1" s="100" t="s">
        <v>121</v>
      </c>
      <c r="AN1" s="100" t="s">
        <v>122</v>
      </c>
      <c r="AO1" s="100" t="s">
        <v>123</v>
      </c>
      <c r="AP1" s="100" t="s">
        <v>124</v>
      </c>
      <c r="AQ1" s="100" t="s">
        <v>125</v>
      </c>
      <c r="AR1" s="100" t="s">
        <v>126</v>
      </c>
      <c r="AS1" s="100" t="s">
        <v>127</v>
      </c>
      <c r="AT1" s="100" t="s">
        <v>128</v>
      </c>
      <c r="AU1" s="100" t="s">
        <v>129</v>
      </c>
      <c r="AV1" s="100" t="s">
        <v>130</v>
      </c>
      <c r="AW1" s="100" t="s">
        <v>131</v>
      </c>
      <c r="AX1" s="100" t="s">
        <v>132</v>
      </c>
      <c r="AY1" s="100" t="s">
        <v>133</v>
      </c>
      <c r="AZ1" s="100" t="s">
        <v>134</v>
      </c>
      <c r="BA1" s="100" t="s">
        <v>135</v>
      </c>
      <c r="BB1" s="100" t="s">
        <v>136</v>
      </c>
      <c r="BC1" s="100" t="s">
        <v>137</v>
      </c>
      <c r="BD1" s="100" t="s">
        <v>138</v>
      </c>
      <c r="BE1" s="100" t="s">
        <v>139</v>
      </c>
      <c r="BF1" s="100" t="s">
        <v>140</v>
      </c>
      <c r="BG1" s="100" t="s">
        <v>141</v>
      </c>
      <c r="BH1" s="100" t="s">
        <v>142</v>
      </c>
      <c r="BI1" s="100" t="s">
        <v>143</v>
      </c>
      <c r="BJ1" s="100" t="s">
        <v>144</v>
      </c>
      <c r="BK1" s="100" t="s">
        <v>145</v>
      </c>
      <c r="BL1" s="100" t="s">
        <v>146</v>
      </c>
      <c r="BM1" s="100" t="s">
        <v>147</v>
      </c>
      <c r="BN1" s="100" t="s">
        <v>148</v>
      </c>
      <c r="BO1" s="100" t="s">
        <v>149</v>
      </c>
      <c r="BP1" s="100" t="s">
        <v>150</v>
      </c>
      <c r="BQ1" s="100" t="s">
        <v>151</v>
      </c>
      <c r="BR1" s="100" t="s">
        <v>152</v>
      </c>
      <c r="BS1" s="100" t="s">
        <v>153</v>
      </c>
      <c r="BT1" s="100" t="s">
        <v>154</v>
      </c>
      <c r="BU1" s="100" t="s">
        <v>155</v>
      </c>
      <c r="BV1" s="100" t="s">
        <v>156</v>
      </c>
      <c r="BW1" s="100" t="s">
        <v>157</v>
      </c>
      <c r="BX1" s="100" t="s">
        <v>158</v>
      </c>
      <c r="BY1" s="100" t="s">
        <v>159</v>
      </c>
      <c r="BZ1" s="100" t="s">
        <v>160</v>
      </c>
      <c r="CA1" s="100" t="s">
        <v>161</v>
      </c>
      <c r="CB1" s="100" t="s">
        <v>162</v>
      </c>
      <c r="CC1" s="100" t="s">
        <v>163</v>
      </c>
      <c r="CD1" s="100" t="s">
        <v>164</v>
      </c>
      <c r="CE1" s="100" t="s">
        <v>165</v>
      </c>
      <c r="CF1" s="100" t="s">
        <v>166</v>
      </c>
      <c r="CG1" s="100" t="s">
        <v>167</v>
      </c>
      <c r="CH1" s="100" t="s">
        <v>168</v>
      </c>
      <c r="CI1" s="100" t="s">
        <v>169</v>
      </c>
      <c r="CJ1" s="100" t="s">
        <v>170</v>
      </c>
      <c r="CK1" s="100" t="s">
        <v>171</v>
      </c>
      <c r="CL1" s="100" t="s">
        <v>172</v>
      </c>
      <c r="CM1" s="100" t="s">
        <v>173</v>
      </c>
      <c r="CN1" s="100" t="s">
        <v>174</v>
      </c>
      <c r="CO1" s="100" t="s">
        <v>175</v>
      </c>
      <c r="CP1" s="100" t="s">
        <v>176</v>
      </c>
      <c r="CQ1" s="100" t="s">
        <v>177</v>
      </c>
      <c r="CR1" s="100" t="s">
        <v>178</v>
      </c>
      <c r="CS1" s="100" t="s">
        <v>179</v>
      </c>
      <c r="CT1" s="100" t="s">
        <v>180</v>
      </c>
      <c r="CU1" s="100" t="s">
        <v>181</v>
      </c>
      <c r="CV1" s="100" t="s">
        <v>182</v>
      </c>
      <c r="CW1" s="101" t="s">
        <v>183</v>
      </c>
      <c r="CX1" s="100" t="s">
        <v>184</v>
      </c>
      <c r="CY1" s="100" t="s">
        <v>185</v>
      </c>
      <c r="CZ1" s="100" t="s">
        <v>186</v>
      </c>
      <c r="DA1" s="101" t="s">
        <v>187</v>
      </c>
      <c r="DB1" s="100" t="s">
        <v>188</v>
      </c>
      <c r="DC1" s="2"/>
      <c r="DD1" s="2"/>
      <c r="DE1" s="2" t="s">
        <v>189</v>
      </c>
      <c r="DF1" s="2" t="s">
        <v>190</v>
      </c>
      <c r="DG1" s="2" t="s">
        <v>191</v>
      </c>
      <c r="DH1" s="2" t="s">
        <v>192</v>
      </c>
      <c r="DI1" s="2" t="s">
        <v>193</v>
      </c>
      <c r="DJ1" s="2" t="s">
        <v>194</v>
      </c>
      <c r="DK1" s="2" t="s">
        <v>195</v>
      </c>
      <c r="DL1" s="2" t="s">
        <v>196</v>
      </c>
      <c r="DM1" s="2" t="s">
        <v>197</v>
      </c>
    </row>
    <row r="2" s="2" customFormat="1" ht="12" spans="1:117">
      <c r="A2" s="2">
        <v>2</v>
      </c>
      <c r="B2" s="2" t="s">
        <v>198</v>
      </c>
      <c r="C2" s="2" t="s">
        <v>199</v>
      </c>
      <c r="D2" s="2" t="s">
        <v>200</v>
      </c>
      <c r="E2" s="2" t="s">
        <v>201</v>
      </c>
      <c r="F2" s="102">
        <v>46237</v>
      </c>
      <c r="G2" s="2" t="s">
        <v>202</v>
      </c>
      <c r="H2" s="2" t="s">
        <v>203</v>
      </c>
      <c r="I2" s="2" t="s">
        <v>204</v>
      </c>
      <c r="J2" s="2" t="s">
        <v>205</v>
      </c>
      <c r="K2" s="2" t="s">
        <v>206</v>
      </c>
      <c r="L2" s="2" t="s">
        <v>207</v>
      </c>
      <c r="M2" s="2">
        <v>892</v>
      </c>
      <c r="N2" s="2" t="s">
        <v>208</v>
      </c>
      <c r="O2" s="2" t="s">
        <v>209</v>
      </c>
      <c r="P2" s="2" t="s">
        <v>210</v>
      </c>
      <c r="Q2" s="2" t="s">
        <v>204</v>
      </c>
      <c r="R2" s="2" t="s">
        <v>205</v>
      </c>
      <c r="S2" s="2" t="s">
        <v>208</v>
      </c>
      <c r="T2" s="2" t="s">
        <v>209</v>
      </c>
      <c r="U2" s="2" t="s">
        <v>204</v>
      </c>
      <c r="V2" s="2" t="s">
        <v>205</v>
      </c>
      <c r="W2" s="2" t="s">
        <v>206</v>
      </c>
      <c r="X2" s="2" t="s">
        <v>207</v>
      </c>
      <c r="Y2" s="2" t="s">
        <v>208</v>
      </c>
      <c r="Z2" s="2" t="s">
        <v>209</v>
      </c>
      <c r="AA2" s="2" t="s">
        <v>211</v>
      </c>
      <c r="AB2" s="2" t="s">
        <v>212</v>
      </c>
      <c r="AC2" s="2" t="s">
        <v>213</v>
      </c>
      <c r="AD2" s="2" t="s">
        <v>214</v>
      </c>
      <c r="AE2" s="2" t="s">
        <v>215</v>
      </c>
      <c r="AF2" s="2" t="s">
        <v>216</v>
      </c>
      <c r="AG2" s="2" t="s">
        <v>217</v>
      </c>
      <c r="AH2" s="2" t="s">
        <v>218</v>
      </c>
      <c r="AI2" s="2" t="s">
        <v>213</v>
      </c>
      <c r="AJ2" s="2" t="s">
        <v>214</v>
      </c>
      <c r="AK2" s="2" t="s">
        <v>217</v>
      </c>
      <c r="AL2" s="2" t="s">
        <v>218</v>
      </c>
      <c r="AM2" s="2" t="s">
        <v>219</v>
      </c>
      <c r="AN2" s="198" t="s">
        <v>220</v>
      </c>
      <c r="AO2" s="2">
        <v>55.36</v>
      </c>
      <c r="AP2" s="2">
        <v>0.0001</v>
      </c>
      <c r="AQ2" s="2">
        <v>10</v>
      </c>
      <c r="AR2" s="2">
        <v>0</v>
      </c>
      <c r="AS2" s="2" t="s">
        <v>221</v>
      </c>
      <c r="AT2" s="2" t="s">
        <v>222</v>
      </c>
      <c r="AU2" s="102">
        <v>46262</v>
      </c>
      <c r="AV2" s="2">
        <v>247.68</v>
      </c>
      <c r="AW2" s="2" t="s">
        <v>223</v>
      </c>
      <c r="AX2" s="2" t="s">
        <v>223</v>
      </c>
      <c r="AY2" s="2">
        <v>1536.74</v>
      </c>
      <c r="AZ2" s="2" t="s">
        <v>224</v>
      </c>
      <c r="BA2" s="2" t="s">
        <v>225</v>
      </c>
      <c r="BB2" s="2">
        <v>247.68</v>
      </c>
      <c r="BC2" s="2">
        <v>217.96</v>
      </c>
      <c r="BD2" s="2">
        <v>247.68</v>
      </c>
      <c r="BE2" s="2">
        <v>29.72</v>
      </c>
      <c r="BF2" s="12">
        <v>0.12</v>
      </c>
      <c r="BG2" s="2">
        <v>0</v>
      </c>
      <c r="BH2" s="2">
        <v>55.36</v>
      </c>
      <c r="BI2" s="2">
        <v>181.6</v>
      </c>
      <c r="BJ2" s="2">
        <v>0</v>
      </c>
      <c r="BK2" s="2">
        <v>18</v>
      </c>
      <c r="BL2" s="2">
        <v>0</v>
      </c>
      <c r="BM2" s="2">
        <v>0</v>
      </c>
      <c r="BN2" s="2">
        <v>3.25</v>
      </c>
      <c r="BO2" s="2">
        <v>5.5</v>
      </c>
      <c r="BP2" s="2">
        <v>4.23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5.38</v>
      </c>
      <c r="CB2" s="2" t="s">
        <v>226</v>
      </c>
      <c r="CC2" s="2" t="s">
        <v>227</v>
      </c>
      <c r="CD2" s="2">
        <v>373.35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49.54</v>
      </c>
      <c r="CV2" s="2" t="s">
        <v>228</v>
      </c>
      <c r="CW2" s="2">
        <v>49.54</v>
      </c>
      <c r="CX2" s="198" t="s">
        <v>229</v>
      </c>
      <c r="CY2" s="2">
        <v>86.69</v>
      </c>
      <c r="CZ2" s="2" t="s">
        <v>230</v>
      </c>
      <c r="DA2" s="2">
        <v>86.69</v>
      </c>
      <c r="DB2" s="198" t="s">
        <v>231</v>
      </c>
      <c r="DE2" s="2">
        <v>0</v>
      </c>
      <c r="DF2" s="2" t="s">
        <v>232</v>
      </c>
      <c r="DG2" s="2" t="s">
        <v>209</v>
      </c>
      <c r="DH2" s="2" t="s">
        <v>208</v>
      </c>
      <c r="DI2" s="2">
        <v>252895738</v>
      </c>
      <c r="DJ2" s="2" t="s">
        <v>211</v>
      </c>
      <c r="DK2" s="2">
        <v>0</v>
      </c>
      <c r="DL2" s="2" t="s">
        <v>201</v>
      </c>
      <c r="DM2" s="2">
        <v>29.72</v>
      </c>
    </row>
    <row r="3" s="2" customFormat="1" ht="12" spans="1:117">
      <c r="A3" s="2">
        <v>2</v>
      </c>
      <c r="B3" s="2" t="s">
        <v>233</v>
      </c>
      <c r="C3" s="2" t="s">
        <v>199</v>
      </c>
      <c r="D3" s="2" t="s">
        <v>200</v>
      </c>
      <c r="E3" s="2" t="s">
        <v>201</v>
      </c>
      <c r="F3" s="102">
        <v>46237</v>
      </c>
      <c r="G3" s="2" t="s">
        <v>202</v>
      </c>
      <c r="H3" s="2" t="s">
        <v>234</v>
      </c>
      <c r="I3" s="2" t="s">
        <v>204</v>
      </c>
      <c r="J3" s="2" t="s">
        <v>205</v>
      </c>
      <c r="K3" s="2" t="s">
        <v>206</v>
      </c>
      <c r="L3" s="2" t="s">
        <v>207</v>
      </c>
      <c r="M3" s="2">
        <v>892</v>
      </c>
      <c r="N3" s="2" t="s">
        <v>208</v>
      </c>
      <c r="O3" s="2" t="s">
        <v>209</v>
      </c>
      <c r="P3" s="2" t="s">
        <v>210</v>
      </c>
      <c r="Q3" s="2" t="s">
        <v>204</v>
      </c>
      <c r="R3" s="2" t="s">
        <v>205</v>
      </c>
      <c r="S3" s="2" t="s">
        <v>208</v>
      </c>
      <c r="T3" s="2" t="s">
        <v>209</v>
      </c>
      <c r="U3" s="2" t="s">
        <v>204</v>
      </c>
      <c r="V3" s="2" t="s">
        <v>205</v>
      </c>
      <c r="W3" s="2" t="s">
        <v>206</v>
      </c>
      <c r="X3" s="2" t="s">
        <v>207</v>
      </c>
      <c r="Y3" s="2" t="s">
        <v>208</v>
      </c>
      <c r="Z3" s="2" t="s">
        <v>209</v>
      </c>
      <c r="AA3" s="2" t="s">
        <v>211</v>
      </c>
      <c r="AB3" s="2" t="s">
        <v>212</v>
      </c>
      <c r="AC3" s="2" t="s">
        <v>235</v>
      </c>
      <c r="AD3" s="2" t="s">
        <v>236</v>
      </c>
      <c r="AE3" s="2" t="s">
        <v>237</v>
      </c>
      <c r="AF3" s="2" t="s">
        <v>216</v>
      </c>
      <c r="AG3" s="2" t="s">
        <v>238</v>
      </c>
      <c r="AH3" s="2" t="s">
        <v>218</v>
      </c>
      <c r="AI3" s="2" t="s">
        <v>235</v>
      </c>
      <c r="AJ3" s="2" t="s">
        <v>236</v>
      </c>
      <c r="AK3" s="2" t="s">
        <v>238</v>
      </c>
      <c r="AL3" s="2" t="s">
        <v>218</v>
      </c>
      <c r="AM3" s="2" t="s">
        <v>219</v>
      </c>
      <c r="AN3" s="198" t="s">
        <v>239</v>
      </c>
      <c r="AO3" s="2">
        <v>44.036</v>
      </c>
      <c r="AP3" s="2">
        <v>0.0001</v>
      </c>
      <c r="AQ3" s="2">
        <v>13</v>
      </c>
      <c r="AR3" s="2">
        <v>0</v>
      </c>
      <c r="AS3" s="2" t="s">
        <v>221</v>
      </c>
      <c r="AT3" s="2" t="s">
        <v>222</v>
      </c>
      <c r="AU3" s="102">
        <v>46262</v>
      </c>
      <c r="AV3" s="2">
        <v>204.4</v>
      </c>
      <c r="AW3" s="2" t="s">
        <v>223</v>
      </c>
      <c r="AX3" s="2" t="s">
        <v>223</v>
      </c>
      <c r="AY3" s="2">
        <v>1596.25</v>
      </c>
      <c r="AZ3" s="2" t="s">
        <v>224</v>
      </c>
      <c r="BA3" s="2" t="s">
        <v>240</v>
      </c>
      <c r="BB3" s="2">
        <v>204.4</v>
      </c>
      <c r="BC3" s="2">
        <v>179.87</v>
      </c>
      <c r="BD3" s="2">
        <v>204.4</v>
      </c>
      <c r="BE3" s="2">
        <v>24.53</v>
      </c>
      <c r="BF3" s="12">
        <v>0.12</v>
      </c>
      <c r="BG3" s="2">
        <v>0</v>
      </c>
      <c r="BH3" s="2">
        <v>44.036</v>
      </c>
      <c r="BI3" s="2">
        <v>143.3</v>
      </c>
      <c r="BJ3" s="2">
        <v>0</v>
      </c>
      <c r="BK3" s="2">
        <v>18</v>
      </c>
      <c r="BL3" s="2">
        <v>0</v>
      </c>
      <c r="BM3" s="2">
        <v>0</v>
      </c>
      <c r="BN3" s="2">
        <v>3.25</v>
      </c>
      <c r="BO3" s="2">
        <v>5.5</v>
      </c>
      <c r="BP3" s="2">
        <v>4.23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5.59</v>
      </c>
      <c r="CB3" s="2" t="s">
        <v>226</v>
      </c>
      <c r="CC3" s="2" t="s">
        <v>241</v>
      </c>
      <c r="CD3" s="2">
        <v>373.95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40.88</v>
      </c>
      <c r="CV3" s="2" t="s">
        <v>228</v>
      </c>
      <c r="CW3" s="2">
        <v>40.88</v>
      </c>
      <c r="CX3" s="198" t="s">
        <v>229</v>
      </c>
      <c r="CY3" s="2">
        <v>71.54</v>
      </c>
      <c r="CZ3" s="2" t="s">
        <v>230</v>
      </c>
      <c r="DA3" s="2">
        <v>71.54</v>
      </c>
      <c r="DB3" s="198" t="s">
        <v>231</v>
      </c>
      <c r="DE3" s="2">
        <v>0</v>
      </c>
      <c r="DF3" s="2" t="s">
        <v>232</v>
      </c>
      <c r="DG3" s="2" t="s">
        <v>209</v>
      </c>
      <c r="DH3" s="2" t="s">
        <v>208</v>
      </c>
      <c r="DI3" s="2">
        <v>252895738</v>
      </c>
      <c r="DJ3" s="2" t="s">
        <v>211</v>
      </c>
      <c r="DK3" s="2">
        <v>0</v>
      </c>
      <c r="DL3" s="2" t="s">
        <v>201</v>
      </c>
      <c r="DM3" s="2">
        <v>24.53</v>
      </c>
    </row>
    <row r="4" s="2" customFormat="1" ht="12" spans="1:117">
      <c r="A4" s="2">
        <v>2</v>
      </c>
      <c r="B4" s="2" t="s">
        <v>242</v>
      </c>
      <c r="C4" s="2" t="s">
        <v>199</v>
      </c>
      <c r="D4" s="2" t="s">
        <v>200</v>
      </c>
      <c r="E4" s="2" t="s">
        <v>201</v>
      </c>
      <c r="F4" s="102">
        <v>46237</v>
      </c>
      <c r="G4" s="2" t="s">
        <v>202</v>
      </c>
      <c r="H4" s="2" t="s">
        <v>243</v>
      </c>
      <c r="I4" s="2" t="s">
        <v>204</v>
      </c>
      <c r="J4" s="2" t="s">
        <v>205</v>
      </c>
      <c r="K4" s="2" t="s">
        <v>206</v>
      </c>
      <c r="L4" s="2" t="s">
        <v>207</v>
      </c>
      <c r="M4" s="2">
        <v>892</v>
      </c>
      <c r="N4" s="2" t="s">
        <v>208</v>
      </c>
      <c r="O4" s="2" t="s">
        <v>209</v>
      </c>
      <c r="P4" s="2" t="s">
        <v>210</v>
      </c>
      <c r="Q4" s="2" t="s">
        <v>204</v>
      </c>
      <c r="R4" s="2" t="s">
        <v>205</v>
      </c>
      <c r="S4" s="2" t="s">
        <v>208</v>
      </c>
      <c r="T4" s="2" t="s">
        <v>209</v>
      </c>
      <c r="U4" s="2" t="s">
        <v>204</v>
      </c>
      <c r="V4" s="2" t="s">
        <v>205</v>
      </c>
      <c r="W4" s="2" t="s">
        <v>206</v>
      </c>
      <c r="X4" s="2" t="s">
        <v>207</v>
      </c>
      <c r="Y4" s="2" t="s">
        <v>208</v>
      </c>
      <c r="Z4" s="2" t="s">
        <v>209</v>
      </c>
      <c r="AA4" s="2" t="s">
        <v>211</v>
      </c>
      <c r="AB4" s="2" t="s">
        <v>212</v>
      </c>
      <c r="AC4" s="2" t="s">
        <v>244</v>
      </c>
      <c r="AD4" s="2" t="s">
        <v>245</v>
      </c>
      <c r="AE4" s="2">
        <v>386</v>
      </c>
      <c r="AF4" s="2" t="s">
        <v>246</v>
      </c>
      <c r="AG4" s="2" t="s">
        <v>247</v>
      </c>
      <c r="AH4" s="2" t="s">
        <v>218</v>
      </c>
      <c r="AI4" s="2" t="s">
        <v>244</v>
      </c>
      <c r="AJ4" s="2" t="s">
        <v>245</v>
      </c>
      <c r="AK4" s="2" t="s">
        <v>247</v>
      </c>
      <c r="AL4" s="2" t="s">
        <v>218</v>
      </c>
      <c r="AM4" s="2" t="s">
        <v>248</v>
      </c>
      <c r="AN4" s="198" t="s">
        <v>249</v>
      </c>
      <c r="AO4" s="2">
        <v>64.212</v>
      </c>
      <c r="AP4" s="2">
        <v>0.0001</v>
      </c>
      <c r="AQ4" s="2">
        <v>18</v>
      </c>
      <c r="AR4" s="2">
        <v>0</v>
      </c>
      <c r="AS4" s="2" t="s">
        <v>221</v>
      </c>
      <c r="AT4" s="2" t="s">
        <v>222</v>
      </c>
      <c r="AU4" s="102">
        <v>46262</v>
      </c>
      <c r="AV4" s="2">
        <v>251.33</v>
      </c>
      <c r="AW4" s="2" t="s">
        <v>223</v>
      </c>
      <c r="AX4" s="2" t="s">
        <v>223</v>
      </c>
      <c r="AY4" s="2">
        <v>2369.18</v>
      </c>
      <c r="AZ4" s="2" t="s">
        <v>224</v>
      </c>
      <c r="BA4" s="2" t="s">
        <v>250</v>
      </c>
      <c r="BB4" s="2">
        <v>251.33</v>
      </c>
      <c r="BC4" s="2">
        <v>221.17</v>
      </c>
      <c r="BD4" s="2">
        <v>251.33</v>
      </c>
      <c r="BE4" s="2">
        <v>30.16</v>
      </c>
      <c r="BF4" s="12">
        <v>0.12</v>
      </c>
      <c r="BG4" s="2">
        <v>0</v>
      </c>
      <c r="BH4" s="2">
        <v>64.212</v>
      </c>
      <c r="BI4" s="2">
        <v>181.6</v>
      </c>
      <c r="BJ4" s="2">
        <v>0</v>
      </c>
      <c r="BK4" s="2">
        <v>18</v>
      </c>
      <c r="BL4" s="2">
        <v>0</v>
      </c>
      <c r="BM4" s="2">
        <v>0</v>
      </c>
      <c r="BN4" s="2">
        <v>3.55</v>
      </c>
      <c r="BO4" s="2">
        <v>5.5</v>
      </c>
      <c r="BP4" s="2">
        <v>4.23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8.29</v>
      </c>
      <c r="CB4" s="2" t="s">
        <v>226</v>
      </c>
      <c r="CC4" s="2" t="s">
        <v>251</v>
      </c>
      <c r="CD4" s="2">
        <v>381.67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50.27</v>
      </c>
      <c r="CV4" s="2" t="s">
        <v>228</v>
      </c>
      <c r="CW4" s="2">
        <v>50.27</v>
      </c>
      <c r="CX4" s="198" t="s">
        <v>229</v>
      </c>
      <c r="CY4" s="2">
        <v>51</v>
      </c>
      <c r="CZ4" s="2" t="s">
        <v>252</v>
      </c>
      <c r="DA4" s="2">
        <v>51</v>
      </c>
      <c r="DB4" s="198" t="s">
        <v>253</v>
      </c>
      <c r="DE4" s="2">
        <v>0</v>
      </c>
      <c r="DF4" s="2" t="s">
        <v>232</v>
      </c>
      <c r="DG4" s="2" t="s">
        <v>209</v>
      </c>
      <c r="DH4" s="2" t="s">
        <v>208</v>
      </c>
      <c r="DI4" s="2">
        <v>252895738</v>
      </c>
      <c r="DJ4" s="2" t="s">
        <v>211</v>
      </c>
      <c r="DK4" s="2">
        <v>0</v>
      </c>
      <c r="DL4" s="2" t="s">
        <v>201</v>
      </c>
      <c r="DM4" s="2">
        <v>30.16</v>
      </c>
    </row>
    <row r="5" s="2" customFormat="1" ht="12" spans="1:117">
      <c r="A5" s="2">
        <v>2</v>
      </c>
      <c r="B5" s="2" t="s">
        <v>254</v>
      </c>
      <c r="C5" s="2" t="s">
        <v>199</v>
      </c>
      <c r="D5" s="2" t="s">
        <v>200</v>
      </c>
      <c r="E5" s="2" t="s">
        <v>201</v>
      </c>
      <c r="F5" s="102">
        <v>46237</v>
      </c>
      <c r="G5" s="2" t="s">
        <v>202</v>
      </c>
      <c r="H5" s="2" t="s">
        <v>255</v>
      </c>
      <c r="I5" s="2" t="s">
        <v>204</v>
      </c>
      <c r="J5" s="2" t="s">
        <v>205</v>
      </c>
      <c r="K5" s="2" t="s">
        <v>206</v>
      </c>
      <c r="L5" s="2" t="s">
        <v>207</v>
      </c>
      <c r="M5" s="2">
        <v>892</v>
      </c>
      <c r="N5" s="2" t="s">
        <v>208</v>
      </c>
      <c r="O5" s="2" t="s">
        <v>209</v>
      </c>
      <c r="P5" s="2" t="s">
        <v>210</v>
      </c>
      <c r="Q5" s="2" t="s">
        <v>204</v>
      </c>
      <c r="R5" s="2" t="s">
        <v>205</v>
      </c>
      <c r="S5" s="2" t="s">
        <v>208</v>
      </c>
      <c r="T5" s="2" t="s">
        <v>209</v>
      </c>
      <c r="U5" s="2" t="s">
        <v>204</v>
      </c>
      <c r="V5" s="2" t="s">
        <v>205</v>
      </c>
      <c r="W5" s="2" t="s">
        <v>206</v>
      </c>
      <c r="X5" s="2" t="s">
        <v>207</v>
      </c>
      <c r="Y5" s="2" t="s">
        <v>208</v>
      </c>
      <c r="Z5" s="2" t="s">
        <v>209</v>
      </c>
      <c r="AA5" s="2" t="s">
        <v>211</v>
      </c>
      <c r="AB5" s="2" t="s">
        <v>212</v>
      </c>
      <c r="AC5" s="2" t="s">
        <v>256</v>
      </c>
      <c r="AD5" s="2" t="s">
        <v>257</v>
      </c>
      <c r="AE5" s="2" t="s">
        <v>258</v>
      </c>
      <c r="AF5" s="2" t="s">
        <v>259</v>
      </c>
      <c r="AG5" s="2" t="s">
        <v>260</v>
      </c>
      <c r="AH5" s="2" t="s">
        <v>218</v>
      </c>
      <c r="AI5" s="2" t="s">
        <v>256</v>
      </c>
      <c r="AJ5" s="2" t="s">
        <v>257</v>
      </c>
      <c r="AK5" s="2" t="s">
        <v>260</v>
      </c>
      <c r="AL5" s="2" t="s">
        <v>218</v>
      </c>
      <c r="AM5" s="2" t="s">
        <v>261</v>
      </c>
      <c r="AN5" s="198" t="s">
        <v>262</v>
      </c>
      <c r="AO5" s="2">
        <v>205.52</v>
      </c>
      <c r="AP5" s="2">
        <v>0.0001</v>
      </c>
      <c r="AQ5" s="2">
        <v>28</v>
      </c>
      <c r="AR5" s="2">
        <v>0</v>
      </c>
      <c r="AS5" s="2" t="s">
        <v>221</v>
      </c>
      <c r="AT5" s="2" t="s">
        <v>222</v>
      </c>
      <c r="AU5" s="102">
        <v>46262</v>
      </c>
      <c r="AV5" s="2">
        <v>394</v>
      </c>
      <c r="AW5" s="2" t="s">
        <v>223</v>
      </c>
      <c r="AX5" s="2" t="s">
        <v>223</v>
      </c>
      <c r="AY5" s="2">
        <v>4577.16</v>
      </c>
      <c r="AZ5" s="2" t="s">
        <v>224</v>
      </c>
      <c r="BA5" s="2" t="s">
        <v>263</v>
      </c>
      <c r="BB5" s="2">
        <v>394</v>
      </c>
      <c r="BC5" s="2">
        <v>346.72</v>
      </c>
      <c r="BD5" s="2">
        <v>394</v>
      </c>
      <c r="BE5" s="2">
        <v>47.28</v>
      </c>
      <c r="BF5" s="12">
        <v>0.12</v>
      </c>
      <c r="BG5" s="2">
        <v>0</v>
      </c>
      <c r="BH5" s="2">
        <v>205.52</v>
      </c>
      <c r="BI5" s="2">
        <v>285.1</v>
      </c>
      <c r="BJ5" s="2">
        <v>0</v>
      </c>
      <c r="BK5" s="2">
        <v>18</v>
      </c>
      <c r="BL5" s="2">
        <v>0</v>
      </c>
      <c r="BM5" s="2">
        <v>0</v>
      </c>
      <c r="BN5" s="2">
        <v>6.87</v>
      </c>
      <c r="BO5" s="2">
        <v>16.5</v>
      </c>
      <c r="BP5" s="2">
        <v>4.23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16.02</v>
      </c>
      <c r="CB5" s="2" t="s">
        <v>226</v>
      </c>
      <c r="CC5" s="2" t="s">
        <v>259</v>
      </c>
      <c r="CD5" s="2">
        <v>423.29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78.8</v>
      </c>
      <c r="CV5" s="2" t="s">
        <v>228</v>
      </c>
      <c r="CW5" s="2">
        <v>78.8</v>
      </c>
      <c r="CX5" s="198" t="s">
        <v>229</v>
      </c>
      <c r="CY5" s="2">
        <v>28.77</v>
      </c>
      <c r="CZ5" s="2" t="s">
        <v>264</v>
      </c>
      <c r="DA5" s="2">
        <v>0</v>
      </c>
      <c r="DE5" s="2">
        <v>0</v>
      </c>
      <c r="DF5" s="2" t="s">
        <v>232</v>
      </c>
      <c r="DG5" s="2" t="s">
        <v>209</v>
      </c>
      <c r="DH5" s="2" t="s">
        <v>208</v>
      </c>
      <c r="DI5" s="2">
        <v>252895738</v>
      </c>
      <c r="DJ5" s="2" t="s">
        <v>211</v>
      </c>
      <c r="DK5" s="2">
        <v>0</v>
      </c>
      <c r="DL5" s="2" t="s">
        <v>201</v>
      </c>
      <c r="DM5" s="2">
        <v>47.28</v>
      </c>
    </row>
    <row r="6" s="2" customFormat="1" ht="12" spans="1:117">
      <c r="A6" s="2">
        <v>2</v>
      </c>
      <c r="B6" s="2" t="s">
        <v>265</v>
      </c>
      <c r="C6" s="2" t="s">
        <v>199</v>
      </c>
      <c r="D6" s="2" t="s">
        <v>200</v>
      </c>
      <c r="E6" s="2" t="s">
        <v>201</v>
      </c>
      <c r="F6" s="102">
        <v>46237</v>
      </c>
      <c r="G6" s="2" t="s">
        <v>202</v>
      </c>
      <c r="H6" s="2" t="s">
        <v>266</v>
      </c>
      <c r="I6" s="2" t="s">
        <v>204</v>
      </c>
      <c r="J6" s="2" t="s">
        <v>205</v>
      </c>
      <c r="K6" s="2" t="s">
        <v>206</v>
      </c>
      <c r="L6" s="2" t="s">
        <v>207</v>
      </c>
      <c r="M6" s="2">
        <v>892</v>
      </c>
      <c r="N6" s="2" t="s">
        <v>208</v>
      </c>
      <c r="O6" s="2" t="s">
        <v>209</v>
      </c>
      <c r="P6" s="2" t="s">
        <v>210</v>
      </c>
      <c r="Q6" s="2" t="s">
        <v>204</v>
      </c>
      <c r="R6" s="2" t="s">
        <v>205</v>
      </c>
      <c r="S6" s="2" t="s">
        <v>208</v>
      </c>
      <c r="T6" s="2" t="s">
        <v>209</v>
      </c>
      <c r="U6" s="2" t="s">
        <v>204</v>
      </c>
      <c r="V6" s="2" t="s">
        <v>205</v>
      </c>
      <c r="W6" s="2" t="s">
        <v>206</v>
      </c>
      <c r="X6" s="2" t="s">
        <v>207</v>
      </c>
      <c r="Y6" s="2" t="s">
        <v>208</v>
      </c>
      <c r="Z6" s="2" t="s">
        <v>209</v>
      </c>
      <c r="AA6" s="2" t="s">
        <v>211</v>
      </c>
      <c r="AB6" s="2" t="s">
        <v>212</v>
      </c>
      <c r="AC6" s="2" t="s">
        <v>267</v>
      </c>
      <c r="AD6" s="2" t="s">
        <v>268</v>
      </c>
      <c r="AE6" s="2" t="s">
        <v>269</v>
      </c>
      <c r="AF6" s="2" t="s">
        <v>270</v>
      </c>
      <c r="AG6" s="2" t="s">
        <v>271</v>
      </c>
      <c r="AH6" s="2" t="s">
        <v>218</v>
      </c>
      <c r="AI6" s="2" t="s">
        <v>267</v>
      </c>
      <c r="AJ6" s="2" t="s">
        <v>268</v>
      </c>
      <c r="AK6" s="2" t="s">
        <v>271</v>
      </c>
      <c r="AL6" s="2" t="s">
        <v>218</v>
      </c>
      <c r="AM6" s="2" t="s">
        <v>272</v>
      </c>
      <c r="AN6" s="198" t="s">
        <v>273</v>
      </c>
      <c r="AO6" s="2">
        <v>65.852</v>
      </c>
      <c r="AP6" s="2">
        <v>0.0001</v>
      </c>
      <c r="AQ6" s="2">
        <v>9</v>
      </c>
      <c r="AR6" s="2">
        <v>0</v>
      </c>
      <c r="AS6" s="2" t="s">
        <v>221</v>
      </c>
      <c r="AT6" s="2" t="s">
        <v>222</v>
      </c>
      <c r="AU6" s="102">
        <v>46262</v>
      </c>
      <c r="AV6" s="2">
        <v>192.06</v>
      </c>
      <c r="AW6" s="2" t="s">
        <v>223</v>
      </c>
      <c r="AX6" s="2" t="s">
        <v>223</v>
      </c>
      <c r="AY6" s="2">
        <v>1699.8</v>
      </c>
      <c r="AZ6" s="2">
        <v>1700.8</v>
      </c>
      <c r="BA6" s="2" t="s">
        <v>274</v>
      </c>
      <c r="BB6" s="2">
        <v>192.06</v>
      </c>
      <c r="BC6" s="2">
        <v>169.01</v>
      </c>
      <c r="BD6" s="2">
        <v>192.06</v>
      </c>
      <c r="BE6" s="2">
        <v>23.05</v>
      </c>
      <c r="BF6" s="12">
        <v>0.12</v>
      </c>
      <c r="BG6" s="2">
        <v>0</v>
      </c>
      <c r="BH6" s="2">
        <v>65.852</v>
      </c>
      <c r="BI6" s="2">
        <v>132.08</v>
      </c>
      <c r="BJ6" s="2">
        <v>0</v>
      </c>
      <c r="BK6" s="2">
        <v>18</v>
      </c>
      <c r="BL6" s="2">
        <v>0</v>
      </c>
      <c r="BM6" s="2">
        <v>0</v>
      </c>
      <c r="BN6" s="2">
        <v>3.25</v>
      </c>
      <c r="BO6" s="2">
        <v>5.5</v>
      </c>
      <c r="BP6" s="2">
        <v>4.23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5.95</v>
      </c>
      <c r="CB6" s="2" t="s">
        <v>226</v>
      </c>
      <c r="CC6" s="2" t="s">
        <v>270</v>
      </c>
      <c r="CD6" s="2">
        <v>374.97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38.41</v>
      </c>
      <c r="CV6" s="2" t="s">
        <v>228</v>
      </c>
      <c r="CW6" s="2">
        <v>38.41</v>
      </c>
      <c r="CX6" s="198" t="s">
        <v>229</v>
      </c>
      <c r="CY6" s="2">
        <v>12</v>
      </c>
      <c r="CZ6" s="2" t="s">
        <v>264</v>
      </c>
      <c r="DA6" s="2">
        <v>0</v>
      </c>
      <c r="DE6" s="2">
        <v>0</v>
      </c>
      <c r="DF6" s="2" t="s">
        <v>232</v>
      </c>
      <c r="DG6" s="2" t="s">
        <v>209</v>
      </c>
      <c r="DH6" s="2" t="s">
        <v>208</v>
      </c>
      <c r="DI6" s="2">
        <v>252895738</v>
      </c>
      <c r="DJ6" s="2" t="s">
        <v>211</v>
      </c>
      <c r="DK6" s="2">
        <v>0</v>
      </c>
      <c r="DL6" s="2" t="s">
        <v>201</v>
      </c>
      <c r="DM6" s="2">
        <v>23.05</v>
      </c>
    </row>
    <row r="7" s="2" customFormat="1" ht="12" spans="1:117">
      <c r="A7" s="2">
        <v>2</v>
      </c>
      <c r="B7" s="2" t="s">
        <v>275</v>
      </c>
      <c r="C7" s="2" t="s">
        <v>199</v>
      </c>
      <c r="D7" s="2" t="s">
        <v>200</v>
      </c>
      <c r="E7" s="2" t="s">
        <v>201</v>
      </c>
      <c r="F7" s="102">
        <v>46237</v>
      </c>
      <c r="G7" s="2" t="s">
        <v>202</v>
      </c>
      <c r="H7" s="2" t="s">
        <v>276</v>
      </c>
      <c r="I7" s="2" t="s">
        <v>204</v>
      </c>
      <c r="J7" s="2" t="s">
        <v>205</v>
      </c>
      <c r="K7" s="2" t="s">
        <v>206</v>
      </c>
      <c r="L7" s="2" t="s">
        <v>207</v>
      </c>
      <c r="M7" s="2">
        <v>892</v>
      </c>
      <c r="N7" s="2" t="s">
        <v>208</v>
      </c>
      <c r="O7" s="2" t="s">
        <v>209</v>
      </c>
      <c r="P7" s="2" t="s">
        <v>210</v>
      </c>
      <c r="Q7" s="2" t="s">
        <v>204</v>
      </c>
      <c r="R7" s="2" t="s">
        <v>205</v>
      </c>
      <c r="S7" s="2" t="s">
        <v>208</v>
      </c>
      <c r="T7" s="2" t="s">
        <v>209</v>
      </c>
      <c r="U7" s="2" t="s">
        <v>204</v>
      </c>
      <c r="V7" s="2" t="s">
        <v>205</v>
      </c>
      <c r="W7" s="2" t="s">
        <v>206</v>
      </c>
      <c r="X7" s="2" t="s">
        <v>207</v>
      </c>
      <c r="Y7" s="2" t="s">
        <v>208</v>
      </c>
      <c r="Z7" s="2" t="s">
        <v>209</v>
      </c>
      <c r="AA7" s="2" t="s">
        <v>211</v>
      </c>
      <c r="AB7" s="2" t="s">
        <v>212</v>
      </c>
      <c r="AC7" s="2" t="s">
        <v>277</v>
      </c>
      <c r="AD7" s="2" t="s">
        <v>278</v>
      </c>
      <c r="AE7" s="2" t="s">
        <v>279</v>
      </c>
      <c r="AF7" s="2" t="s">
        <v>216</v>
      </c>
      <c r="AG7" s="2" t="s">
        <v>280</v>
      </c>
      <c r="AH7" s="2" t="s">
        <v>218</v>
      </c>
      <c r="AI7" s="2" t="s">
        <v>277</v>
      </c>
      <c r="AJ7" s="2" t="s">
        <v>278</v>
      </c>
      <c r="AK7" s="2" t="s">
        <v>280</v>
      </c>
      <c r="AL7" s="2" t="s">
        <v>218</v>
      </c>
      <c r="AM7" s="2" t="s">
        <v>219</v>
      </c>
      <c r="AN7" s="198" t="s">
        <v>281</v>
      </c>
      <c r="AO7" s="2">
        <v>107.628</v>
      </c>
      <c r="AP7" s="2">
        <v>0.0001</v>
      </c>
      <c r="AQ7" s="2">
        <v>21</v>
      </c>
      <c r="AR7" s="2">
        <v>0</v>
      </c>
      <c r="AS7" s="2" t="s">
        <v>221</v>
      </c>
      <c r="AT7" s="2" t="s">
        <v>222</v>
      </c>
      <c r="AU7" s="102">
        <v>46262</v>
      </c>
      <c r="AV7" s="2">
        <v>288.84</v>
      </c>
      <c r="AW7" s="2" t="s">
        <v>223</v>
      </c>
      <c r="AX7" s="2" t="s">
        <v>223</v>
      </c>
      <c r="AY7" s="2">
        <v>2951.4</v>
      </c>
      <c r="AZ7" s="2" t="s">
        <v>224</v>
      </c>
      <c r="BA7" s="2" t="s">
        <v>282</v>
      </c>
      <c r="BB7" s="2">
        <v>288.84</v>
      </c>
      <c r="BC7" s="2">
        <v>254.18</v>
      </c>
      <c r="BD7" s="2">
        <v>288.84</v>
      </c>
      <c r="BE7" s="2">
        <v>34.66</v>
      </c>
      <c r="BF7" s="12">
        <v>0.12</v>
      </c>
      <c r="BG7" s="2">
        <v>0</v>
      </c>
      <c r="BH7" s="2">
        <v>107.628</v>
      </c>
      <c r="BI7" s="2">
        <v>206.19</v>
      </c>
      <c r="BJ7" s="2">
        <v>0</v>
      </c>
      <c r="BK7" s="2">
        <v>18</v>
      </c>
      <c r="BL7" s="2">
        <v>0</v>
      </c>
      <c r="BM7" s="2">
        <v>0</v>
      </c>
      <c r="BN7" s="2">
        <v>4.43</v>
      </c>
      <c r="BO7" s="2">
        <v>11</v>
      </c>
      <c r="BP7" s="2">
        <v>4.23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10.33</v>
      </c>
      <c r="CB7" s="2" t="s">
        <v>226</v>
      </c>
      <c r="CC7" s="2" t="s">
        <v>283</v>
      </c>
      <c r="CD7" s="2">
        <v>388.38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57.77</v>
      </c>
      <c r="CV7" s="2" t="s">
        <v>228</v>
      </c>
      <c r="CW7" s="2">
        <v>57.77</v>
      </c>
      <c r="CX7" s="198" t="s">
        <v>229</v>
      </c>
      <c r="CY7" s="2">
        <v>101.09</v>
      </c>
      <c r="CZ7" s="2" t="s">
        <v>230</v>
      </c>
      <c r="DA7" s="2">
        <v>101.09</v>
      </c>
      <c r="DB7" s="198" t="s">
        <v>231</v>
      </c>
      <c r="DE7" s="2">
        <v>0</v>
      </c>
      <c r="DF7" s="2" t="s">
        <v>232</v>
      </c>
      <c r="DG7" s="2" t="s">
        <v>209</v>
      </c>
      <c r="DH7" s="2" t="s">
        <v>208</v>
      </c>
      <c r="DI7" s="2">
        <v>252895738</v>
      </c>
      <c r="DJ7" s="2" t="s">
        <v>211</v>
      </c>
      <c r="DK7" s="2">
        <v>0</v>
      </c>
      <c r="DL7" s="2" t="s">
        <v>201</v>
      </c>
      <c r="DM7" s="2">
        <v>34.66</v>
      </c>
    </row>
    <row r="8" s="2" customFormat="1" ht="12" spans="1:117">
      <c r="A8" s="2">
        <v>2</v>
      </c>
      <c r="B8" s="2" t="s">
        <v>284</v>
      </c>
      <c r="C8" s="2" t="s">
        <v>199</v>
      </c>
      <c r="D8" s="2" t="s">
        <v>200</v>
      </c>
      <c r="E8" s="2" t="s">
        <v>201</v>
      </c>
      <c r="F8" s="102">
        <v>46237</v>
      </c>
      <c r="G8" s="2" t="s">
        <v>202</v>
      </c>
      <c r="H8" s="2" t="s">
        <v>285</v>
      </c>
      <c r="I8" s="2" t="s">
        <v>204</v>
      </c>
      <c r="J8" s="2" t="s">
        <v>205</v>
      </c>
      <c r="K8" s="2" t="s">
        <v>206</v>
      </c>
      <c r="L8" s="2" t="s">
        <v>207</v>
      </c>
      <c r="M8" s="2">
        <v>892</v>
      </c>
      <c r="N8" s="2" t="s">
        <v>208</v>
      </c>
      <c r="O8" s="2" t="s">
        <v>209</v>
      </c>
      <c r="P8" s="2" t="s">
        <v>210</v>
      </c>
      <c r="Q8" s="2" t="s">
        <v>204</v>
      </c>
      <c r="R8" s="2" t="s">
        <v>205</v>
      </c>
      <c r="S8" s="2" t="s">
        <v>208</v>
      </c>
      <c r="T8" s="2" t="s">
        <v>209</v>
      </c>
      <c r="U8" s="2" t="s">
        <v>204</v>
      </c>
      <c r="V8" s="2" t="s">
        <v>205</v>
      </c>
      <c r="W8" s="2" t="s">
        <v>206</v>
      </c>
      <c r="X8" s="2" t="s">
        <v>207</v>
      </c>
      <c r="Y8" s="2" t="s">
        <v>208</v>
      </c>
      <c r="Z8" s="2" t="s">
        <v>209</v>
      </c>
      <c r="AA8" s="2" t="s">
        <v>211</v>
      </c>
      <c r="AB8" s="2" t="s">
        <v>212</v>
      </c>
      <c r="AC8" s="2" t="s">
        <v>286</v>
      </c>
      <c r="AD8" s="2" t="s">
        <v>287</v>
      </c>
      <c r="AE8" s="2" t="s">
        <v>288</v>
      </c>
      <c r="AF8" s="2" t="s">
        <v>216</v>
      </c>
      <c r="AG8" s="2" t="s">
        <v>289</v>
      </c>
      <c r="AH8" s="2" t="s">
        <v>218</v>
      </c>
      <c r="AI8" s="2" t="s">
        <v>286</v>
      </c>
      <c r="AJ8" s="2" t="s">
        <v>287</v>
      </c>
      <c r="AK8" s="2" t="s">
        <v>289</v>
      </c>
      <c r="AL8" s="2" t="s">
        <v>218</v>
      </c>
      <c r="AM8" s="2" t="s">
        <v>219</v>
      </c>
      <c r="AN8" s="198" t="s">
        <v>290</v>
      </c>
      <c r="AO8" s="2">
        <v>327.948</v>
      </c>
      <c r="AP8" s="2">
        <v>0.0001</v>
      </c>
      <c r="AQ8" s="2">
        <v>48</v>
      </c>
      <c r="AR8" s="2">
        <v>0</v>
      </c>
      <c r="AS8" s="2" t="s">
        <v>221</v>
      </c>
      <c r="AT8" s="2" t="s">
        <v>222</v>
      </c>
      <c r="AU8" s="102">
        <v>46262</v>
      </c>
      <c r="AV8" s="2">
        <v>632.51</v>
      </c>
      <c r="AW8" s="2" t="s">
        <v>223</v>
      </c>
      <c r="AX8" s="2" t="s">
        <v>223</v>
      </c>
      <c r="AY8" s="2">
        <v>7938.11</v>
      </c>
      <c r="AZ8" s="2" t="s">
        <v>224</v>
      </c>
      <c r="BA8" s="2" t="s">
        <v>240</v>
      </c>
      <c r="BB8" s="2">
        <v>632.51</v>
      </c>
      <c r="BC8" s="2">
        <v>556.61</v>
      </c>
      <c r="BD8" s="2">
        <v>632.51</v>
      </c>
      <c r="BE8" s="2">
        <v>75.9</v>
      </c>
      <c r="BF8" s="12">
        <v>0.12</v>
      </c>
      <c r="BG8" s="2">
        <v>0</v>
      </c>
      <c r="BH8" s="2">
        <v>327.948</v>
      </c>
      <c r="BI8" s="2">
        <v>472.69</v>
      </c>
      <c r="BJ8" s="2">
        <v>0</v>
      </c>
      <c r="BK8" s="2">
        <v>18</v>
      </c>
      <c r="BL8" s="2">
        <v>0</v>
      </c>
      <c r="BM8" s="2">
        <v>0</v>
      </c>
      <c r="BN8" s="2">
        <v>11.91</v>
      </c>
      <c r="BO8" s="2">
        <v>22</v>
      </c>
      <c r="BP8" s="2">
        <v>4.23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27.78</v>
      </c>
      <c r="CB8" s="2" t="s">
        <v>226</v>
      </c>
      <c r="CC8" s="2" t="s">
        <v>241</v>
      </c>
      <c r="CD8" s="2">
        <v>773.05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126.5</v>
      </c>
      <c r="CV8" s="2" t="s">
        <v>228</v>
      </c>
      <c r="CW8" s="2">
        <v>126.5</v>
      </c>
      <c r="CX8" s="198" t="s">
        <v>229</v>
      </c>
      <c r="CY8" s="2">
        <v>221.38</v>
      </c>
      <c r="CZ8" s="2" t="s">
        <v>230</v>
      </c>
      <c r="DA8" s="2">
        <v>221.38</v>
      </c>
      <c r="DB8" s="198" t="s">
        <v>231</v>
      </c>
      <c r="DE8" s="2">
        <v>0</v>
      </c>
      <c r="DF8" s="2" t="s">
        <v>232</v>
      </c>
      <c r="DG8" s="2" t="s">
        <v>209</v>
      </c>
      <c r="DH8" s="2" t="s">
        <v>208</v>
      </c>
      <c r="DI8" s="2">
        <v>252895738</v>
      </c>
      <c r="DJ8" s="2" t="s">
        <v>211</v>
      </c>
      <c r="DK8" s="2">
        <v>0</v>
      </c>
      <c r="DL8" s="2" t="s">
        <v>201</v>
      </c>
      <c r="DM8" s="2">
        <v>75.9</v>
      </c>
    </row>
    <row r="9" s="2" customFormat="1" ht="12" spans="1:117">
      <c r="A9" s="2">
        <v>2</v>
      </c>
      <c r="B9" s="2" t="s">
        <v>291</v>
      </c>
      <c r="C9" s="2" t="s">
        <v>199</v>
      </c>
      <c r="D9" s="2" t="s">
        <v>200</v>
      </c>
      <c r="E9" s="2" t="s">
        <v>201</v>
      </c>
      <c r="F9" s="102">
        <v>46237</v>
      </c>
      <c r="G9" s="2" t="s">
        <v>202</v>
      </c>
      <c r="H9" s="2" t="s">
        <v>292</v>
      </c>
      <c r="I9" s="2" t="s">
        <v>204</v>
      </c>
      <c r="J9" s="2" t="s">
        <v>205</v>
      </c>
      <c r="K9" s="2" t="s">
        <v>206</v>
      </c>
      <c r="L9" s="2" t="s">
        <v>207</v>
      </c>
      <c r="M9" s="2">
        <v>892</v>
      </c>
      <c r="N9" s="2" t="s">
        <v>208</v>
      </c>
      <c r="O9" s="2" t="s">
        <v>209</v>
      </c>
      <c r="P9" s="2" t="s">
        <v>210</v>
      </c>
      <c r="Q9" s="2" t="s">
        <v>204</v>
      </c>
      <c r="R9" s="2" t="s">
        <v>205</v>
      </c>
      <c r="S9" s="2" t="s">
        <v>208</v>
      </c>
      <c r="T9" s="2" t="s">
        <v>209</v>
      </c>
      <c r="U9" s="2" t="s">
        <v>204</v>
      </c>
      <c r="V9" s="2" t="s">
        <v>205</v>
      </c>
      <c r="W9" s="2" t="s">
        <v>206</v>
      </c>
      <c r="X9" s="2" t="s">
        <v>207</v>
      </c>
      <c r="Y9" s="2" t="s">
        <v>208</v>
      </c>
      <c r="Z9" s="2" t="s">
        <v>209</v>
      </c>
      <c r="AA9" s="2" t="s">
        <v>211</v>
      </c>
      <c r="AB9" s="2" t="s">
        <v>212</v>
      </c>
      <c r="AC9" s="2" t="s">
        <v>293</v>
      </c>
      <c r="AD9" s="2" t="s">
        <v>294</v>
      </c>
      <c r="AE9" s="2">
        <v>355</v>
      </c>
      <c r="AF9" s="2" t="s">
        <v>295</v>
      </c>
      <c r="AG9" s="2" t="s">
        <v>296</v>
      </c>
      <c r="AH9" s="2" t="s">
        <v>218</v>
      </c>
      <c r="AI9" s="2" t="s">
        <v>293</v>
      </c>
      <c r="AJ9" s="2" t="s">
        <v>294</v>
      </c>
      <c r="AK9" s="2" t="s">
        <v>296</v>
      </c>
      <c r="AL9" s="2" t="s">
        <v>218</v>
      </c>
      <c r="AM9" s="2" t="s">
        <v>297</v>
      </c>
      <c r="AN9" s="198" t="s">
        <v>298</v>
      </c>
      <c r="AO9" s="2">
        <v>1</v>
      </c>
      <c r="AP9" s="2">
        <v>0.0001</v>
      </c>
      <c r="AQ9" s="2">
        <v>1</v>
      </c>
      <c r="AR9" s="2">
        <v>0</v>
      </c>
      <c r="AS9" s="2" t="s">
        <v>221</v>
      </c>
      <c r="AT9" s="2" t="s">
        <v>222</v>
      </c>
      <c r="AU9" s="102">
        <v>46262</v>
      </c>
      <c r="AV9" s="2">
        <v>178.75</v>
      </c>
      <c r="AW9" s="2" t="s">
        <v>223</v>
      </c>
      <c r="AX9" s="2" t="s">
        <v>223</v>
      </c>
      <c r="AY9" s="2">
        <v>59.58</v>
      </c>
      <c r="AZ9" s="2" t="s">
        <v>224</v>
      </c>
      <c r="BA9" s="2" t="s">
        <v>299</v>
      </c>
      <c r="BB9" s="2">
        <v>178.75</v>
      </c>
      <c r="BC9" s="2">
        <v>157.3</v>
      </c>
      <c r="BD9" s="2">
        <v>178.75</v>
      </c>
      <c r="BE9" s="2">
        <v>21.45</v>
      </c>
      <c r="BF9" s="12">
        <v>0.12</v>
      </c>
      <c r="BG9" s="2">
        <v>0</v>
      </c>
      <c r="BH9" s="2">
        <v>1</v>
      </c>
      <c r="BI9" s="2">
        <v>126.11</v>
      </c>
      <c r="BJ9" s="2">
        <v>0</v>
      </c>
      <c r="BK9" s="2">
        <v>18</v>
      </c>
      <c r="BL9" s="2">
        <v>0</v>
      </c>
      <c r="BM9" s="2">
        <v>0</v>
      </c>
      <c r="BN9" s="2">
        <v>3.25</v>
      </c>
      <c r="BO9" s="2">
        <v>5.5</v>
      </c>
      <c r="BP9" s="2">
        <v>4.23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0.21</v>
      </c>
      <c r="CB9" s="2" t="s">
        <v>226</v>
      </c>
      <c r="CC9" s="2" t="s">
        <v>300</v>
      </c>
      <c r="CD9" s="2">
        <v>358.58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35.75</v>
      </c>
      <c r="CV9" s="2" t="s">
        <v>228</v>
      </c>
      <c r="CW9" s="2">
        <v>35.75</v>
      </c>
      <c r="CX9" s="198" t="s">
        <v>229</v>
      </c>
      <c r="CY9" s="2">
        <v>54</v>
      </c>
      <c r="CZ9" s="2" t="s">
        <v>301</v>
      </c>
      <c r="DA9" s="2">
        <f>CY9</f>
        <v>54</v>
      </c>
      <c r="DE9" s="2">
        <v>0</v>
      </c>
      <c r="DF9" s="2" t="s">
        <v>232</v>
      </c>
      <c r="DG9" s="2" t="s">
        <v>209</v>
      </c>
      <c r="DH9" s="2" t="s">
        <v>208</v>
      </c>
      <c r="DI9" s="2">
        <v>252895738</v>
      </c>
      <c r="DJ9" s="2" t="s">
        <v>211</v>
      </c>
      <c r="DK9" s="2">
        <v>0</v>
      </c>
      <c r="DL9" s="2" t="s">
        <v>201</v>
      </c>
      <c r="DM9" s="2">
        <v>21.45</v>
      </c>
    </row>
    <row r="10" s="2" customFormat="1" ht="12" spans="1:117">
      <c r="A10" s="2">
        <v>2</v>
      </c>
      <c r="B10" s="2" t="s">
        <v>302</v>
      </c>
      <c r="C10" s="2" t="s">
        <v>199</v>
      </c>
      <c r="D10" s="2" t="s">
        <v>200</v>
      </c>
      <c r="E10" s="2" t="s">
        <v>201</v>
      </c>
      <c r="F10" s="102">
        <v>46237</v>
      </c>
      <c r="G10" s="2" t="s">
        <v>202</v>
      </c>
      <c r="H10" s="2" t="s">
        <v>303</v>
      </c>
      <c r="I10" s="2" t="s">
        <v>204</v>
      </c>
      <c r="J10" s="2" t="s">
        <v>205</v>
      </c>
      <c r="K10" s="2" t="s">
        <v>206</v>
      </c>
      <c r="L10" s="2" t="s">
        <v>207</v>
      </c>
      <c r="M10" s="2">
        <v>892</v>
      </c>
      <c r="N10" s="2" t="s">
        <v>208</v>
      </c>
      <c r="O10" s="2" t="s">
        <v>209</v>
      </c>
      <c r="P10" s="2" t="s">
        <v>210</v>
      </c>
      <c r="Q10" s="2" t="s">
        <v>204</v>
      </c>
      <c r="R10" s="2" t="s">
        <v>205</v>
      </c>
      <c r="S10" s="2" t="s">
        <v>208</v>
      </c>
      <c r="T10" s="2" t="s">
        <v>209</v>
      </c>
      <c r="U10" s="2" t="s">
        <v>204</v>
      </c>
      <c r="V10" s="2" t="s">
        <v>205</v>
      </c>
      <c r="W10" s="2" t="s">
        <v>206</v>
      </c>
      <c r="X10" s="2" t="s">
        <v>207</v>
      </c>
      <c r="Y10" s="2" t="s">
        <v>208</v>
      </c>
      <c r="Z10" s="2" t="s">
        <v>209</v>
      </c>
      <c r="AA10" s="2" t="s">
        <v>211</v>
      </c>
      <c r="AB10" s="2" t="s">
        <v>212</v>
      </c>
      <c r="AC10" s="2" t="s">
        <v>304</v>
      </c>
      <c r="AD10" s="2" t="s">
        <v>305</v>
      </c>
      <c r="AE10" s="2">
        <v>351</v>
      </c>
      <c r="AF10" s="2" t="s">
        <v>306</v>
      </c>
      <c r="AG10" s="2" t="s">
        <v>307</v>
      </c>
      <c r="AH10" s="2" t="s">
        <v>218</v>
      </c>
      <c r="AI10" s="2" t="s">
        <v>304</v>
      </c>
      <c r="AJ10" s="2" t="s">
        <v>305</v>
      </c>
      <c r="AK10" s="2" t="s">
        <v>307</v>
      </c>
      <c r="AL10" s="2" t="s">
        <v>218</v>
      </c>
      <c r="AM10" s="2" t="s">
        <v>308</v>
      </c>
      <c r="AN10" s="198" t="s">
        <v>309</v>
      </c>
      <c r="AO10" s="2">
        <v>1</v>
      </c>
      <c r="AP10" s="2">
        <v>0.0001</v>
      </c>
      <c r="AQ10" s="2">
        <v>1</v>
      </c>
      <c r="AR10" s="2">
        <v>0</v>
      </c>
      <c r="AS10" s="2" t="s">
        <v>221</v>
      </c>
      <c r="AT10" s="2" t="s">
        <v>222</v>
      </c>
      <c r="AU10" s="102">
        <v>46262</v>
      </c>
      <c r="AV10" s="2">
        <v>178.75</v>
      </c>
      <c r="AW10" s="2" t="s">
        <v>223</v>
      </c>
      <c r="AX10" s="2" t="s">
        <v>223</v>
      </c>
      <c r="AY10" s="2">
        <v>59.58</v>
      </c>
      <c r="AZ10" s="2" t="s">
        <v>224</v>
      </c>
      <c r="BA10" s="2" t="s">
        <v>299</v>
      </c>
      <c r="BB10" s="2">
        <v>178.75</v>
      </c>
      <c r="BC10" s="2">
        <v>157.3</v>
      </c>
      <c r="BD10" s="2">
        <v>178.75</v>
      </c>
      <c r="BE10" s="2">
        <v>21.45</v>
      </c>
      <c r="BF10" s="12">
        <v>0.12</v>
      </c>
      <c r="BG10" s="2">
        <v>0</v>
      </c>
      <c r="BH10" s="2">
        <v>1</v>
      </c>
      <c r="BI10" s="2">
        <v>126.11</v>
      </c>
      <c r="BJ10" s="2">
        <v>0</v>
      </c>
      <c r="BK10" s="2">
        <v>18</v>
      </c>
      <c r="BL10" s="2">
        <v>0</v>
      </c>
      <c r="BM10" s="2">
        <v>0</v>
      </c>
      <c r="BN10" s="2">
        <v>3.25</v>
      </c>
      <c r="BO10" s="2">
        <v>5.5</v>
      </c>
      <c r="BP10" s="2">
        <v>4.23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0.21</v>
      </c>
      <c r="CB10" s="2" t="s">
        <v>226</v>
      </c>
      <c r="CC10" s="2" t="s">
        <v>300</v>
      </c>
      <c r="CD10" s="2">
        <v>358.58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35.75</v>
      </c>
      <c r="CV10" s="2" t="s">
        <v>228</v>
      </c>
      <c r="CW10" s="2">
        <v>35.75</v>
      </c>
      <c r="CX10" s="198" t="s">
        <v>229</v>
      </c>
      <c r="CY10" s="2">
        <v>67.06</v>
      </c>
      <c r="CZ10" s="2" t="s">
        <v>310</v>
      </c>
      <c r="DA10" s="2">
        <v>67.06</v>
      </c>
      <c r="DB10" s="198" t="s">
        <v>311</v>
      </c>
      <c r="DE10" s="2">
        <v>0</v>
      </c>
      <c r="DF10" s="2" t="s">
        <v>232</v>
      </c>
      <c r="DG10" s="2" t="s">
        <v>209</v>
      </c>
      <c r="DH10" s="2" t="s">
        <v>208</v>
      </c>
      <c r="DI10" s="2">
        <v>252895738</v>
      </c>
      <c r="DJ10" s="2" t="s">
        <v>211</v>
      </c>
      <c r="DK10" s="2">
        <v>0</v>
      </c>
      <c r="DL10" s="2" t="s">
        <v>201</v>
      </c>
      <c r="DM10" s="2">
        <v>21.45</v>
      </c>
    </row>
    <row r="11" s="2" customFormat="1" ht="12" spans="1:117">
      <c r="A11" s="2">
        <v>2</v>
      </c>
      <c r="B11" s="2" t="s">
        <v>312</v>
      </c>
      <c r="C11" s="2" t="s">
        <v>199</v>
      </c>
      <c r="D11" s="2" t="s">
        <v>200</v>
      </c>
      <c r="E11" s="2" t="s">
        <v>201</v>
      </c>
      <c r="F11" s="103">
        <v>46237</v>
      </c>
      <c r="G11" s="2" t="s">
        <v>202</v>
      </c>
      <c r="H11" s="2" t="s">
        <v>313</v>
      </c>
      <c r="I11" s="2" t="s">
        <v>204</v>
      </c>
      <c r="J11" s="2" t="s">
        <v>205</v>
      </c>
      <c r="K11" s="2" t="s">
        <v>206</v>
      </c>
      <c r="L11" s="2" t="s">
        <v>207</v>
      </c>
      <c r="M11" s="2">
        <v>892</v>
      </c>
      <c r="N11" s="2" t="s">
        <v>208</v>
      </c>
      <c r="O11" s="2" t="s">
        <v>209</v>
      </c>
      <c r="P11" s="2" t="s">
        <v>210</v>
      </c>
      <c r="Q11" s="2" t="s">
        <v>204</v>
      </c>
      <c r="R11" s="2" t="s">
        <v>205</v>
      </c>
      <c r="S11" s="2" t="s">
        <v>208</v>
      </c>
      <c r="T11" s="2" t="s">
        <v>209</v>
      </c>
      <c r="U11" s="2" t="s">
        <v>204</v>
      </c>
      <c r="V11" s="2" t="s">
        <v>205</v>
      </c>
      <c r="W11" s="2" t="s">
        <v>206</v>
      </c>
      <c r="X11" s="2" t="s">
        <v>207</v>
      </c>
      <c r="Y11" s="2" t="s">
        <v>208</v>
      </c>
      <c r="Z11" s="2" t="s">
        <v>209</v>
      </c>
      <c r="AA11" s="2" t="s">
        <v>211</v>
      </c>
      <c r="AB11" s="2" t="s">
        <v>212</v>
      </c>
      <c r="AC11" s="2" t="s">
        <v>314</v>
      </c>
      <c r="AD11" s="2" t="s">
        <v>315</v>
      </c>
      <c r="AE11" s="2">
        <v>386</v>
      </c>
      <c r="AF11" s="2" t="s">
        <v>246</v>
      </c>
      <c r="AG11" s="2" t="s">
        <v>247</v>
      </c>
      <c r="AH11" s="2" t="s">
        <v>218</v>
      </c>
      <c r="AI11" s="2" t="s">
        <v>314</v>
      </c>
      <c r="AJ11" s="2" t="s">
        <v>315</v>
      </c>
      <c r="AK11" s="2" t="s">
        <v>247</v>
      </c>
      <c r="AL11" s="2" t="s">
        <v>218</v>
      </c>
      <c r="AM11" s="2" t="s">
        <v>248</v>
      </c>
      <c r="AN11" s="198" t="s">
        <v>316</v>
      </c>
      <c r="AO11" s="2">
        <v>65.694</v>
      </c>
      <c r="AP11" s="2">
        <v>0.0001</v>
      </c>
      <c r="AQ11" s="2">
        <v>11</v>
      </c>
      <c r="AR11" s="2">
        <v>0</v>
      </c>
      <c r="AS11" s="2" t="s">
        <v>221</v>
      </c>
      <c r="AT11" s="2" t="s">
        <v>222</v>
      </c>
      <c r="AU11" s="102">
        <v>46262</v>
      </c>
      <c r="AV11" s="2">
        <v>248.9</v>
      </c>
      <c r="AW11" s="2" t="s">
        <v>223</v>
      </c>
      <c r="AX11" s="2" t="s">
        <v>223</v>
      </c>
      <c r="AY11" s="2">
        <v>1842.97</v>
      </c>
      <c r="AZ11" s="2" t="s">
        <v>224</v>
      </c>
      <c r="BA11" s="2" t="s">
        <v>250</v>
      </c>
      <c r="BB11" s="2">
        <v>248.9</v>
      </c>
      <c r="BC11" s="2">
        <v>219.03</v>
      </c>
      <c r="BD11" s="2">
        <v>248.9</v>
      </c>
      <c r="BE11" s="2">
        <v>29.87</v>
      </c>
      <c r="BF11" s="12">
        <v>0.12</v>
      </c>
      <c r="BG11" s="2">
        <v>0</v>
      </c>
      <c r="BH11" s="2">
        <v>65.694</v>
      </c>
      <c r="BI11" s="2">
        <v>181.6</v>
      </c>
      <c r="BJ11" s="2">
        <v>0</v>
      </c>
      <c r="BK11" s="2">
        <v>18</v>
      </c>
      <c r="BL11" s="2">
        <v>0</v>
      </c>
      <c r="BM11" s="2">
        <v>0</v>
      </c>
      <c r="BN11" s="2">
        <v>3.25</v>
      </c>
      <c r="BO11" s="2">
        <v>5.5</v>
      </c>
      <c r="BP11" s="2">
        <v>4.23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6.45</v>
      </c>
      <c r="CB11" s="2" t="s">
        <v>226</v>
      </c>
      <c r="CC11" s="2" t="s">
        <v>251</v>
      </c>
      <c r="CD11" s="2">
        <v>376.44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49.78</v>
      </c>
      <c r="CV11" s="2" t="s">
        <v>228</v>
      </c>
      <c r="CW11" s="2">
        <v>49.78</v>
      </c>
      <c r="CX11" s="198" t="s">
        <v>229</v>
      </c>
      <c r="CY11" s="2">
        <v>51</v>
      </c>
      <c r="CZ11" s="2" t="s">
        <v>252</v>
      </c>
      <c r="DA11" s="2">
        <v>51</v>
      </c>
      <c r="DB11" s="198" t="s">
        <v>253</v>
      </c>
      <c r="DE11" s="2">
        <v>0</v>
      </c>
      <c r="DF11" s="2" t="s">
        <v>232</v>
      </c>
      <c r="DG11" s="2" t="s">
        <v>209</v>
      </c>
      <c r="DH11" s="2" t="s">
        <v>208</v>
      </c>
      <c r="DI11" s="2">
        <v>252895738</v>
      </c>
      <c r="DJ11" s="2" t="s">
        <v>211</v>
      </c>
      <c r="DK11" s="2">
        <v>0</v>
      </c>
      <c r="DL11" s="2" t="s">
        <v>201</v>
      </c>
      <c r="DM11" s="2">
        <v>29.87</v>
      </c>
    </row>
    <row r="12" s="2" customFormat="1" ht="12" spans="1:117">
      <c r="A12" s="2">
        <v>2</v>
      </c>
      <c r="B12" s="2" t="s">
        <v>317</v>
      </c>
      <c r="C12" s="2" t="s">
        <v>199</v>
      </c>
      <c r="D12" s="2" t="s">
        <v>200</v>
      </c>
      <c r="E12" s="2" t="s">
        <v>201</v>
      </c>
      <c r="F12" s="103">
        <v>46239</v>
      </c>
      <c r="G12" s="2" t="s">
        <v>202</v>
      </c>
      <c r="H12" s="2" t="s">
        <v>318</v>
      </c>
      <c r="I12" s="2" t="s">
        <v>204</v>
      </c>
      <c r="J12" s="2" t="s">
        <v>205</v>
      </c>
      <c r="K12" s="2" t="s">
        <v>206</v>
      </c>
      <c r="L12" s="2" t="s">
        <v>207</v>
      </c>
      <c r="M12" s="2">
        <v>892</v>
      </c>
      <c r="N12" s="2" t="s">
        <v>208</v>
      </c>
      <c r="O12" s="2" t="s">
        <v>209</v>
      </c>
      <c r="P12" s="2" t="s">
        <v>210</v>
      </c>
      <c r="Q12" s="2" t="s">
        <v>204</v>
      </c>
      <c r="R12" s="2" t="s">
        <v>205</v>
      </c>
      <c r="S12" s="2" t="s">
        <v>208</v>
      </c>
      <c r="T12" s="2" t="s">
        <v>209</v>
      </c>
      <c r="U12" s="2" t="s">
        <v>204</v>
      </c>
      <c r="V12" s="2" t="s">
        <v>205</v>
      </c>
      <c r="W12" s="2" t="s">
        <v>206</v>
      </c>
      <c r="X12" s="2" t="s">
        <v>207</v>
      </c>
      <c r="Y12" s="2" t="s">
        <v>208</v>
      </c>
      <c r="Z12" s="2" t="s">
        <v>209</v>
      </c>
      <c r="AA12" s="2" t="s">
        <v>211</v>
      </c>
      <c r="AB12" s="2" t="s">
        <v>212</v>
      </c>
      <c r="AC12" s="2" t="s">
        <v>319</v>
      </c>
      <c r="AD12" s="2" t="s">
        <v>320</v>
      </c>
      <c r="AE12" s="2">
        <v>353</v>
      </c>
      <c r="AF12" s="2" t="s">
        <v>321</v>
      </c>
      <c r="AG12" s="2" t="s">
        <v>322</v>
      </c>
      <c r="AH12" s="2" t="s">
        <v>218</v>
      </c>
      <c r="AI12" s="2" t="s">
        <v>319</v>
      </c>
      <c r="AJ12" s="2" t="s">
        <v>320</v>
      </c>
      <c r="AK12" s="2" t="s">
        <v>322</v>
      </c>
      <c r="AL12" s="2" t="s">
        <v>218</v>
      </c>
      <c r="AM12" s="2" t="s">
        <v>308</v>
      </c>
      <c r="AN12" s="198" t="s">
        <v>323</v>
      </c>
      <c r="AO12" s="2">
        <v>146.24</v>
      </c>
      <c r="AP12" s="2">
        <v>0.0001</v>
      </c>
      <c r="AQ12" s="2">
        <v>30</v>
      </c>
      <c r="AR12" s="2">
        <v>0</v>
      </c>
      <c r="AS12" s="2" t="s">
        <v>221</v>
      </c>
      <c r="AT12" s="2" t="s">
        <v>222</v>
      </c>
      <c r="AU12" s="102">
        <v>46262</v>
      </c>
      <c r="AV12" s="2">
        <v>332.13</v>
      </c>
      <c r="AW12" s="2" t="s">
        <v>223</v>
      </c>
      <c r="AX12" s="2" t="s">
        <v>223</v>
      </c>
      <c r="AY12" s="2">
        <v>4515.09</v>
      </c>
      <c r="AZ12" s="2" t="s">
        <v>224</v>
      </c>
      <c r="BA12" s="2" t="s">
        <v>324</v>
      </c>
      <c r="BB12" s="2">
        <v>332.13</v>
      </c>
      <c r="BC12" s="2">
        <v>292.27</v>
      </c>
      <c r="BD12" s="2">
        <v>332.13</v>
      </c>
      <c r="BE12" s="2">
        <v>39.86</v>
      </c>
      <c r="BF12" s="12">
        <v>0.12</v>
      </c>
      <c r="BG12" s="2">
        <v>0</v>
      </c>
      <c r="BH12" s="2">
        <v>146.24</v>
      </c>
      <c r="BI12" s="2">
        <v>236.47</v>
      </c>
      <c r="BJ12" s="2">
        <v>0</v>
      </c>
      <c r="BK12" s="2">
        <v>18</v>
      </c>
      <c r="BL12" s="2">
        <v>0</v>
      </c>
      <c r="BM12" s="2">
        <v>0</v>
      </c>
      <c r="BN12" s="2">
        <v>6.77</v>
      </c>
      <c r="BO12" s="2">
        <v>11</v>
      </c>
      <c r="BP12" s="2">
        <v>4.23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15.8</v>
      </c>
      <c r="CB12" s="2" t="s">
        <v>226</v>
      </c>
      <c r="CC12" s="2" t="s">
        <v>325</v>
      </c>
      <c r="CD12" s="2">
        <v>408.67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66.43</v>
      </c>
      <c r="CV12" s="2" t="s">
        <v>228</v>
      </c>
      <c r="CW12" s="2">
        <v>66.43</v>
      </c>
      <c r="CX12" s="198" t="s">
        <v>229</v>
      </c>
      <c r="CY12" s="2">
        <v>125.25</v>
      </c>
      <c r="CZ12" s="2" t="s">
        <v>326</v>
      </c>
      <c r="DA12" s="2">
        <v>125.25</v>
      </c>
      <c r="DB12" s="198" t="s">
        <v>327</v>
      </c>
      <c r="DE12" s="2">
        <v>0</v>
      </c>
      <c r="DF12" s="2" t="s">
        <v>232</v>
      </c>
      <c r="DG12" s="2" t="s">
        <v>209</v>
      </c>
      <c r="DH12" s="2" t="s">
        <v>208</v>
      </c>
      <c r="DI12" s="2">
        <v>252895738</v>
      </c>
      <c r="DJ12" s="2" t="s">
        <v>211</v>
      </c>
      <c r="DK12" s="2">
        <v>0</v>
      </c>
      <c r="DL12" s="2" t="s">
        <v>201</v>
      </c>
      <c r="DM12" s="2">
        <v>39.86</v>
      </c>
    </row>
    <row r="13" s="2" customFormat="1" ht="12" spans="1:117">
      <c r="A13" s="2">
        <v>2</v>
      </c>
      <c r="B13" s="2" t="s">
        <v>328</v>
      </c>
      <c r="C13" s="2" t="s">
        <v>199</v>
      </c>
      <c r="D13" s="2" t="s">
        <v>200</v>
      </c>
      <c r="E13" s="2" t="s">
        <v>201</v>
      </c>
      <c r="F13" s="102">
        <v>46239</v>
      </c>
      <c r="G13" s="2" t="s">
        <v>202</v>
      </c>
      <c r="H13" s="2" t="s">
        <v>329</v>
      </c>
      <c r="I13" s="2" t="s">
        <v>204</v>
      </c>
      <c r="J13" s="2" t="s">
        <v>205</v>
      </c>
      <c r="K13" s="2" t="s">
        <v>206</v>
      </c>
      <c r="L13" s="2" t="s">
        <v>207</v>
      </c>
      <c r="M13" s="2">
        <v>892</v>
      </c>
      <c r="N13" s="2" t="s">
        <v>208</v>
      </c>
      <c r="O13" s="2" t="s">
        <v>209</v>
      </c>
      <c r="P13" s="2" t="s">
        <v>210</v>
      </c>
      <c r="Q13" s="2" t="s">
        <v>204</v>
      </c>
      <c r="R13" s="2" t="s">
        <v>205</v>
      </c>
      <c r="S13" s="2" t="s">
        <v>208</v>
      </c>
      <c r="T13" s="2" t="s">
        <v>209</v>
      </c>
      <c r="U13" s="2" t="s">
        <v>204</v>
      </c>
      <c r="V13" s="2" t="s">
        <v>205</v>
      </c>
      <c r="W13" s="2" t="s">
        <v>206</v>
      </c>
      <c r="X13" s="2" t="s">
        <v>207</v>
      </c>
      <c r="Y13" s="2" t="s">
        <v>208</v>
      </c>
      <c r="Z13" s="2" t="s">
        <v>209</v>
      </c>
      <c r="AA13" s="2" t="s">
        <v>211</v>
      </c>
      <c r="AB13" s="2" t="s">
        <v>212</v>
      </c>
      <c r="AC13" s="2" t="s">
        <v>330</v>
      </c>
      <c r="AD13" s="2" t="s">
        <v>331</v>
      </c>
      <c r="AE13" s="2" t="s">
        <v>332</v>
      </c>
      <c r="AF13" s="2" t="s">
        <v>216</v>
      </c>
      <c r="AG13" s="2" t="s">
        <v>333</v>
      </c>
      <c r="AH13" s="2" t="s">
        <v>218</v>
      </c>
      <c r="AI13" s="2" t="s">
        <v>330</v>
      </c>
      <c r="AJ13" s="2" t="s">
        <v>331</v>
      </c>
      <c r="AK13" s="2" t="s">
        <v>333</v>
      </c>
      <c r="AL13" s="2" t="s">
        <v>218</v>
      </c>
      <c r="AM13" s="2" t="s">
        <v>219</v>
      </c>
      <c r="AN13" s="198" t="s">
        <v>334</v>
      </c>
      <c r="AO13" s="2">
        <v>29.08</v>
      </c>
      <c r="AP13" s="2">
        <v>0.0001</v>
      </c>
      <c r="AQ13" s="2">
        <v>7</v>
      </c>
      <c r="AR13" s="2">
        <v>0</v>
      </c>
      <c r="AS13" s="2" t="s">
        <v>221</v>
      </c>
      <c r="AT13" s="2" t="s">
        <v>222</v>
      </c>
      <c r="AU13" s="102">
        <v>46262</v>
      </c>
      <c r="AV13" s="2">
        <v>171.94</v>
      </c>
      <c r="AW13" s="2" t="s">
        <v>223</v>
      </c>
      <c r="AX13" s="2" t="s">
        <v>223</v>
      </c>
      <c r="AY13" s="2">
        <v>1624.49</v>
      </c>
      <c r="AZ13" s="2" t="s">
        <v>224</v>
      </c>
      <c r="BA13" s="2" t="s">
        <v>240</v>
      </c>
      <c r="BB13" s="2">
        <v>171.94</v>
      </c>
      <c r="BC13" s="2">
        <v>151.31</v>
      </c>
      <c r="BD13" s="2">
        <v>171.94</v>
      </c>
      <c r="BE13" s="2">
        <v>20.63</v>
      </c>
      <c r="BF13" s="12">
        <v>0.12</v>
      </c>
      <c r="BG13" s="2">
        <v>0</v>
      </c>
      <c r="BH13" s="2">
        <v>29.08</v>
      </c>
      <c r="BI13" s="2">
        <v>114.64</v>
      </c>
      <c r="BJ13" s="2">
        <v>0</v>
      </c>
      <c r="BK13" s="2">
        <v>18</v>
      </c>
      <c r="BL13" s="2">
        <v>0</v>
      </c>
      <c r="BM13" s="2">
        <v>0</v>
      </c>
      <c r="BN13" s="2">
        <v>3.25</v>
      </c>
      <c r="BO13" s="2">
        <v>5.5</v>
      </c>
      <c r="BP13" s="2">
        <v>4.23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5.69</v>
      </c>
      <c r="CB13" s="2" t="s">
        <v>226</v>
      </c>
      <c r="CC13" s="2" t="s">
        <v>241</v>
      </c>
      <c r="CD13" s="2">
        <v>374.27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34.39</v>
      </c>
      <c r="CV13" s="2" t="s">
        <v>228</v>
      </c>
      <c r="CW13" s="2">
        <v>34.39</v>
      </c>
      <c r="CX13" s="198" t="s">
        <v>229</v>
      </c>
      <c r="CY13" s="2">
        <v>60.18</v>
      </c>
      <c r="CZ13" s="2" t="s">
        <v>230</v>
      </c>
      <c r="DA13" s="2">
        <v>60.18</v>
      </c>
      <c r="DB13" s="198" t="s">
        <v>231</v>
      </c>
      <c r="DE13" s="2">
        <v>0</v>
      </c>
      <c r="DF13" s="2" t="s">
        <v>232</v>
      </c>
      <c r="DG13" s="2" t="s">
        <v>209</v>
      </c>
      <c r="DH13" s="2" t="s">
        <v>208</v>
      </c>
      <c r="DI13" s="2">
        <v>252895738</v>
      </c>
      <c r="DJ13" s="2" t="s">
        <v>211</v>
      </c>
      <c r="DK13" s="2">
        <v>0</v>
      </c>
      <c r="DL13" s="2" t="s">
        <v>201</v>
      </c>
      <c r="DM13" s="2">
        <v>20.63</v>
      </c>
    </row>
    <row r="14" s="2" customFormat="1" ht="12" spans="1:117">
      <c r="A14" s="2">
        <v>2</v>
      </c>
      <c r="B14" s="2" t="s">
        <v>335</v>
      </c>
      <c r="C14" s="2" t="s">
        <v>199</v>
      </c>
      <c r="D14" s="2" t="s">
        <v>200</v>
      </c>
      <c r="E14" s="2" t="s">
        <v>201</v>
      </c>
      <c r="F14" s="102">
        <v>46239</v>
      </c>
      <c r="G14" s="2" t="s">
        <v>202</v>
      </c>
      <c r="H14" s="2" t="s">
        <v>336</v>
      </c>
      <c r="I14" s="2" t="s">
        <v>204</v>
      </c>
      <c r="J14" s="2" t="s">
        <v>205</v>
      </c>
      <c r="K14" s="2" t="s">
        <v>206</v>
      </c>
      <c r="L14" s="2" t="s">
        <v>207</v>
      </c>
      <c r="M14" s="2">
        <v>892</v>
      </c>
      <c r="N14" s="2" t="s">
        <v>208</v>
      </c>
      <c r="O14" s="2" t="s">
        <v>209</v>
      </c>
      <c r="P14" s="2" t="s">
        <v>210</v>
      </c>
      <c r="Q14" s="2" t="s">
        <v>204</v>
      </c>
      <c r="R14" s="2" t="s">
        <v>205</v>
      </c>
      <c r="S14" s="2" t="s">
        <v>208</v>
      </c>
      <c r="T14" s="2" t="s">
        <v>209</v>
      </c>
      <c r="U14" s="2" t="s">
        <v>204</v>
      </c>
      <c r="V14" s="2" t="s">
        <v>205</v>
      </c>
      <c r="W14" s="2" t="s">
        <v>206</v>
      </c>
      <c r="X14" s="2" t="s">
        <v>207</v>
      </c>
      <c r="Y14" s="2" t="s">
        <v>208</v>
      </c>
      <c r="Z14" s="2" t="s">
        <v>209</v>
      </c>
      <c r="AA14" s="2" t="s">
        <v>211</v>
      </c>
      <c r="AB14" s="2" t="s">
        <v>212</v>
      </c>
      <c r="AC14" s="2" t="s">
        <v>337</v>
      </c>
      <c r="AD14" s="2" t="s">
        <v>338</v>
      </c>
      <c r="AE14" s="2">
        <v>394</v>
      </c>
      <c r="AF14" s="2" t="s">
        <v>339</v>
      </c>
      <c r="AG14" s="2" t="s">
        <v>340</v>
      </c>
      <c r="AH14" s="2" t="s">
        <v>218</v>
      </c>
      <c r="AI14" s="2" t="s">
        <v>337</v>
      </c>
      <c r="AJ14" s="2" t="s">
        <v>338</v>
      </c>
      <c r="AK14" s="2" t="s">
        <v>340</v>
      </c>
      <c r="AL14" s="2" t="s">
        <v>218</v>
      </c>
      <c r="AM14" s="2" t="s">
        <v>341</v>
      </c>
      <c r="AN14" s="198" t="s">
        <v>342</v>
      </c>
      <c r="AO14" s="2">
        <v>146.8</v>
      </c>
      <c r="AP14" s="2">
        <v>0.0001</v>
      </c>
      <c r="AQ14" s="2">
        <v>20</v>
      </c>
      <c r="AR14" s="2">
        <v>0</v>
      </c>
      <c r="AS14" s="2" t="s">
        <v>221</v>
      </c>
      <c r="AT14" s="2" t="s">
        <v>222</v>
      </c>
      <c r="AU14" s="102">
        <v>46262</v>
      </c>
      <c r="AV14" s="2">
        <v>361.7</v>
      </c>
      <c r="AW14" s="2" t="s">
        <v>223</v>
      </c>
      <c r="AX14" s="2" t="s">
        <v>223</v>
      </c>
      <c r="AY14" s="2">
        <v>3238.98</v>
      </c>
      <c r="AZ14" s="2" t="s">
        <v>224</v>
      </c>
      <c r="BA14" s="2" t="s">
        <v>343</v>
      </c>
      <c r="BB14" s="2">
        <v>361.7</v>
      </c>
      <c r="BC14" s="2">
        <v>318.3</v>
      </c>
      <c r="BD14" s="2">
        <v>361.7</v>
      </c>
      <c r="BE14" s="2">
        <v>43.4</v>
      </c>
      <c r="BF14" s="12">
        <v>0.12</v>
      </c>
      <c r="BG14" s="2">
        <v>0</v>
      </c>
      <c r="BH14" s="2">
        <v>146.8</v>
      </c>
      <c r="BI14" s="2">
        <v>268.87</v>
      </c>
      <c r="BJ14" s="2">
        <v>0</v>
      </c>
      <c r="BK14" s="2">
        <v>18</v>
      </c>
      <c r="BL14" s="2">
        <v>0</v>
      </c>
      <c r="BM14" s="2">
        <v>0</v>
      </c>
      <c r="BN14" s="2">
        <v>4.86</v>
      </c>
      <c r="BO14" s="2">
        <v>11</v>
      </c>
      <c r="BP14" s="2">
        <v>4.23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11.34</v>
      </c>
      <c r="CB14" s="2" t="s">
        <v>226</v>
      </c>
      <c r="CC14" s="2" t="s">
        <v>339</v>
      </c>
      <c r="CD14" s="2">
        <v>392.09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72.34</v>
      </c>
      <c r="CV14" s="2" t="s">
        <v>228</v>
      </c>
      <c r="CW14" s="2">
        <v>72.34</v>
      </c>
      <c r="CX14" s="198" t="s">
        <v>229</v>
      </c>
      <c r="CY14" s="2">
        <v>108.51</v>
      </c>
      <c r="CZ14" s="2" t="s">
        <v>301</v>
      </c>
      <c r="DA14" s="2">
        <f>CY14</f>
        <v>108.51</v>
      </c>
      <c r="DE14" s="2">
        <v>0</v>
      </c>
      <c r="DF14" s="2" t="s">
        <v>232</v>
      </c>
      <c r="DG14" s="2" t="s">
        <v>209</v>
      </c>
      <c r="DH14" s="2" t="s">
        <v>208</v>
      </c>
      <c r="DI14" s="2">
        <v>252895738</v>
      </c>
      <c r="DJ14" s="2" t="s">
        <v>211</v>
      </c>
      <c r="DK14" s="2">
        <v>0</v>
      </c>
      <c r="DL14" s="2" t="s">
        <v>201</v>
      </c>
      <c r="DM14" s="2">
        <v>43.4</v>
      </c>
    </row>
    <row r="15" s="2" customFormat="1" ht="12" spans="1:117">
      <c r="A15" s="2">
        <v>2</v>
      </c>
      <c r="B15" s="2" t="s">
        <v>344</v>
      </c>
      <c r="C15" s="2" t="s">
        <v>199</v>
      </c>
      <c r="D15" s="2" t="s">
        <v>200</v>
      </c>
      <c r="E15" s="2" t="s">
        <v>201</v>
      </c>
      <c r="F15" s="102">
        <v>46239</v>
      </c>
      <c r="G15" s="2" t="s">
        <v>202</v>
      </c>
      <c r="H15" s="2" t="s">
        <v>345</v>
      </c>
      <c r="I15" s="2" t="s">
        <v>204</v>
      </c>
      <c r="J15" s="2" t="s">
        <v>205</v>
      </c>
      <c r="K15" s="2" t="s">
        <v>206</v>
      </c>
      <c r="L15" s="2" t="s">
        <v>207</v>
      </c>
      <c r="M15" s="2">
        <v>892</v>
      </c>
      <c r="N15" s="2" t="s">
        <v>208</v>
      </c>
      <c r="O15" s="2" t="s">
        <v>209</v>
      </c>
      <c r="P15" s="2" t="s">
        <v>210</v>
      </c>
      <c r="Q15" s="2" t="s">
        <v>204</v>
      </c>
      <c r="R15" s="2" t="s">
        <v>205</v>
      </c>
      <c r="S15" s="2" t="s">
        <v>208</v>
      </c>
      <c r="T15" s="2" t="s">
        <v>209</v>
      </c>
      <c r="U15" s="2" t="s">
        <v>204</v>
      </c>
      <c r="V15" s="2" t="s">
        <v>205</v>
      </c>
      <c r="W15" s="2" t="s">
        <v>206</v>
      </c>
      <c r="X15" s="2" t="s">
        <v>207</v>
      </c>
      <c r="Y15" s="2" t="s">
        <v>208</v>
      </c>
      <c r="Z15" s="2" t="s">
        <v>209</v>
      </c>
      <c r="AA15" s="2" t="s">
        <v>211</v>
      </c>
      <c r="AB15" s="2" t="s">
        <v>212</v>
      </c>
      <c r="AC15" s="2" t="s">
        <v>346</v>
      </c>
      <c r="AD15" s="2" t="s">
        <v>347</v>
      </c>
      <c r="AE15" s="2">
        <v>359</v>
      </c>
      <c r="AF15" s="2" t="s">
        <v>348</v>
      </c>
      <c r="AG15" s="2" t="s">
        <v>349</v>
      </c>
      <c r="AH15" s="2" t="s">
        <v>218</v>
      </c>
      <c r="AI15" s="2" t="s">
        <v>346</v>
      </c>
      <c r="AJ15" s="2" t="s">
        <v>347</v>
      </c>
      <c r="AK15" s="2" t="s">
        <v>349</v>
      </c>
      <c r="AL15" s="2" t="s">
        <v>218</v>
      </c>
      <c r="AM15" s="2" t="s">
        <v>350</v>
      </c>
      <c r="AN15" s="198" t="s">
        <v>351</v>
      </c>
      <c r="AO15" s="2">
        <v>449.876</v>
      </c>
      <c r="AP15" s="2">
        <v>0.0001</v>
      </c>
      <c r="AQ15" s="2">
        <v>1</v>
      </c>
      <c r="AR15" s="2">
        <v>0</v>
      </c>
      <c r="AS15" s="2" t="s">
        <v>221</v>
      </c>
      <c r="AT15" s="2" t="s">
        <v>222</v>
      </c>
      <c r="AU15" s="102">
        <v>46262</v>
      </c>
      <c r="AV15" s="2">
        <v>967.19</v>
      </c>
      <c r="AW15" s="2" t="s">
        <v>223</v>
      </c>
      <c r="AX15" s="2" t="s">
        <v>223</v>
      </c>
      <c r="AY15" s="2">
        <v>9522.96</v>
      </c>
      <c r="AZ15" s="2" t="s">
        <v>224</v>
      </c>
      <c r="BA15" s="2" t="s">
        <v>299</v>
      </c>
      <c r="BB15" s="2">
        <v>967.19</v>
      </c>
      <c r="BC15" s="2">
        <v>851.13</v>
      </c>
      <c r="BD15" s="2">
        <v>967.19</v>
      </c>
      <c r="BE15" s="2">
        <v>116.06</v>
      </c>
      <c r="BF15" s="12">
        <v>0.12</v>
      </c>
      <c r="BG15" s="2">
        <v>0</v>
      </c>
      <c r="BH15" s="2">
        <v>449.876</v>
      </c>
      <c r="BI15" s="2">
        <v>753.79</v>
      </c>
      <c r="BJ15" s="2">
        <v>0</v>
      </c>
      <c r="BK15" s="2">
        <v>18</v>
      </c>
      <c r="BL15" s="2">
        <v>0</v>
      </c>
      <c r="BM15" s="2">
        <v>0</v>
      </c>
      <c r="BN15" s="2">
        <v>14.28</v>
      </c>
      <c r="BO15" s="2">
        <v>27.5</v>
      </c>
      <c r="BP15" s="2">
        <v>4.23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33.33</v>
      </c>
      <c r="CB15" s="2" t="s">
        <v>226</v>
      </c>
      <c r="CC15" s="2" t="s">
        <v>300</v>
      </c>
      <c r="CD15" s="2">
        <v>1098.46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193.44</v>
      </c>
      <c r="CV15" s="2" t="s">
        <v>228</v>
      </c>
      <c r="CW15" s="2">
        <v>193.44</v>
      </c>
      <c r="CX15" s="198" t="s">
        <v>229</v>
      </c>
      <c r="CY15" s="2">
        <v>386.88</v>
      </c>
      <c r="CZ15" s="2" t="s">
        <v>264</v>
      </c>
      <c r="DA15" s="2">
        <f>CY15</f>
        <v>386.88</v>
      </c>
      <c r="DE15" s="2">
        <v>0</v>
      </c>
      <c r="DF15" s="2" t="s">
        <v>232</v>
      </c>
      <c r="DG15" s="2" t="s">
        <v>209</v>
      </c>
      <c r="DH15" s="2" t="s">
        <v>208</v>
      </c>
      <c r="DI15" s="2">
        <v>252895738</v>
      </c>
      <c r="DJ15" s="2" t="s">
        <v>211</v>
      </c>
      <c r="DK15" s="2">
        <v>0</v>
      </c>
      <c r="DL15" s="2" t="s">
        <v>201</v>
      </c>
      <c r="DM15" s="2">
        <v>116.06</v>
      </c>
    </row>
    <row r="16" s="2" customFormat="1" ht="12" spans="1:117">
      <c r="A16" s="2">
        <v>2</v>
      </c>
      <c r="B16" s="2" t="s">
        <v>352</v>
      </c>
      <c r="C16" s="2" t="s">
        <v>199</v>
      </c>
      <c r="D16" s="2" t="s">
        <v>200</v>
      </c>
      <c r="E16" s="2" t="s">
        <v>201</v>
      </c>
      <c r="F16" s="102">
        <v>46240</v>
      </c>
      <c r="G16" s="2" t="s">
        <v>202</v>
      </c>
      <c r="H16" s="2" t="s">
        <v>353</v>
      </c>
      <c r="I16" s="2" t="s">
        <v>204</v>
      </c>
      <c r="J16" s="2" t="s">
        <v>205</v>
      </c>
      <c r="K16" s="2" t="s">
        <v>206</v>
      </c>
      <c r="L16" s="2" t="s">
        <v>207</v>
      </c>
      <c r="M16" s="2">
        <v>892</v>
      </c>
      <c r="N16" s="2" t="s">
        <v>208</v>
      </c>
      <c r="O16" s="2" t="s">
        <v>209</v>
      </c>
      <c r="P16" s="2" t="s">
        <v>210</v>
      </c>
      <c r="Q16" s="2" t="s">
        <v>204</v>
      </c>
      <c r="R16" s="2" t="s">
        <v>205</v>
      </c>
      <c r="S16" s="2" t="s">
        <v>208</v>
      </c>
      <c r="T16" s="2" t="s">
        <v>209</v>
      </c>
      <c r="U16" s="2" t="s">
        <v>204</v>
      </c>
      <c r="V16" s="2" t="s">
        <v>205</v>
      </c>
      <c r="W16" s="2" t="s">
        <v>206</v>
      </c>
      <c r="X16" s="2" t="s">
        <v>207</v>
      </c>
      <c r="Y16" s="2" t="s">
        <v>208</v>
      </c>
      <c r="Z16" s="2" t="s">
        <v>209</v>
      </c>
      <c r="AA16" s="2" t="s">
        <v>211</v>
      </c>
      <c r="AB16" s="2" t="s">
        <v>212</v>
      </c>
      <c r="AC16" s="2" t="s">
        <v>354</v>
      </c>
      <c r="AD16" s="2" t="s">
        <v>355</v>
      </c>
      <c r="AE16" s="2" t="s">
        <v>356</v>
      </c>
      <c r="AF16" s="2" t="s">
        <v>357</v>
      </c>
      <c r="AG16" s="2" t="s">
        <v>358</v>
      </c>
      <c r="AH16" s="2" t="s">
        <v>218</v>
      </c>
      <c r="AI16" s="2" t="s">
        <v>354</v>
      </c>
      <c r="AJ16" s="2" t="s">
        <v>355</v>
      </c>
      <c r="AK16" s="2" t="s">
        <v>358</v>
      </c>
      <c r="AL16" s="2" t="s">
        <v>218</v>
      </c>
      <c r="AM16" s="2" t="s">
        <v>219</v>
      </c>
      <c r="AN16" s="198" t="s">
        <v>359</v>
      </c>
      <c r="AO16" s="2">
        <v>70.43</v>
      </c>
      <c r="AP16" s="2">
        <v>0.0001</v>
      </c>
      <c r="AQ16" s="2">
        <v>31</v>
      </c>
      <c r="AR16" s="2">
        <v>0</v>
      </c>
      <c r="AS16" s="2" t="s">
        <v>221</v>
      </c>
      <c r="AT16" s="2" t="s">
        <v>222</v>
      </c>
      <c r="AU16" s="102">
        <v>46262</v>
      </c>
      <c r="AV16" s="2">
        <v>249.45</v>
      </c>
      <c r="AW16" s="2" t="s">
        <v>223</v>
      </c>
      <c r="AX16" s="2" t="s">
        <v>223</v>
      </c>
      <c r="AY16" s="2">
        <v>3084.36</v>
      </c>
      <c r="AZ16" s="2" t="s">
        <v>224</v>
      </c>
      <c r="BA16" s="2" t="s">
        <v>240</v>
      </c>
      <c r="BB16" s="2">
        <v>249.45</v>
      </c>
      <c r="BC16" s="2">
        <v>219.52</v>
      </c>
      <c r="BD16" s="2">
        <v>249.45</v>
      </c>
      <c r="BE16" s="2">
        <v>29.93</v>
      </c>
      <c r="BF16" s="12">
        <v>0.12</v>
      </c>
      <c r="BG16" s="2">
        <v>0</v>
      </c>
      <c r="BH16" s="2">
        <v>70.43</v>
      </c>
      <c r="BI16" s="2">
        <v>176.36</v>
      </c>
      <c r="BJ16" s="2">
        <v>0</v>
      </c>
      <c r="BK16" s="2">
        <v>18</v>
      </c>
      <c r="BL16" s="2">
        <v>0</v>
      </c>
      <c r="BM16" s="2">
        <v>0</v>
      </c>
      <c r="BN16" s="2">
        <v>4.63</v>
      </c>
      <c r="BO16" s="2">
        <v>5.5</v>
      </c>
      <c r="BP16" s="2">
        <v>4.23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10.8</v>
      </c>
      <c r="CB16" s="2" t="s">
        <v>226</v>
      </c>
      <c r="CC16" s="2" t="s">
        <v>241</v>
      </c>
      <c r="CD16" s="2">
        <v>390.07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49.89</v>
      </c>
      <c r="CV16" s="2" t="s">
        <v>228</v>
      </c>
      <c r="CW16" s="2">
        <v>49.89</v>
      </c>
      <c r="CX16" s="198" t="s">
        <v>229</v>
      </c>
      <c r="CY16" s="2">
        <v>87.31</v>
      </c>
      <c r="CZ16" s="2" t="s">
        <v>230</v>
      </c>
      <c r="DA16" s="2">
        <v>87.31</v>
      </c>
      <c r="DB16" s="198" t="s">
        <v>231</v>
      </c>
      <c r="DE16" s="2">
        <v>0</v>
      </c>
      <c r="DF16" s="2" t="s">
        <v>232</v>
      </c>
      <c r="DG16" s="2" t="s">
        <v>209</v>
      </c>
      <c r="DH16" s="2" t="s">
        <v>208</v>
      </c>
      <c r="DI16" s="2">
        <v>252895738</v>
      </c>
      <c r="DJ16" s="2" t="s">
        <v>211</v>
      </c>
      <c r="DK16" s="2">
        <v>0</v>
      </c>
      <c r="DL16" s="2" t="s">
        <v>201</v>
      </c>
      <c r="DM16" s="2">
        <v>29.93</v>
      </c>
    </row>
    <row r="17" s="2" customFormat="1" ht="12" spans="1:117">
      <c r="A17" s="2">
        <v>2</v>
      </c>
      <c r="B17" s="2" t="s">
        <v>360</v>
      </c>
      <c r="C17" s="2" t="s">
        <v>199</v>
      </c>
      <c r="D17" s="2" t="s">
        <v>200</v>
      </c>
      <c r="E17" s="2" t="s">
        <v>201</v>
      </c>
      <c r="F17" s="102">
        <v>46240</v>
      </c>
      <c r="G17" s="2" t="s">
        <v>202</v>
      </c>
      <c r="H17" s="2" t="s">
        <v>361</v>
      </c>
      <c r="I17" s="2" t="s">
        <v>204</v>
      </c>
      <c r="J17" s="2" t="s">
        <v>205</v>
      </c>
      <c r="K17" s="2" t="s">
        <v>206</v>
      </c>
      <c r="L17" s="2" t="s">
        <v>207</v>
      </c>
      <c r="M17" s="2">
        <v>892</v>
      </c>
      <c r="N17" s="2" t="s">
        <v>208</v>
      </c>
      <c r="O17" s="2" t="s">
        <v>209</v>
      </c>
      <c r="P17" s="2" t="s">
        <v>210</v>
      </c>
      <c r="Q17" s="2" t="s">
        <v>204</v>
      </c>
      <c r="R17" s="2" t="s">
        <v>205</v>
      </c>
      <c r="S17" s="2" t="s">
        <v>208</v>
      </c>
      <c r="T17" s="2" t="s">
        <v>209</v>
      </c>
      <c r="U17" s="2" t="s">
        <v>204</v>
      </c>
      <c r="V17" s="2" t="s">
        <v>205</v>
      </c>
      <c r="W17" s="2" t="s">
        <v>206</v>
      </c>
      <c r="X17" s="2" t="s">
        <v>207</v>
      </c>
      <c r="Y17" s="2" t="s">
        <v>208</v>
      </c>
      <c r="Z17" s="2" t="s">
        <v>209</v>
      </c>
      <c r="AA17" s="2" t="s">
        <v>211</v>
      </c>
      <c r="AB17" s="2" t="s">
        <v>212</v>
      </c>
      <c r="AC17" s="2" t="s">
        <v>362</v>
      </c>
      <c r="AD17" s="2" t="s">
        <v>363</v>
      </c>
      <c r="AE17" s="2" t="s">
        <v>237</v>
      </c>
      <c r="AF17" s="2" t="s">
        <v>216</v>
      </c>
      <c r="AG17" s="2" t="s">
        <v>238</v>
      </c>
      <c r="AH17" s="2" t="s">
        <v>218</v>
      </c>
      <c r="AI17" s="2" t="s">
        <v>362</v>
      </c>
      <c r="AJ17" s="2" t="s">
        <v>363</v>
      </c>
      <c r="AK17" s="2" t="s">
        <v>238</v>
      </c>
      <c r="AL17" s="2" t="s">
        <v>218</v>
      </c>
      <c r="AM17" s="2" t="s">
        <v>219</v>
      </c>
      <c r="AN17" s="198" t="s">
        <v>364</v>
      </c>
      <c r="AO17" s="2">
        <v>64</v>
      </c>
      <c r="AP17" s="2">
        <v>0.0001</v>
      </c>
      <c r="AQ17" s="2">
        <v>4</v>
      </c>
      <c r="AR17" s="2">
        <v>0</v>
      </c>
      <c r="AS17" s="2" t="s">
        <v>221</v>
      </c>
      <c r="AT17" s="2" t="s">
        <v>222</v>
      </c>
      <c r="AU17" s="102">
        <v>46262</v>
      </c>
      <c r="AV17" s="2">
        <v>230.4</v>
      </c>
      <c r="AW17" s="2" t="s">
        <v>223</v>
      </c>
      <c r="AX17" s="2" t="s">
        <v>223</v>
      </c>
      <c r="AY17" s="2">
        <v>1911.24</v>
      </c>
      <c r="AZ17" s="2" t="s">
        <v>224</v>
      </c>
      <c r="BA17" s="2" t="s">
        <v>240</v>
      </c>
      <c r="BB17" s="2">
        <v>230.4</v>
      </c>
      <c r="BC17" s="2">
        <v>202.75</v>
      </c>
      <c r="BD17" s="2">
        <v>230.4</v>
      </c>
      <c r="BE17" s="2">
        <v>27.65</v>
      </c>
      <c r="BF17" s="12">
        <v>0.12</v>
      </c>
      <c r="BG17" s="2">
        <v>0</v>
      </c>
      <c r="BH17" s="2">
        <v>64</v>
      </c>
      <c r="BI17" s="2">
        <v>165.08</v>
      </c>
      <c r="BJ17" s="2">
        <v>0</v>
      </c>
      <c r="BK17" s="2">
        <v>18</v>
      </c>
      <c r="BL17" s="2">
        <v>0</v>
      </c>
      <c r="BM17" s="2">
        <v>0</v>
      </c>
      <c r="BN17" s="2">
        <v>3.25</v>
      </c>
      <c r="BO17" s="2">
        <v>5.5</v>
      </c>
      <c r="BP17" s="2">
        <v>4.23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6.69</v>
      </c>
      <c r="CB17" s="2" t="s">
        <v>226</v>
      </c>
      <c r="CC17" s="2" t="s">
        <v>241</v>
      </c>
      <c r="CD17" s="2">
        <v>377.09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46.08</v>
      </c>
      <c r="CV17" s="2" t="s">
        <v>228</v>
      </c>
      <c r="CW17" s="2">
        <v>46.08</v>
      </c>
      <c r="CX17" s="198" t="s">
        <v>229</v>
      </c>
      <c r="CY17" s="2">
        <v>80.64</v>
      </c>
      <c r="CZ17" s="2" t="s">
        <v>230</v>
      </c>
      <c r="DA17" s="2">
        <v>80.64</v>
      </c>
      <c r="DB17" s="198" t="s">
        <v>231</v>
      </c>
      <c r="DE17" s="2">
        <v>0</v>
      </c>
      <c r="DF17" s="2" t="s">
        <v>232</v>
      </c>
      <c r="DG17" s="2" t="s">
        <v>209</v>
      </c>
      <c r="DH17" s="2" t="s">
        <v>208</v>
      </c>
      <c r="DI17" s="2">
        <v>252895738</v>
      </c>
      <c r="DJ17" s="2" t="s">
        <v>211</v>
      </c>
      <c r="DK17" s="2">
        <v>0</v>
      </c>
      <c r="DL17" s="2" t="s">
        <v>201</v>
      </c>
      <c r="DM17" s="2">
        <v>27.65</v>
      </c>
    </row>
    <row r="18" s="2" customFormat="1" ht="12" spans="1:117">
      <c r="A18" s="2">
        <v>2</v>
      </c>
      <c r="B18" s="2" t="s">
        <v>365</v>
      </c>
      <c r="C18" s="2" t="s">
        <v>199</v>
      </c>
      <c r="D18" s="2" t="s">
        <v>200</v>
      </c>
      <c r="E18" s="2" t="s">
        <v>201</v>
      </c>
      <c r="F18" s="102">
        <v>46240</v>
      </c>
      <c r="G18" s="2" t="s">
        <v>202</v>
      </c>
      <c r="H18" s="2" t="s">
        <v>366</v>
      </c>
      <c r="I18" s="2" t="s">
        <v>204</v>
      </c>
      <c r="J18" s="2" t="s">
        <v>205</v>
      </c>
      <c r="K18" s="2" t="s">
        <v>206</v>
      </c>
      <c r="L18" s="2" t="s">
        <v>207</v>
      </c>
      <c r="M18" s="2">
        <v>892</v>
      </c>
      <c r="N18" s="2" t="s">
        <v>208</v>
      </c>
      <c r="O18" s="2" t="s">
        <v>209</v>
      </c>
      <c r="P18" s="2" t="s">
        <v>210</v>
      </c>
      <c r="Q18" s="2" t="s">
        <v>204</v>
      </c>
      <c r="R18" s="2" t="s">
        <v>205</v>
      </c>
      <c r="S18" s="2" t="s">
        <v>208</v>
      </c>
      <c r="T18" s="2" t="s">
        <v>209</v>
      </c>
      <c r="U18" s="2" t="s">
        <v>204</v>
      </c>
      <c r="V18" s="2" t="s">
        <v>205</v>
      </c>
      <c r="W18" s="2" t="s">
        <v>206</v>
      </c>
      <c r="X18" s="2" t="s">
        <v>207</v>
      </c>
      <c r="Y18" s="2" t="s">
        <v>208</v>
      </c>
      <c r="Z18" s="2" t="s">
        <v>209</v>
      </c>
      <c r="AA18" s="2" t="s">
        <v>211</v>
      </c>
      <c r="AB18" s="2" t="s">
        <v>212</v>
      </c>
      <c r="AC18" s="2" t="s">
        <v>367</v>
      </c>
      <c r="AD18" s="2" t="s">
        <v>368</v>
      </c>
      <c r="AE18" s="2">
        <v>360</v>
      </c>
      <c r="AF18" s="2" t="s">
        <v>369</v>
      </c>
      <c r="AG18" s="2" t="s">
        <v>370</v>
      </c>
      <c r="AH18" s="2" t="s">
        <v>218</v>
      </c>
      <c r="AI18" s="2" t="s">
        <v>367</v>
      </c>
      <c r="AJ18" s="2" t="s">
        <v>368</v>
      </c>
      <c r="AK18" s="2" t="s">
        <v>370</v>
      </c>
      <c r="AL18" s="2" t="s">
        <v>218</v>
      </c>
      <c r="AM18" s="2" t="s">
        <v>371</v>
      </c>
      <c r="AN18" s="198" t="s">
        <v>372</v>
      </c>
      <c r="AO18" s="2">
        <v>73.4</v>
      </c>
      <c r="AP18" s="2">
        <v>0.0001</v>
      </c>
      <c r="AQ18" s="2">
        <v>10</v>
      </c>
      <c r="AR18" s="2">
        <v>0</v>
      </c>
      <c r="AS18" s="2" t="s">
        <v>221</v>
      </c>
      <c r="AT18" s="2" t="s">
        <v>222</v>
      </c>
      <c r="AU18" s="102">
        <v>46262</v>
      </c>
      <c r="AV18" s="2">
        <v>241.66</v>
      </c>
      <c r="AW18" s="2" t="s">
        <v>223</v>
      </c>
      <c r="AX18" s="2" t="s">
        <v>223</v>
      </c>
      <c r="AY18" s="2">
        <v>1520</v>
      </c>
      <c r="AZ18" s="2" t="s">
        <v>224</v>
      </c>
      <c r="BA18" s="2" t="s">
        <v>324</v>
      </c>
      <c r="BB18" s="2">
        <v>241.66</v>
      </c>
      <c r="BC18" s="2">
        <v>212.66</v>
      </c>
      <c r="BD18" s="2">
        <v>241.66</v>
      </c>
      <c r="BE18" s="2">
        <v>29</v>
      </c>
      <c r="BF18" s="12">
        <v>0.12</v>
      </c>
      <c r="BG18" s="2">
        <v>0</v>
      </c>
      <c r="BH18" s="2">
        <v>73.4</v>
      </c>
      <c r="BI18" s="2">
        <v>176.36</v>
      </c>
      <c r="BJ18" s="2">
        <v>0</v>
      </c>
      <c r="BK18" s="2">
        <v>18</v>
      </c>
      <c r="BL18" s="2">
        <v>0</v>
      </c>
      <c r="BM18" s="2">
        <v>0</v>
      </c>
      <c r="BN18" s="2">
        <v>3.25</v>
      </c>
      <c r="BO18" s="2">
        <v>5.5</v>
      </c>
      <c r="BP18" s="2">
        <v>4.23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5.32</v>
      </c>
      <c r="CB18" s="2" t="s">
        <v>226</v>
      </c>
      <c r="CC18" s="2" t="s">
        <v>325</v>
      </c>
      <c r="CD18" s="2">
        <v>373.22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48.33</v>
      </c>
      <c r="CV18" s="2" t="s">
        <v>228</v>
      </c>
      <c r="CW18" s="2">
        <v>48.33</v>
      </c>
      <c r="CX18" s="198" t="s">
        <v>229</v>
      </c>
      <c r="CY18" s="2">
        <v>30.09</v>
      </c>
      <c r="CZ18" s="2" t="s">
        <v>373</v>
      </c>
      <c r="DA18" s="2">
        <v>30.09</v>
      </c>
      <c r="DB18" s="198" t="s">
        <v>374</v>
      </c>
      <c r="DE18" s="2">
        <v>0</v>
      </c>
      <c r="DF18" s="2" t="s">
        <v>232</v>
      </c>
      <c r="DG18" s="2" t="s">
        <v>209</v>
      </c>
      <c r="DH18" s="2" t="s">
        <v>208</v>
      </c>
      <c r="DI18" s="2">
        <v>252895738</v>
      </c>
      <c r="DJ18" s="2" t="s">
        <v>211</v>
      </c>
      <c r="DK18" s="2">
        <v>0</v>
      </c>
      <c r="DL18" s="2" t="s">
        <v>201</v>
      </c>
      <c r="DM18" s="2">
        <v>29</v>
      </c>
    </row>
    <row r="19" s="2" customFormat="1" ht="12" spans="1:117">
      <c r="A19" s="2">
        <v>2</v>
      </c>
      <c r="B19" s="2" t="s">
        <v>375</v>
      </c>
      <c r="C19" s="2" t="s">
        <v>199</v>
      </c>
      <c r="D19" s="2" t="s">
        <v>200</v>
      </c>
      <c r="E19" s="2" t="s">
        <v>201</v>
      </c>
      <c r="F19" s="102">
        <v>46240</v>
      </c>
      <c r="G19" s="2" t="s">
        <v>202</v>
      </c>
      <c r="H19" s="2" t="s">
        <v>376</v>
      </c>
      <c r="I19" s="2" t="s">
        <v>204</v>
      </c>
      <c r="J19" s="2" t="s">
        <v>205</v>
      </c>
      <c r="K19" s="2" t="s">
        <v>206</v>
      </c>
      <c r="L19" s="2" t="s">
        <v>207</v>
      </c>
      <c r="M19" s="2">
        <v>892</v>
      </c>
      <c r="N19" s="2" t="s">
        <v>208</v>
      </c>
      <c r="O19" s="2" t="s">
        <v>209</v>
      </c>
      <c r="P19" s="2" t="s">
        <v>210</v>
      </c>
      <c r="Q19" s="2" t="s">
        <v>204</v>
      </c>
      <c r="R19" s="2" t="s">
        <v>205</v>
      </c>
      <c r="S19" s="2" t="s">
        <v>208</v>
      </c>
      <c r="T19" s="2" t="s">
        <v>209</v>
      </c>
      <c r="U19" s="2" t="s">
        <v>204</v>
      </c>
      <c r="V19" s="2" t="s">
        <v>205</v>
      </c>
      <c r="W19" s="2" t="s">
        <v>206</v>
      </c>
      <c r="X19" s="2" t="s">
        <v>207</v>
      </c>
      <c r="Y19" s="2" t="s">
        <v>208</v>
      </c>
      <c r="Z19" s="2" t="s">
        <v>209</v>
      </c>
      <c r="AA19" s="2" t="s">
        <v>211</v>
      </c>
      <c r="AB19" s="2" t="s">
        <v>212</v>
      </c>
      <c r="AC19" s="2" t="s">
        <v>377</v>
      </c>
      <c r="AD19" s="2" t="s">
        <v>378</v>
      </c>
      <c r="AE19" s="2">
        <v>356</v>
      </c>
      <c r="AF19" s="2" t="s">
        <v>246</v>
      </c>
      <c r="AG19" s="2" t="s">
        <v>379</v>
      </c>
      <c r="AH19" s="2" t="s">
        <v>218</v>
      </c>
      <c r="AI19" s="2" t="s">
        <v>377</v>
      </c>
      <c r="AJ19" s="2" t="s">
        <v>378</v>
      </c>
      <c r="AK19" s="2" t="s">
        <v>379</v>
      </c>
      <c r="AL19" s="2" t="s">
        <v>218</v>
      </c>
      <c r="AM19" s="2" t="s">
        <v>248</v>
      </c>
      <c r="AN19" s="198" t="s">
        <v>380</v>
      </c>
      <c r="AO19" s="2">
        <v>54.66</v>
      </c>
      <c r="AP19" s="2">
        <v>0.0001</v>
      </c>
      <c r="AQ19" s="2">
        <v>9</v>
      </c>
      <c r="AR19" s="2">
        <v>0</v>
      </c>
      <c r="AS19" s="2" t="s">
        <v>221</v>
      </c>
      <c r="AT19" s="2" t="s">
        <v>222</v>
      </c>
      <c r="AU19" s="102">
        <v>46262</v>
      </c>
      <c r="AV19" s="2">
        <v>248.25</v>
      </c>
      <c r="AW19" s="2" t="s">
        <v>223</v>
      </c>
      <c r="AX19" s="2" t="s">
        <v>223</v>
      </c>
      <c r="AY19" s="2">
        <v>1680.29</v>
      </c>
      <c r="AZ19" s="2" t="s">
        <v>224</v>
      </c>
      <c r="BA19" s="2" t="s">
        <v>299</v>
      </c>
      <c r="BB19" s="2">
        <v>248.25</v>
      </c>
      <c r="BC19" s="2">
        <v>218.46</v>
      </c>
      <c r="BD19" s="2">
        <v>248.25</v>
      </c>
      <c r="BE19" s="2">
        <v>29.79</v>
      </c>
      <c r="BF19" s="12">
        <v>0.12</v>
      </c>
      <c r="BG19" s="2">
        <v>0</v>
      </c>
      <c r="BH19" s="2">
        <v>54.66</v>
      </c>
      <c r="BI19" s="2">
        <v>181.6</v>
      </c>
      <c r="BJ19" s="2">
        <v>0</v>
      </c>
      <c r="BK19" s="2">
        <v>18</v>
      </c>
      <c r="BL19" s="2">
        <v>0</v>
      </c>
      <c r="BM19" s="2">
        <v>0</v>
      </c>
      <c r="BN19" s="2">
        <v>3.25</v>
      </c>
      <c r="BO19" s="2">
        <v>5.5</v>
      </c>
      <c r="BP19" s="2">
        <v>4.23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5.88</v>
      </c>
      <c r="CB19" s="2" t="s">
        <v>226</v>
      </c>
      <c r="CC19" s="2" t="s">
        <v>300</v>
      </c>
      <c r="CD19" s="2">
        <v>374.77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49.65</v>
      </c>
      <c r="CV19" s="2" t="s">
        <v>228</v>
      </c>
      <c r="CW19" s="2">
        <v>49.65</v>
      </c>
      <c r="CX19" s="198" t="s">
        <v>229</v>
      </c>
      <c r="CY19" s="2">
        <v>51</v>
      </c>
      <c r="CZ19" s="2" t="s">
        <v>252</v>
      </c>
      <c r="DA19" s="2">
        <v>51</v>
      </c>
      <c r="DB19" s="198" t="s">
        <v>253</v>
      </c>
      <c r="DE19" s="2">
        <v>0</v>
      </c>
      <c r="DF19" s="2" t="s">
        <v>232</v>
      </c>
      <c r="DG19" s="2" t="s">
        <v>209</v>
      </c>
      <c r="DH19" s="2" t="s">
        <v>208</v>
      </c>
      <c r="DI19" s="2">
        <v>252895738</v>
      </c>
      <c r="DJ19" s="2" t="s">
        <v>211</v>
      </c>
      <c r="DK19" s="2">
        <v>0</v>
      </c>
      <c r="DL19" s="2" t="s">
        <v>201</v>
      </c>
      <c r="DM19" s="2">
        <v>29.79</v>
      </c>
    </row>
    <row r="20" s="2" customFormat="1" ht="12" spans="1:117">
      <c r="A20" s="2">
        <v>2</v>
      </c>
      <c r="B20" s="2" t="s">
        <v>381</v>
      </c>
      <c r="C20" s="2" t="s">
        <v>199</v>
      </c>
      <c r="D20" s="2" t="s">
        <v>200</v>
      </c>
      <c r="E20" s="2" t="s">
        <v>201</v>
      </c>
      <c r="F20" s="102">
        <v>46240</v>
      </c>
      <c r="G20" s="2" t="s">
        <v>202</v>
      </c>
      <c r="H20" s="2" t="s">
        <v>382</v>
      </c>
      <c r="I20" s="2" t="s">
        <v>204</v>
      </c>
      <c r="J20" s="2" t="s">
        <v>205</v>
      </c>
      <c r="K20" s="2" t="s">
        <v>206</v>
      </c>
      <c r="L20" s="2" t="s">
        <v>207</v>
      </c>
      <c r="M20" s="2">
        <v>892</v>
      </c>
      <c r="N20" s="2" t="s">
        <v>208</v>
      </c>
      <c r="O20" s="2" t="s">
        <v>209</v>
      </c>
      <c r="P20" s="2" t="s">
        <v>210</v>
      </c>
      <c r="Q20" s="2" t="s">
        <v>204</v>
      </c>
      <c r="R20" s="2" t="s">
        <v>205</v>
      </c>
      <c r="S20" s="2" t="s">
        <v>208</v>
      </c>
      <c r="T20" s="2" t="s">
        <v>209</v>
      </c>
      <c r="U20" s="2" t="s">
        <v>204</v>
      </c>
      <c r="V20" s="2" t="s">
        <v>205</v>
      </c>
      <c r="W20" s="2" t="s">
        <v>206</v>
      </c>
      <c r="X20" s="2" t="s">
        <v>207</v>
      </c>
      <c r="Y20" s="2" t="s">
        <v>208</v>
      </c>
      <c r="Z20" s="2" t="s">
        <v>209</v>
      </c>
      <c r="AA20" s="2" t="s">
        <v>211</v>
      </c>
      <c r="AB20" s="2" t="s">
        <v>212</v>
      </c>
      <c r="AC20" s="2" t="s">
        <v>383</v>
      </c>
      <c r="AD20" s="2" t="s">
        <v>384</v>
      </c>
      <c r="AE20" s="2" t="s">
        <v>385</v>
      </c>
      <c r="AF20" s="2" t="s">
        <v>216</v>
      </c>
      <c r="AG20" s="2" t="s">
        <v>386</v>
      </c>
      <c r="AH20" s="2" t="s">
        <v>218</v>
      </c>
      <c r="AI20" s="2" t="s">
        <v>383</v>
      </c>
      <c r="AJ20" s="2" t="s">
        <v>384</v>
      </c>
      <c r="AK20" s="2" t="s">
        <v>386</v>
      </c>
      <c r="AL20" s="2" t="s">
        <v>218</v>
      </c>
      <c r="AM20" s="2" t="s">
        <v>219</v>
      </c>
      <c r="AN20" s="198" t="s">
        <v>387</v>
      </c>
      <c r="AO20" s="2">
        <v>161.47</v>
      </c>
      <c r="AP20" s="2">
        <v>0.0001</v>
      </c>
      <c r="AQ20" s="2">
        <v>52</v>
      </c>
      <c r="AR20" s="2">
        <v>0</v>
      </c>
      <c r="AS20" s="2" t="s">
        <v>221</v>
      </c>
      <c r="AT20" s="2" t="s">
        <v>222</v>
      </c>
      <c r="AU20" s="102">
        <v>46262</v>
      </c>
      <c r="AV20" s="2">
        <v>357.01</v>
      </c>
      <c r="AW20" s="2" t="s">
        <v>223</v>
      </c>
      <c r="AX20" s="2" t="s">
        <v>223</v>
      </c>
      <c r="AY20" s="2">
        <v>4935.52</v>
      </c>
      <c r="AZ20" s="2" t="s">
        <v>224</v>
      </c>
      <c r="BA20" s="2" t="s">
        <v>240</v>
      </c>
      <c r="BB20" s="2">
        <v>357.01</v>
      </c>
      <c r="BC20" s="2">
        <v>314.17</v>
      </c>
      <c r="BD20" s="2">
        <v>357.01</v>
      </c>
      <c r="BE20" s="2">
        <v>42.84</v>
      </c>
      <c r="BF20" s="12">
        <v>0.12</v>
      </c>
      <c r="BG20" s="2">
        <v>0</v>
      </c>
      <c r="BH20" s="2">
        <v>161.47</v>
      </c>
      <c r="BI20" s="2">
        <v>256.27</v>
      </c>
      <c r="BJ20" s="2">
        <v>0</v>
      </c>
      <c r="BK20" s="2">
        <v>18</v>
      </c>
      <c r="BL20" s="2">
        <v>0</v>
      </c>
      <c r="BM20" s="2">
        <v>0</v>
      </c>
      <c r="BN20" s="2">
        <v>7.4</v>
      </c>
      <c r="BO20" s="2">
        <v>11</v>
      </c>
      <c r="BP20" s="2">
        <v>4.23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17.27</v>
      </c>
      <c r="CB20" s="2" t="s">
        <v>226</v>
      </c>
      <c r="CC20" s="2" t="s">
        <v>241</v>
      </c>
      <c r="CD20" s="2">
        <v>414.16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71.4</v>
      </c>
      <c r="CV20" s="2" t="s">
        <v>228</v>
      </c>
      <c r="CW20" s="2">
        <v>71.4</v>
      </c>
      <c r="CX20" s="198" t="s">
        <v>229</v>
      </c>
      <c r="CY20" s="2">
        <v>124.95</v>
      </c>
      <c r="CZ20" s="2" t="s">
        <v>230</v>
      </c>
      <c r="DA20" s="2">
        <v>324.95</v>
      </c>
      <c r="DB20" s="198" t="s">
        <v>231</v>
      </c>
      <c r="DE20" s="2">
        <v>0</v>
      </c>
      <c r="DF20" s="2" t="s">
        <v>232</v>
      </c>
      <c r="DG20" s="2" t="s">
        <v>209</v>
      </c>
      <c r="DH20" s="2" t="s">
        <v>208</v>
      </c>
      <c r="DI20" s="2">
        <v>252895738</v>
      </c>
      <c r="DJ20" s="2" t="s">
        <v>211</v>
      </c>
      <c r="DK20" s="2">
        <v>0</v>
      </c>
      <c r="DL20" s="2" t="s">
        <v>201</v>
      </c>
      <c r="DM20" s="2">
        <v>42.84</v>
      </c>
    </row>
    <row r="21" s="2" customFormat="1" ht="12" spans="1:117">
      <c r="A21" s="2">
        <v>2</v>
      </c>
      <c r="B21" s="2" t="s">
        <v>388</v>
      </c>
      <c r="C21" s="2" t="s">
        <v>199</v>
      </c>
      <c r="D21" s="2" t="s">
        <v>200</v>
      </c>
      <c r="E21" s="2" t="s">
        <v>201</v>
      </c>
      <c r="F21" s="102">
        <v>46241</v>
      </c>
      <c r="G21" s="2" t="s">
        <v>202</v>
      </c>
      <c r="H21" s="2" t="s">
        <v>389</v>
      </c>
      <c r="I21" s="2" t="s">
        <v>204</v>
      </c>
      <c r="J21" s="2" t="s">
        <v>205</v>
      </c>
      <c r="K21" s="2" t="s">
        <v>206</v>
      </c>
      <c r="L21" s="2" t="s">
        <v>207</v>
      </c>
      <c r="M21" s="2">
        <v>892</v>
      </c>
      <c r="N21" s="2" t="s">
        <v>208</v>
      </c>
      <c r="O21" s="2" t="s">
        <v>209</v>
      </c>
      <c r="P21" s="2" t="s">
        <v>210</v>
      </c>
      <c r="Q21" s="2" t="s">
        <v>204</v>
      </c>
      <c r="R21" s="2" t="s">
        <v>205</v>
      </c>
      <c r="S21" s="2" t="s">
        <v>208</v>
      </c>
      <c r="T21" s="2" t="s">
        <v>209</v>
      </c>
      <c r="U21" s="2" t="s">
        <v>204</v>
      </c>
      <c r="V21" s="2" t="s">
        <v>205</v>
      </c>
      <c r="W21" s="2" t="s">
        <v>206</v>
      </c>
      <c r="X21" s="2" t="s">
        <v>207</v>
      </c>
      <c r="Y21" s="2" t="s">
        <v>208</v>
      </c>
      <c r="Z21" s="2" t="s">
        <v>209</v>
      </c>
      <c r="AA21" s="2" t="s">
        <v>211</v>
      </c>
      <c r="AB21" s="2" t="s">
        <v>212</v>
      </c>
      <c r="AC21" s="2" t="s">
        <v>390</v>
      </c>
      <c r="AD21" s="2" t="s">
        <v>391</v>
      </c>
      <c r="AE21" s="2">
        <v>359</v>
      </c>
      <c r="AF21" s="2" t="s">
        <v>306</v>
      </c>
      <c r="AG21" s="2" t="s">
        <v>392</v>
      </c>
      <c r="AH21" s="2" t="s">
        <v>218</v>
      </c>
      <c r="AI21" s="2" t="s">
        <v>390</v>
      </c>
      <c r="AJ21" s="2" t="s">
        <v>391</v>
      </c>
      <c r="AK21" s="2" t="s">
        <v>392</v>
      </c>
      <c r="AL21" s="2" t="s">
        <v>218</v>
      </c>
      <c r="AM21" s="2" t="s">
        <v>308</v>
      </c>
      <c r="AN21" s="198" t="s">
        <v>393</v>
      </c>
      <c r="AO21" s="2">
        <v>40.984</v>
      </c>
      <c r="AP21" s="2">
        <v>0.0001</v>
      </c>
      <c r="AQ21" s="2">
        <v>9</v>
      </c>
      <c r="AR21" s="2">
        <v>0</v>
      </c>
      <c r="AS21" s="2" t="s">
        <v>221</v>
      </c>
      <c r="AT21" s="2" t="s">
        <v>222</v>
      </c>
      <c r="AU21" s="102">
        <v>46262</v>
      </c>
      <c r="AV21" s="2">
        <v>220.82</v>
      </c>
      <c r="AW21" s="2" t="s">
        <v>223</v>
      </c>
      <c r="AX21" s="2" t="s">
        <v>223</v>
      </c>
      <c r="AY21" s="2">
        <v>1631.71</v>
      </c>
      <c r="AZ21" s="2" t="s">
        <v>224</v>
      </c>
      <c r="BA21" s="2" t="s">
        <v>299</v>
      </c>
      <c r="BB21" s="2">
        <v>220.82</v>
      </c>
      <c r="BC21" s="2">
        <v>194.32</v>
      </c>
      <c r="BD21" s="2">
        <v>220.82</v>
      </c>
      <c r="BE21" s="2">
        <v>26.5</v>
      </c>
      <c r="BF21" s="12">
        <v>0.12</v>
      </c>
      <c r="BG21" s="2">
        <v>0</v>
      </c>
      <c r="BH21" s="2">
        <v>40.984</v>
      </c>
      <c r="BI21" s="2">
        <v>157.63</v>
      </c>
      <c r="BJ21" s="2">
        <v>0</v>
      </c>
      <c r="BK21" s="2">
        <v>18</v>
      </c>
      <c r="BL21" s="2">
        <v>0</v>
      </c>
      <c r="BM21" s="2">
        <v>0</v>
      </c>
      <c r="BN21" s="2">
        <v>3.25</v>
      </c>
      <c r="BO21" s="2">
        <v>5.5</v>
      </c>
      <c r="BP21" s="2">
        <v>4.23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5.71</v>
      </c>
      <c r="CB21" s="2" t="s">
        <v>226</v>
      </c>
      <c r="CC21" s="2" t="s">
        <v>300</v>
      </c>
      <c r="CD21" s="2">
        <v>374.33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44.16</v>
      </c>
      <c r="CV21" s="2" t="s">
        <v>394</v>
      </c>
      <c r="CW21" s="2">
        <v>44.16</v>
      </c>
      <c r="CX21" s="198" t="s">
        <v>395</v>
      </c>
      <c r="CY21" s="2">
        <v>81.79</v>
      </c>
      <c r="CZ21" s="2" t="s">
        <v>310</v>
      </c>
      <c r="DA21" s="2">
        <v>81.79</v>
      </c>
      <c r="DB21" s="198" t="s">
        <v>311</v>
      </c>
      <c r="DE21" s="2">
        <v>0</v>
      </c>
      <c r="DF21" s="2" t="s">
        <v>232</v>
      </c>
      <c r="DG21" s="2" t="s">
        <v>209</v>
      </c>
      <c r="DH21" s="2" t="s">
        <v>208</v>
      </c>
      <c r="DI21" s="2">
        <v>252895738</v>
      </c>
      <c r="DJ21" s="2" t="s">
        <v>211</v>
      </c>
      <c r="DK21" s="2">
        <v>0</v>
      </c>
      <c r="DL21" s="2" t="s">
        <v>201</v>
      </c>
      <c r="DM21" s="2">
        <v>26.5</v>
      </c>
    </row>
    <row r="22" s="2" customFormat="1" ht="12" spans="1:117">
      <c r="A22" s="2">
        <v>2</v>
      </c>
      <c r="B22" s="2" t="s">
        <v>396</v>
      </c>
      <c r="C22" s="2" t="s">
        <v>199</v>
      </c>
      <c r="D22" s="2" t="s">
        <v>200</v>
      </c>
      <c r="E22" s="2" t="s">
        <v>201</v>
      </c>
      <c r="F22" s="102">
        <v>46241</v>
      </c>
      <c r="G22" s="2" t="s">
        <v>202</v>
      </c>
      <c r="H22" s="2" t="s">
        <v>397</v>
      </c>
      <c r="I22" s="2" t="s">
        <v>204</v>
      </c>
      <c r="J22" s="2" t="s">
        <v>205</v>
      </c>
      <c r="K22" s="2" t="s">
        <v>206</v>
      </c>
      <c r="L22" s="2" t="s">
        <v>207</v>
      </c>
      <c r="M22" s="2">
        <v>892</v>
      </c>
      <c r="N22" s="2" t="s">
        <v>208</v>
      </c>
      <c r="O22" s="2" t="s">
        <v>209</v>
      </c>
      <c r="P22" s="2" t="s">
        <v>210</v>
      </c>
      <c r="Q22" s="2" t="s">
        <v>204</v>
      </c>
      <c r="R22" s="2" t="s">
        <v>205</v>
      </c>
      <c r="S22" s="2" t="s">
        <v>208</v>
      </c>
      <c r="T22" s="2" t="s">
        <v>209</v>
      </c>
      <c r="U22" s="2" t="s">
        <v>204</v>
      </c>
      <c r="V22" s="2" t="s">
        <v>205</v>
      </c>
      <c r="W22" s="2" t="s">
        <v>206</v>
      </c>
      <c r="X22" s="2" t="s">
        <v>207</v>
      </c>
      <c r="Y22" s="2" t="s">
        <v>208</v>
      </c>
      <c r="Z22" s="2" t="s">
        <v>209</v>
      </c>
      <c r="AA22" s="2" t="s">
        <v>211</v>
      </c>
      <c r="AB22" s="2" t="s">
        <v>212</v>
      </c>
      <c r="AC22" s="2" t="s">
        <v>398</v>
      </c>
      <c r="AD22" s="2" t="s">
        <v>399</v>
      </c>
      <c r="AE22" s="2">
        <v>397</v>
      </c>
      <c r="AF22" s="2" t="s">
        <v>400</v>
      </c>
      <c r="AG22" s="2" t="s">
        <v>401</v>
      </c>
      <c r="AH22" s="2" t="s">
        <v>218</v>
      </c>
      <c r="AI22" s="2" t="s">
        <v>398</v>
      </c>
      <c r="AJ22" s="2" t="s">
        <v>399</v>
      </c>
      <c r="AK22" s="2" t="s">
        <v>401</v>
      </c>
      <c r="AL22" s="2" t="s">
        <v>218</v>
      </c>
      <c r="AM22" s="2" t="s">
        <v>402</v>
      </c>
      <c r="AN22" s="198" t="s">
        <v>403</v>
      </c>
      <c r="AO22" s="2">
        <v>74.328</v>
      </c>
      <c r="AP22" s="2">
        <v>0.0001</v>
      </c>
      <c r="AQ22" s="2">
        <v>19</v>
      </c>
      <c r="AR22" s="2">
        <v>0</v>
      </c>
      <c r="AS22" s="2" t="s">
        <v>221</v>
      </c>
      <c r="AT22" s="2" t="s">
        <v>222</v>
      </c>
      <c r="AU22" s="102">
        <v>46262</v>
      </c>
      <c r="AV22" s="2">
        <v>269.3</v>
      </c>
      <c r="AW22" s="2" t="s">
        <v>223</v>
      </c>
      <c r="AX22" s="2" t="s">
        <v>223</v>
      </c>
      <c r="AY22" s="2">
        <v>3051.01</v>
      </c>
      <c r="AZ22" s="2" t="s">
        <v>224</v>
      </c>
      <c r="BA22" s="2" t="s">
        <v>404</v>
      </c>
      <c r="BB22" s="2">
        <v>269.3</v>
      </c>
      <c r="BC22" s="2">
        <v>236.98</v>
      </c>
      <c r="BD22" s="2">
        <v>269.3</v>
      </c>
      <c r="BE22" s="2">
        <v>32.32</v>
      </c>
      <c r="BF22" s="12">
        <v>0.12</v>
      </c>
      <c r="BG22" s="2">
        <v>0</v>
      </c>
      <c r="BH22" s="2">
        <v>74.328</v>
      </c>
      <c r="BI22" s="2">
        <v>193.99</v>
      </c>
      <c r="BJ22" s="2">
        <v>0</v>
      </c>
      <c r="BK22" s="2">
        <v>18</v>
      </c>
      <c r="BL22" s="2">
        <v>0</v>
      </c>
      <c r="BM22" s="2">
        <v>0</v>
      </c>
      <c r="BN22" s="2">
        <v>4.58</v>
      </c>
      <c r="BO22" s="2">
        <v>5.5</v>
      </c>
      <c r="BP22" s="2">
        <v>4.23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10.68</v>
      </c>
      <c r="CB22" s="2" t="s">
        <v>226</v>
      </c>
      <c r="CC22" s="2" t="s">
        <v>400</v>
      </c>
      <c r="CD22" s="2">
        <v>389.67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53.86</v>
      </c>
      <c r="CV22" s="2" t="s">
        <v>394</v>
      </c>
      <c r="CW22" s="2">
        <v>53.86</v>
      </c>
      <c r="CX22" s="198" t="s">
        <v>395</v>
      </c>
      <c r="CY22" s="2">
        <v>123.78</v>
      </c>
      <c r="CZ22" s="2" t="s">
        <v>405</v>
      </c>
      <c r="DA22" s="2">
        <v>138.93</v>
      </c>
      <c r="DB22" s="2">
        <v>130688</v>
      </c>
      <c r="DE22" s="2">
        <v>0</v>
      </c>
      <c r="DF22" s="2" t="s">
        <v>232</v>
      </c>
      <c r="DG22" s="2" t="s">
        <v>209</v>
      </c>
      <c r="DH22" s="2" t="s">
        <v>208</v>
      </c>
      <c r="DI22" s="2">
        <v>252895738</v>
      </c>
      <c r="DJ22" s="2" t="s">
        <v>211</v>
      </c>
      <c r="DK22" s="2">
        <v>0</v>
      </c>
      <c r="DL22" s="2" t="s">
        <v>201</v>
      </c>
      <c r="DM22" s="2">
        <v>32.32</v>
      </c>
    </row>
    <row r="23" s="2" customFormat="1" ht="12" spans="1:117">
      <c r="A23" s="2">
        <v>2</v>
      </c>
      <c r="B23" s="2" t="s">
        <v>406</v>
      </c>
      <c r="C23" s="2" t="s">
        <v>199</v>
      </c>
      <c r="D23" s="2" t="s">
        <v>200</v>
      </c>
      <c r="E23" s="2" t="s">
        <v>201</v>
      </c>
      <c r="F23" s="102">
        <v>46241</v>
      </c>
      <c r="G23" s="2" t="s">
        <v>202</v>
      </c>
      <c r="H23" s="2" t="s">
        <v>407</v>
      </c>
      <c r="I23" s="2" t="s">
        <v>204</v>
      </c>
      <c r="J23" s="2" t="s">
        <v>205</v>
      </c>
      <c r="K23" s="2" t="s">
        <v>206</v>
      </c>
      <c r="L23" s="2" t="s">
        <v>207</v>
      </c>
      <c r="M23" s="2">
        <v>892</v>
      </c>
      <c r="N23" s="2" t="s">
        <v>208</v>
      </c>
      <c r="O23" s="2" t="s">
        <v>209</v>
      </c>
      <c r="P23" s="2" t="s">
        <v>210</v>
      </c>
      <c r="Q23" s="2" t="s">
        <v>204</v>
      </c>
      <c r="R23" s="2" t="s">
        <v>205</v>
      </c>
      <c r="S23" s="2" t="s">
        <v>208</v>
      </c>
      <c r="T23" s="2" t="s">
        <v>209</v>
      </c>
      <c r="U23" s="2" t="s">
        <v>204</v>
      </c>
      <c r="V23" s="2" t="s">
        <v>205</v>
      </c>
      <c r="W23" s="2" t="s">
        <v>206</v>
      </c>
      <c r="X23" s="2" t="s">
        <v>207</v>
      </c>
      <c r="Y23" s="2" t="s">
        <v>208</v>
      </c>
      <c r="Z23" s="2" t="s">
        <v>209</v>
      </c>
      <c r="AA23" s="2" t="s">
        <v>211</v>
      </c>
      <c r="AB23" s="2" t="s">
        <v>212</v>
      </c>
      <c r="AC23" s="2" t="s">
        <v>408</v>
      </c>
      <c r="AD23" s="2" t="s">
        <v>409</v>
      </c>
      <c r="AE23" s="2">
        <v>350</v>
      </c>
      <c r="AF23" s="2" t="s">
        <v>306</v>
      </c>
      <c r="AG23" s="2" t="s">
        <v>410</v>
      </c>
      <c r="AH23" s="2" t="s">
        <v>218</v>
      </c>
      <c r="AI23" s="2" t="s">
        <v>408</v>
      </c>
      <c r="AJ23" s="2" t="s">
        <v>409</v>
      </c>
      <c r="AK23" s="2" t="s">
        <v>410</v>
      </c>
      <c r="AL23" s="2" t="s">
        <v>218</v>
      </c>
      <c r="AM23" s="2" t="s">
        <v>308</v>
      </c>
      <c r="AN23" s="198" t="s">
        <v>411</v>
      </c>
      <c r="AO23" s="2">
        <v>121.068</v>
      </c>
      <c r="AP23" s="2">
        <v>0</v>
      </c>
      <c r="AQ23" s="2">
        <v>25</v>
      </c>
      <c r="AR23" s="2">
        <v>0</v>
      </c>
      <c r="AS23" s="2" t="s">
        <v>221</v>
      </c>
      <c r="AT23" s="2" t="s">
        <v>222</v>
      </c>
      <c r="AU23" s="102">
        <v>46262</v>
      </c>
      <c r="AV23" s="2">
        <v>312.23</v>
      </c>
      <c r="AW23" s="2" t="s">
        <v>223</v>
      </c>
      <c r="AX23" s="2" t="s">
        <v>223</v>
      </c>
      <c r="AY23" s="2">
        <v>2766.4</v>
      </c>
      <c r="AZ23" s="2" t="s">
        <v>224</v>
      </c>
      <c r="BA23" s="2" t="s">
        <v>299</v>
      </c>
      <c r="BB23" s="2">
        <v>312.23</v>
      </c>
      <c r="BC23" s="2">
        <v>274.76</v>
      </c>
      <c r="BD23" s="2">
        <v>312.23</v>
      </c>
      <c r="BE23" s="2">
        <v>37.47</v>
      </c>
      <c r="BF23" s="12">
        <v>0.12</v>
      </c>
      <c r="BG23" s="2">
        <v>0</v>
      </c>
      <c r="BH23" s="2">
        <v>121.068</v>
      </c>
      <c r="BI23" s="2">
        <v>227.7</v>
      </c>
      <c r="BJ23" s="2">
        <v>0</v>
      </c>
      <c r="BK23" s="2">
        <v>18</v>
      </c>
      <c r="BL23" s="2">
        <v>0</v>
      </c>
      <c r="BM23" s="2">
        <v>0</v>
      </c>
      <c r="BN23" s="2">
        <v>4.15</v>
      </c>
      <c r="BO23" s="2">
        <v>11</v>
      </c>
      <c r="BP23" s="2">
        <v>4.23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9.68</v>
      </c>
      <c r="CB23" s="2" t="s">
        <v>226</v>
      </c>
      <c r="CC23" s="2" t="s">
        <v>300</v>
      </c>
      <c r="CD23" s="2">
        <v>385.95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62.45</v>
      </c>
      <c r="CV23" s="2" t="s">
        <v>394</v>
      </c>
      <c r="CW23" s="2">
        <v>62.45</v>
      </c>
      <c r="CX23" s="198" t="s">
        <v>395</v>
      </c>
      <c r="CY23" s="2">
        <v>118.28</v>
      </c>
      <c r="CZ23" s="2" t="s">
        <v>310</v>
      </c>
      <c r="DA23" s="2">
        <v>118.28</v>
      </c>
      <c r="DB23" s="198" t="s">
        <v>311</v>
      </c>
      <c r="DE23" s="2">
        <v>0</v>
      </c>
      <c r="DF23" s="2" t="s">
        <v>232</v>
      </c>
      <c r="DG23" s="2" t="s">
        <v>209</v>
      </c>
      <c r="DH23" s="2" t="s">
        <v>208</v>
      </c>
      <c r="DI23" s="2">
        <v>252895738</v>
      </c>
      <c r="DJ23" s="2" t="s">
        <v>211</v>
      </c>
      <c r="DK23" s="2">
        <v>0</v>
      </c>
      <c r="DL23" s="2" t="s">
        <v>201</v>
      </c>
      <c r="DM23" s="2">
        <v>37.47</v>
      </c>
    </row>
    <row r="24" s="2" customFormat="1" ht="12" spans="1:117">
      <c r="A24" s="2">
        <v>2</v>
      </c>
      <c r="B24" s="2" t="s">
        <v>412</v>
      </c>
      <c r="C24" s="2" t="s">
        <v>199</v>
      </c>
      <c r="D24" s="2" t="s">
        <v>200</v>
      </c>
      <c r="E24" s="2" t="s">
        <v>201</v>
      </c>
      <c r="F24" s="102">
        <v>46244</v>
      </c>
      <c r="G24" s="2" t="s">
        <v>202</v>
      </c>
      <c r="H24" s="2" t="s">
        <v>413</v>
      </c>
      <c r="I24" s="2" t="s">
        <v>204</v>
      </c>
      <c r="J24" s="2" t="s">
        <v>205</v>
      </c>
      <c r="K24" s="2" t="s">
        <v>206</v>
      </c>
      <c r="L24" s="2" t="s">
        <v>207</v>
      </c>
      <c r="M24" s="2">
        <v>892</v>
      </c>
      <c r="N24" s="2" t="s">
        <v>208</v>
      </c>
      <c r="O24" s="2" t="s">
        <v>209</v>
      </c>
      <c r="P24" s="2" t="s">
        <v>210</v>
      </c>
      <c r="Q24" s="2" t="s">
        <v>204</v>
      </c>
      <c r="R24" s="2" t="s">
        <v>205</v>
      </c>
      <c r="S24" s="2" t="s">
        <v>208</v>
      </c>
      <c r="T24" s="2" t="s">
        <v>209</v>
      </c>
      <c r="U24" s="2" t="s">
        <v>204</v>
      </c>
      <c r="V24" s="2" t="s">
        <v>205</v>
      </c>
      <c r="W24" s="2" t="s">
        <v>206</v>
      </c>
      <c r="X24" s="2" t="s">
        <v>207</v>
      </c>
      <c r="Y24" s="2" t="s">
        <v>208</v>
      </c>
      <c r="Z24" s="2" t="s">
        <v>209</v>
      </c>
      <c r="AA24" s="2" t="s">
        <v>211</v>
      </c>
      <c r="AB24" s="2" t="s">
        <v>212</v>
      </c>
      <c r="AC24" s="2" t="s">
        <v>414</v>
      </c>
      <c r="AD24" s="2" t="s">
        <v>415</v>
      </c>
      <c r="AE24" s="2" t="s">
        <v>416</v>
      </c>
      <c r="AF24" s="2" t="s">
        <v>259</v>
      </c>
      <c r="AG24" s="2" t="s">
        <v>417</v>
      </c>
      <c r="AH24" s="2" t="s">
        <v>218</v>
      </c>
      <c r="AI24" s="2" t="s">
        <v>414</v>
      </c>
      <c r="AJ24" s="2" t="s">
        <v>415</v>
      </c>
      <c r="AK24" s="2" t="s">
        <v>417</v>
      </c>
      <c r="AL24" s="2" t="s">
        <v>218</v>
      </c>
      <c r="AM24" s="2" t="s">
        <v>261</v>
      </c>
      <c r="AN24" s="198" t="s">
        <v>418</v>
      </c>
      <c r="AO24" s="2">
        <v>286</v>
      </c>
      <c r="AP24" s="2">
        <v>0.0001</v>
      </c>
      <c r="AQ24" s="2">
        <v>1</v>
      </c>
      <c r="AR24" s="2">
        <v>0</v>
      </c>
      <c r="AS24" s="2" t="s">
        <v>221</v>
      </c>
      <c r="AT24" s="2" t="s">
        <v>222</v>
      </c>
      <c r="AU24" s="102">
        <v>46269</v>
      </c>
      <c r="AV24" s="2">
        <v>506.6</v>
      </c>
      <c r="AW24" s="2" t="s">
        <v>223</v>
      </c>
      <c r="AX24" s="2" t="s">
        <v>223</v>
      </c>
      <c r="AY24" s="2">
        <v>5078.78</v>
      </c>
      <c r="AZ24" s="2" t="s">
        <v>224</v>
      </c>
      <c r="BA24" s="2" t="s">
        <v>263</v>
      </c>
      <c r="BB24" s="2">
        <v>506.6</v>
      </c>
      <c r="BC24" s="2">
        <v>445.81</v>
      </c>
      <c r="BD24" s="2">
        <v>506.6</v>
      </c>
      <c r="BE24" s="2">
        <v>60.79</v>
      </c>
      <c r="BF24" s="12">
        <v>0.12</v>
      </c>
      <c r="BG24" s="2">
        <v>0</v>
      </c>
      <c r="BH24" s="2">
        <v>286</v>
      </c>
      <c r="BI24" s="2">
        <v>381.68</v>
      </c>
      <c r="BJ24" s="2">
        <v>0</v>
      </c>
      <c r="BK24" s="2">
        <v>18</v>
      </c>
      <c r="BL24" s="2">
        <v>0</v>
      </c>
      <c r="BM24" s="2">
        <v>0</v>
      </c>
      <c r="BN24" s="2">
        <v>7.62</v>
      </c>
      <c r="BO24" s="2">
        <v>16.5</v>
      </c>
      <c r="BP24" s="2">
        <v>4.23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17.78</v>
      </c>
      <c r="CB24" s="2" t="s">
        <v>226</v>
      </c>
      <c r="CC24" s="2" t="s">
        <v>259</v>
      </c>
      <c r="CD24" s="2">
        <v>717.06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101.32</v>
      </c>
      <c r="CV24" s="2" t="s">
        <v>394</v>
      </c>
      <c r="CW24" s="2">
        <v>101.32</v>
      </c>
      <c r="CX24" s="198" t="s">
        <v>395</v>
      </c>
      <c r="CY24" s="2">
        <v>40.04</v>
      </c>
      <c r="CZ24" s="2" t="s">
        <v>264</v>
      </c>
      <c r="DA24" s="2">
        <v>0</v>
      </c>
      <c r="DE24" s="2">
        <v>0</v>
      </c>
      <c r="DF24" s="2" t="s">
        <v>232</v>
      </c>
      <c r="DG24" s="2" t="s">
        <v>209</v>
      </c>
      <c r="DH24" s="2" t="s">
        <v>208</v>
      </c>
      <c r="DI24" s="2">
        <v>252895738</v>
      </c>
      <c r="DJ24" s="2" t="s">
        <v>211</v>
      </c>
      <c r="DK24" s="2">
        <v>0</v>
      </c>
      <c r="DL24" s="2" t="s">
        <v>201</v>
      </c>
      <c r="DM24" s="2">
        <v>60.79</v>
      </c>
    </row>
    <row r="25" s="2" customFormat="1" ht="12" spans="1:117">
      <c r="A25" s="2">
        <v>2</v>
      </c>
      <c r="B25" s="2" t="s">
        <v>419</v>
      </c>
      <c r="C25" s="2" t="s">
        <v>199</v>
      </c>
      <c r="D25" s="2" t="s">
        <v>200</v>
      </c>
      <c r="E25" s="2" t="s">
        <v>201</v>
      </c>
      <c r="F25" s="102">
        <v>46244</v>
      </c>
      <c r="G25" s="2" t="s">
        <v>202</v>
      </c>
      <c r="H25" s="2" t="s">
        <v>420</v>
      </c>
      <c r="I25" s="2" t="s">
        <v>204</v>
      </c>
      <c r="J25" s="2" t="s">
        <v>205</v>
      </c>
      <c r="K25" s="2" t="s">
        <v>206</v>
      </c>
      <c r="L25" s="2" t="s">
        <v>207</v>
      </c>
      <c r="M25" s="2">
        <v>892</v>
      </c>
      <c r="N25" s="2" t="s">
        <v>208</v>
      </c>
      <c r="O25" s="2" t="s">
        <v>209</v>
      </c>
      <c r="P25" s="2" t="s">
        <v>210</v>
      </c>
      <c r="Q25" s="2" t="s">
        <v>204</v>
      </c>
      <c r="R25" s="2" t="s">
        <v>205</v>
      </c>
      <c r="S25" s="2" t="s">
        <v>208</v>
      </c>
      <c r="T25" s="2" t="s">
        <v>209</v>
      </c>
      <c r="U25" s="2" t="s">
        <v>204</v>
      </c>
      <c r="V25" s="2" t="s">
        <v>205</v>
      </c>
      <c r="W25" s="2" t="s">
        <v>206</v>
      </c>
      <c r="X25" s="2" t="s">
        <v>207</v>
      </c>
      <c r="Y25" s="2" t="s">
        <v>208</v>
      </c>
      <c r="Z25" s="2" t="s">
        <v>209</v>
      </c>
      <c r="AA25" s="2" t="s">
        <v>211</v>
      </c>
      <c r="AB25" s="2" t="s">
        <v>212</v>
      </c>
      <c r="AC25" s="2" t="s">
        <v>421</v>
      </c>
      <c r="AD25" s="2" t="s">
        <v>422</v>
      </c>
      <c r="AE25" s="2">
        <v>393</v>
      </c>
      <c r="AF25" s="2" t="s">
        <v>423</v>
      </c>
      <c r="AG25" s="2" t="s">
        <v>424</v>
      </c>
      <c r="AH25" s="2" t="s">
        <v>218</v>
      </c>
      <c r="AI25" s="2" t="s">
        <v>421</v>
      </c>
      <c r="AJ25" s="2" t="s">
        <v>422</v>
      </c>
      <c r="AK25" s="2" t="s">
        <v>425</v>
      </c>
      <c r="AL25" s="2" t="s">
        <v>218</v>
      </c>
      <c r="AM25" s="2" t="s">
        <v>248</v>
      </c>
      <c r="AN25" s="198" t="s">
        <v>426</v>
      </c>
      <c r="AO25" s="2">
        <v>39.12</v>
      </c>
      <c r="AP25" s="2">
        <v>0.0001</v>
      </c>
      <c r="AQ25" s="2">
        <v>10</v>
      </c>
      <c r="AR25" s="2">
        <v>0</v>
      </c>
      <c r="AS25" s="2" t="s">
        <v>221</v>
      </c>
      <c r="AT25" s="2" t="s">
        <v>222</v>
      </c>
      <c r="AU25" s="102">
        <v>46269</v>
      </c>
      <c r="AV25" s="2">
        <v>221.23</v>
      </c>
      <c r="AW25" s="2" t="s">
        <v>223</v>
      </c>
      <c r="AX25" s="2" t="s">
        <v>223</v>
      </c>
      <c r="AY25" s="2">
        <v>1734.34</v>
      </c>
      <c r="AZ25" s="2" t="s">
        <v>224</v>
      </c>
      <c r="BA25" s="2" t="s">
        <v>427</v>
      </c>
      <c r="BB25" s="2">
        <v>221.23</v>
      </c>
      <c r="BC25" s="2">
        <v>194.68</v>
      </c>
      <c r="BD25" s="2">
        <v>221.23</v>
      </c>
      <c r="BE25" s="2">
        <v>26.55</v>
      </c>
      <c r="BF25" s="12">
        <v>0.12</v>
      </c>
      <c r="BG25" s="2">
        <v>0</v>
      </c>
      <c r="BH25" s="2">
        <v>39.12</v>
      </c>
      <c r="BI25" s="2">
        <v>157.63</v>
      </c>
      <c r="BJ25" s="2">
        <v>0</v>
      </c>
      <c r="BK25" s="2">
        <v>18</v>
      </c>
      <c r="BL25" s="2">
        <v>0</v>
      </c>
      <c r="BM25" s="2">
        <v>0</v>
      </c>
      <c r="BN25" s="2">
        <v>3.25</v>
      </c>
      <c r="BO25" s="2">
        <v>5.5</v>
      </c>
      <c r="BP25" s="2">
        <v>4.23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6.07</v>
      </c>
      <c r="CB25" s="2" t="s">
        <v>226</v>
      </c>
      <c r="CC25" s="2" t="s">
        <v>428</v>
      </c>
      <c r="CD25" s="2">
        <v>375.35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44.25</v>
      </c>
      <c r="CV25" s="2" t="s">
        <v>394</v>
      </c>
      <c r="CW25" s="2">
        <v>44.25</v>
      </c>
      <c r="CX25" s="198" t="s">
        <v>395</v>
      </c>
      <c r="CY25" s="2">
        <v>51</v>
      </c>
      <c r="CZ25" s="2" t="s">
        <v>429</v>
      </c>
      <c r="DA25" s="2">
        <v>51</v>
      </c>
      <c r="DB25" s="198" t="s">
        <v>430</v>
      </c>
      <c r="DE25" s="2">
        <v>0</v>
      </c>
      <c r="DF25" s="2" t="s">
        <v>232</v>
      </c>
      <c r="DG25" s="2" t="s">
        <v>209</v>
      </c>
      <c r="DH25" s="2" t="s">
        <v>208</v>
      </c>
      <c r="DI25" s="2">
        <v>252895738</v>
      </c>
      <c r="DJ25" s="2" t="s">
        <v>211</v>
      </c>
      <c r="DK25" s="2">
        <v>0</v>
      </c>
      <c r="DL25" s="2" t="s">
        <v>201</v>
      </c>
      <c r="DM25" s="2">
        <v>26.55</v>
      </c>
    </row>
    <row r="26" s="2" customFormat="1" ht="12" spans="1:117">
      <c r="A26" s="2">
        <v>2</v>
      </c>
      <c r="B26" s="2" t="s">
        <v>431</v>
      </c>
      <c r="C26" s="2" t="s">
        <v>199</v>
      </c>
      <c r="D26" s="2" t="s">
        <v>200</v>
      </c>
      <c r="E26" s="2" t="s">
        <v>201</v>
      </c>
      <c r="F26" s="102">
        <v>46244</v>
      </c>
      <c r="G26" s="2" t="s">
        <v>202</v>
      </c>
      <c r="H26" s="2" t="s">
        <v>432</v>
      </c>
      <c r="I26" s="2" t="s">
        <v>204</v>
      </c>
      <c r="J26" s="2" t="s">
        <v>205</v>
      </c>
      <c r="K26" s="2" t="s">
        <v>206</v>
      </c>
      <c r="L26" s="2" t="s">
        <v>207</v>
      </c>
      <c r="M26" s="2">
        <v>892</v>
      </c>
      <c r="N26" s="2" t="s">
        <v>208</v>
      </c>
      <c r="O26" s="2" t="s">
        <v>209</v>
      </c>
      <c r="P26" s="2" t="s">
        <v>210</v>
      </c>
      <c r="Q26" s="2" t="s">
        <v>204</v>
      </c>
      <c r="R26" s="2" t="s">
        <v>205</v>
      </c>
      <c r="S26" s="2" t="s">
        <v>208</v>
      </c>
      <c r="T26" s="2" t="s">
        <v>209</v>
      </c>
      <c r="U26" s="2" t="s">
        <v>204</v>
      </c>
      <c r="V26" s="2" t="s">
        <v>205</v>
      </c>
      <c r="W26" s="2" t="s">
        <v>206</v>
      </c>
      <c r="X26" s="2" t="s">
        <v>207</v>
      </c>
      <c r="Y26" s="2" t="s">
        <v>208</v>
      </c>
      <c r="Z26" s="2" t="s">
        <v>209</v>
      </c>
      <c r="AA26" s="2" t="s">
        <v>211</v>
      </c>
      <c r="AB26" s="2" t="s">
        <v>212</v>
      </c>
      <c r="AC26" s="2" t="s">
        <v>433</v>
      </c>
      <c r="AD26" s="2" t="s">
        <v>434</v>
      </c>
      <c r="AE26" s="2">
        <v>394</v>
      </c>
      <c r="AF26" s="2" t="s">
        <v>339</v>
      </c>
      <c r="AG26" s="2" t="s">
        <v>435</v>
      </c>
      <c r="AH26" s="2" t="s">
        <v>218</v>
      </c>
      <c r="AI26" s="2" t="s">
        <v>433</v>
      </c>
      <c r="AJ26" s="2" t="s">
        <v>434</v>
      </c>
      <c r="AK26" s="2" t="s">
        <v>435</v>
      </c>
      <c r="AL26" s="2" t="s">
        <v>218</v>
      </c>
      <c r="AM26" s="2" t="s">
        <v>341</v>
      </c>
      <c r="AN26" s="198" t="s">
        <v>436</v>
      </c>
      <c r="AO26" s="2">
        <v>90.212</v>
      </c>
      <c r="AP26" s="2">
        <v>0.0001</v>
      </c>
      <c r="AQ26" s="2">
        <v>19</v>
      </c>
      <c r="AR26" s="2">
        <v>0</v>
      </c>
      <c r="AS26" s="2" t="s">
        <v>221</v>
      </c>
      <c r="AT26" s="2" t="s">
        <v>222</v>
      </c>
      <c r="AU26" s="102">
        <v>46269</v>
      </c>
      <c r="AV26" s="2">
        <v>270.92</v>
      </c>
      <c r="AW26" s="2" t="s">
        <v>223</v>
      </c>
      <c r="AX26" s="2" t="s">
        <v>223</v>
      </c>
      <c r="AY26" s="2">
        <v>3337.82</v>
      </c>
      <c r="AZ26" s="2" t="s">
        <v>224</v>
      </c>
      <c r="BA26" s="2" t="s">
        <v>343</v>
      </c>
      <c r="BB26" s="2">
        <v>270.92</v>
      </c>
      <c r="BC26" s="2">
        <v>238.41</v>
      </c>
      <c r="BD26" s="2">
        <v>270.92</v>
      </c>
      <c r="BE26" s="2">
        <v>32.51</v>
      </c>
      <c r="BF26" s="12">
        <v>0.12</v>
      </c>
      <c r="BG26" s="2">
        <v>0</v>
      </c>
      <c r="BH26" s="2">
        <v>90.212</v>
      </c>
      <c r="BI26" s="2">
        <v>193.99</v>
      </c>
      <c r="BJ26" s="2">
        <v>0</v>
      </c>
      <c r="BK26" s="2">
        <v>18</v>
      </c>
      <c r="BL26" s="2">
        <v>0</v>
      </c>
      <c r="BM26" s="2">
        <v>0</v>
      </c>
      <c r="BN26" s="2">
        <v>5.01</v>
      </c>
      <c r="BO26" s="2">
        <v>5.5</v>
      </c>
      <c r="BP26" s="2">
        <v>4.23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11.68</v>
      </c>
      <c r="CB26" s="2" t="s">
        <v>226</v>
      </c>
      <c r="CC26" s="2" t="s">
        <v>339</v>
      </c>
      <c r="CD26" s="2">
        <v>393.38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54.18</v>
      </c>
      <c r="CV26" s="2" t="s">
        <v>394</v>
      </c>
      <c r="CW26" s="2">
        <v>54.18</v>
      </c>
      <c r="CX26" s="198" t="s">
        <v>395</v>
      </c>
      <c r="CY26" s="2">
        <v>81.28</v>
      </c>
      <c r="CZ26" s="2" t="s">
        <v>301</v>
      </c>
      <c r="DA26" s="2">
        <f>CY26</f>
        <v>81.28</v>
      </c>
      <c r="DE26" s="2">
        <v>0</v>
      </c>
      <c r="DF26" s="2" t="s">
        <v>232</v>
      </c>
      <c r="DG26" s="2" t="s">
        <v>209</v>
      </c>
      <c r="DH26" s="2" t="s">
        <v>208</v>
      </c>
      <c r="DI26" s="2">
        <v>252895738</v>
      </c>
      <c r="DJ26" s="2" t="s">
        <v>211</v>
      </c>
      <c r="DK26" s="2">
        <v>0</v>
      </c>
      <c r="DL26" s="2" t="s">
        <v>201</v>
      </c>
      <c r="DM26" s="2">
        <v>32.51</v>
      </c>
    </row>
    <row r="27" s="2" customFormat="1" ht="12" spans="1:117">
      <c r="A27" s="2">
        <v>2</v>
      </c>
      <c r="B27" s="2" t="s">
        <v>437</v>
      </c>
      <c r="C27" s="2" t="s">
        <v>199</v>
      </c>
      <c r="D27" s="2" t="s">
        <v>200</v>
      </c>
      <c r="E27" s="2" t="s">
        <v>201</v>
      </c>
      <c r="F27" s="102">
        <v>46244</v>
      </c>
      <c r="G27" s="2" t="s">
        <v>202</v>
      </c>
      <c r="H27" s="2" t="s">
        <v>438</v>
      </c>
      <c r="I27" s="2" t="s">
        <v>204</v>
      </c>
      <c r="J27" s="2" t="s">
        <v>205</v>
      </c>
      <c r="K27" s="2" t="s">
        <v>206</v>
      </c>
      <c r="L27" s="2" t="s">
        <v>207</v>
      </c>
      <c r="M27" s="2">
        <v>892</v>
      </c>
      <c r="N27" s="2" t="s">
        <v>208</v>
      </c>
      <c r="O27" s="2" t="s">
        <v>209</v>
      </c>
      <c r="P27" s="2" t="s">
        <v>210</v>
      </c>
      <c r="Q27" s="2" t="s">
        <v>204</v>
      </c>
      <c r="R27" s="2" t="s">
        <v>205</v>
      </c>
      <c r="S27" s="2" t="s">
        <v>208</v>
      </c>
      <c r="T27" s="2" t="s">
        <v>209</v>
      </c>
      <c r="U27" s="2" t="s">
        <v>204</v>
      </c>
      <c r="V27" s="2" t="s">
        <v>205</v>
      </c>
      <c r="W27" s="2" t="s">
        <v>206</v>
      </c>
      <c r="X27" s="2" t="s">
        <v>207</v>
      </c>
      <c r="Y27" s="2" t="s">
        <v>208</v>
      </c>
      <c r="Z27" s="2" t="s">
        <v>209</v>
      </c>
      <c r="AA27" s="2" t="s">
        <v>211</v>
      </c>
      <c r="AB27" s="2" t="s">
        <v>212</v>
      </c>
      <c r="AC27" s="2" t="s">
        <v>439</v>
      </c>
      <c r="AD27" s="2" t="s">
        <v>440</v>
      </c>
      <c r="AE27" s="2">
        <v>398</v>
      </c>
      <c r="AF27" s="2" t="s">
        <v>441</v>
      </c>
      <c r="AG27" s="2" t="s">
        <v>442</v>
      </c>
      <c r="AH27" s="2" t="s">
        <v>218</v>
      </c>
      <c r="AI27" s="2" t="s">
        <v>439</v>
      </c>
      <c r="AJ27" s="2" t="s">
        <v>440</v>
      </c>
      <c r="AK27" s="2" t="s">
        <v>442</v>
      </c>
      <c r="AL27" s="2" t="s">
        <v>218</v>
      </c>
      <c r="AM27" s="2" t="s">
        <v>402</v>
      </c>
      <c r="AN27" s="198" t="s">
        <v>443</v>
      </c>
      <c r="AO27" s="2">
        <v>45</v>
      </c>
      <c r="AP27" s="2">
        <v>0.0001</v>
      </c>
      <c r="AQ27" s="2">
        <v>25</v>
      </c>
      <c r="AR27" s="2">
        <v>0</v>
      </c>
      <c r="AS27" s="2" t="s">
        <v>221</v>
      </c>
      <c r="AT27" s="2" t="s">
        <v>222</v>
      </c>
      <c r="AU27" s="102">
        <v>46269</v>
      </c>
      <c r="AV27" s="2">
        <v>221.92</v>
      </c>
      <c r="AW27" s="2" t="s">
        <v>223</v>
      </c>
      <c r="AX27" s="2" t="s">
        <v>223</v>
      </c>
      <c r="AY27" s="2">
        <v>1907.49</v>
      </c>
      <c r="AZ27" s="2" t="s">
        <v>224</v>
      </c>
      <c r="BA27" s="2" t="s">
        <v>444</v>
      </c>
      <c r="BB27" s="2">
        <v>221.92</v>
      </c>
      <c r="BC27" s="2">
        <v>195.29</v>
      </c>
      <c r="BD27" s="2">
        <v>221.92</v>
      </c>
      <c r="BE27" s="2">
        <v>26.63</v>
      </c>
      <c r="BF27" s="12">
        <v>0.12</v>
      </c>
      <c r="BG27" s="2">
        <v>0</v>
      </c>
      <c r="BH27" s="2">
        <v>45</v>
      </c>
      <c r="BI27" s="2">
        <v>157.63</v>
      </c>
      <c r="BJ27" s="2">
        <v>0</v>
      </c>
      <c r="BK27" s="2">
        <v>18</v>
      </c>
      <c r="BL27" s="2">
        <v>0</v>
      </c>
      <c r="BM27" s="2">
        <v>0</v>
      </c>
      <c r="BN27" s="2">
        <v>3.25</v>
      </c>
      <c r="BO27" s="2">
        <v>5.5</v>
      </c>
      <c r="BP27" s="2">
        <v>4.23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6.68</v>
      </c>
      <c r="CB27" s="2" t="s">
        <v>226</v>
      </c>
      <c r="CC27" s="2" t="s">
        <v>445</v>
      </c>
      <c r="CD27" s="2">
        <v>377.09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44.38</v>
      </c>
      <c r="CV27" s="2" t="s">
        <v>394</v>
      </c>
      <c r="CW27" s="2">
        <v>44.38</v>
      </c>
      <c r="CX27" s="198" t="s">
        <v>395</v>
      </c>
      <c r="CY27" s="2">
        <v>103.05</v>
      </c>
      <c r="CZ27" s="2" t="s">
        <v>405</v>
      </c>
      <c r="DA27" s="2">
        <v>115.34</v>
      </c>
      <c r="DB27" s="2">
        <v>130688</v>
      </c>
      <c r="DE27" s="2">
        <v>0</v>
      </c>
      <c r="DF27" s="2" t="s">
        <v>232</v>
      </c>
      <c r="DG27" s="2" t="s">
        <v>209</v>
      </c>
      <c r="DH27" s="2" t="s">
        <v>208</v>
      </c>
      <c r="DI27" s="2">
        <v>252895738</v>
      </c>
      <c r="DJ27" s="2" t="s">
        <v>211</v>
      </c>
      <c r="DK27" s="2">
        <v>0</v>
      </c>
      <c r="DL27" s="2" t="s">
        <v>201</v>
      </c>
      <c r="DM27" s="2">
        <v>26.63</v>
      </c>
    </row>
    <row r="28" s="2" customFormat="1" ht="12" spans="1:117">
      <c r="A28" s="2">
        <v>2</v>
      </c>
      <c r="B28" s="2" t="s">
        <v>446</v>
      </c>
      <c r="C28" s="2" t="s">
        <v>199</v>
      </c>
      <c r="D28" s="2" t="s">
        <v>200</v>
      </c>
      <c r="E28" s="2" t="s">
        <v>201</v>
      </c>
      <c r="F28" s="102">
        <v>46244</v>
      </c>
      <c r="G28" s="2" t="s">
        <v>202</v>
      </c>
      <c r="H28" s="2" t="s">
        <v>447</v>
      </c>
      <c r="I28" s="2" t="s">
        <v>204</v>
      </c>
      <c r="J28" s="2" t="s">
        <v>205</v>
      </c>
      <c r="K28" s="2" t="s">
        <v>206</v>
      </c>
      <c r="L28" s="2" t="s">
        <v>207</v>
      </c>
      <c r="M28" s="2">
        <v>892</v>
      </c>
      <c r="N28" s="2" t="s">
        <v>208</v>
      </c>
      <c r="O28" s="2" t="s">
        <v>209</v>
      </c>
      <c r="P28" s="2" t="s">
        <v>210</v>
      </c>
      <c r="Q28" s="2" t="s">
        <v>204</v>
      </c>
      <c r="R28" s="2" t="s">
        <v>205</v>
      </c>
      <c r="S28" s="2" t="s">
        <v>208</v>
      </c>
      <c r="T28" s="2" t="s">
        <v>209</v>
      </c>
      <c r="U28" s="2" t="s">
        <v>204</v>
      </c>
      <c r="V28" s="2" t="s">
        <v>205</v>
      </c>
      <c r="W28" s="2" t="s">
        <v>206</v>
      </c>
      <c r="X28" s="2" t="s">
        <v>207</v>
      </c>
      <c r="Y28" s="2" t="s">
        <v>208</v>
      </c>
      <c r="Z28" s="2" t="s">
        <v>209</v>
      </c>
      <c r="AA28" s="2" t="s">
        <v>211</v>
      </c>
      <c r="AB28" s="2" t="s">
        <v>212</v>
      </c>
      <c r="AC28" s="2" t="s">
        <v>448</v>
      </c>
      <c r="AD28" s="2" t="s">
        <v>449</v>
      </c>
      <c r="AE28" s="2">
        <v>332</v>
      </c>
      <c r="AF28" s="2" t="s">
        <v>259</v>
      </c>
      <c r="AG28" s="2" t="s">
        <v>450</v>
      </c>
      <c r="AH28" s="2" t="s">
        <v>218</v>
      </c>
      <c r="AI28" s="2" t="s">
        <v>448</v>
      </c>
      <c r="AJ28" s="2" t="s">
        <v>449</v>
      </c>
      <c r="AK28" s="2" t="s">
        <v>450</v>
      </c>
      <c r="AL28" s="2" t="s">
        <v>218</v>
      </c>
      <c r="AM28" s="2" t="s">
        <v>261</v>
      </c>
      <c r="AN28" s="198" t="s">
        <v>451</v>
      </c>
      <c r="AO28" s="2">
        <v>69.12</v>
      </c>
      <c r="AP28" s="2">
        <v>0.0001</v>
      </c>
      <c r="AQ28" s="2">
        <v>39</v>
      </c>
      <c r="AR28" s="2">
        <v>0</v>
      </c>
      <c r="AS28" s="2" t="s">
        <v>221</v>
      </c>
      <c r="AT28" s="2" t="s">
        <v>222</v>
      </c>
      <c r="AU28" s="102">
        <v>46269</v>
      </c>
      <c r="AV28" s="2">
        <v>198.91</v>
      </c>
      <c r="AW28" s="2" t="s">
        <v>223</v>
      </c>
      <c r="AX28" s="2" t="s">
        <v>223</v>
      </c>
      <c r="AY28" s="2">
        <v>3046.21</v>
      </c>
      <c r="AZ28" s="2" t="s">
        <v>224</v>
      </c>
      <c r="BA28" s="2" t="s">
        <v>263</v>
      </c>
      <c r="BB28" s="2">
        <v>198.91</v>
      </c>
      <c r="BC28" s="2">
        <v>175.04</v>
      </c>
      <c r="BD28" s="2">
        <v>198.91</v>
      </c>
      <c r="BE28" s="2">
        <v>23.87</v>
      </c>
      <c r="BF28" s="12">
        <v>0.12</v>
      </c>
      <c r="BG28" s="2">
        <v>0</v>
      </c>
      <c r="BH28" s="2">
        <v>69.12</v>
      </c>
      <c r="BI28" s="2">
        <v>132.08</v>
      </c>
      <c r="BJ28" s="2">
        <v>0</v>
      </c>
      <c r="BK28" s="2">
        <v>18</v>
      </c>
      <c r="BL28" s="2">
        <v>0</v>
      </c>
      <c r="BM28" s="2">
        <v>0</v>
      </c>
      <c r="BN28" s="2">
        <v>4.57</v>
      </c>
      <c r="BO28" s="2">
        <v>5.5</v>
      </c>
      <c r="BP28" s="2">
        <v>4.23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10.66</v>
      </c>
      <c r="CB28" s="2" t="s">
        <v>226</v>
      </c>
      <c r="CC28" s="2" t="s">
        <v>259</v>
      </c>
      <c r="CD28" s="2">
        <v>389.56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39.78</v>
      </c>
      <c r="CV28" s="2" t="s">
        <v>394</v>
      </c>
      <c r="CW28" s="2">
        <v>39.78</v>
      </c>
      <c r="CX28" s="198" t="s">
        <v>395</v>
      </c>
      <c r="CY28" s="2">
        <v>15</v>
      </c>
      <c r="CZ28" s="2" t="s">
        <v>264</v>
      </c>
      <c r="DA28" s="2">
        <v>0</v>
      </c>
      <c r="DE28" s="2">
        <v>0</v>
      </c>
      <c r="DF28" s="2" t="s">
        <v>232</v>
      </c>
      <c r="DG28" s="2" t="s">
        <v>209</v>
      </c>
      <c r="DH28" s="2" t="s">
        <v>208</v>
      </c>
      <c r="DI28" s="2">
        <v>252895738</v>
      </c>
      <c r="DJ28" s="2" t="s">
        <v>211</v>
      </c>
      <c r="DK28" s="2">
        <v>0</v>
      </c>
      <c r="DL28" s="2" t="s">
        <v>201</v>
      </c>
      <c r="DM28" s="2">
        <v>23.87</v>
      </c>
    </row>
    <row r="29" s="2" customFormat="1" ht="12" spans="1:117">
      <c r="A29" s="2">
        <v>2</v>
      </c>
      <c r="B29" s="2" t="s">
        <v>452</v>
      </c>
      <c r="C29" s="2" t="s">
        <v>199</v>
      </c>
      <c r="D29" s="2" t="s">
        <v>200</v>
      </c>
      <c r="E29" s="2" t="s">
        <v>201</v>
      </c>
      <c r="F29" s="102">
        <v>46244</v>
      </c>
      <c r="G29" s="2" t="s">
        <v>202</v>
      </c>
      <c r="H29" s="2" t="s">
        <v>453</v>
      </c>
      <c r="I29" s="2" t="s">
        <v>204</v>
      </c>
      <c r="J29" s="2" t="s">
        <v>205</v>
      </c>
      <c r="K29" s="2" t="s">
        <v>206</v>
      </c>
      <c r="L29" s="2" t="s">
        <v>207</v>
      </c>
      <c r="M29" s="2">
        <v>892</v>
      </c>
      <c r="N29" s="2" t="s">
        <v>208</v>
      </c>
      <c r="O29" s="2" t="s">
        <v>209</v>
      </c>
      <c r="P29" s="2" t="s">
        <v>210</v>
      </c>
      <c r="Q29" s="2" t="s">
        <v>204</v>
      </c>
      <c r="R29" s="2" t="s">
        <v>205</v>
      </c>
      <c r="S29" s="2" t="s">
        <v>208</v>
      </c>
      <c r="T29" s="2" t="s">
        <v>209</v>
      </c>
      <c r="U29" s="2" t="s">
        <v>204</v>
      </c>
      <c r="V29" s="2" t="s">
        <v>205</v>
      </c>
      <c r="W29" s="2" t="s">
        <v>206</v>
      </c>
      <c r="X29" s="2" t="s">
        <v>207</v>
      </c>
      <c r="Y29" s="2" t="s">
        <v>208</v>
      </c>
      <c r="Z29" s="2" t="s">
        <v>209</v>
      </c>
      <c r="AA29" s="2" t="s">
        <v>211</v>
      </c>
      <c r="AB29" s="2" t="s">
        <v>212</v>
      </c>
      <c r="AC29" s="2" t="s">
        <v>454</v>
      </c>
      <c r="AD29" s="2" t="s">
        <v>455</v>
      </c>
      <c r="AE29" s="2">
        <v>363</v>
      </c>
      <c r="AF29" s="2" t="s">
        <v>456</v>
      </c>
      <c r="AG29" s="2" t="s">
        <v>457</v>
      </c>
      <c r="AH29" s="2" t="s">
        <v>218</v>
      </c>
      <c r="AI29" s="2" t="s">
        <v>454</v>
      </c>
      <c r="AJ29" s="2" t="s">
        <v>455</v>
      </c>
      <c r="AK29" s="2" t="s">
        <v>457</v>
      </c>
      <c r="AL29" s="2" t="s">
        <v>218</v>
      </c>
      <c r="AM29" s="2" t="s">
        <v>371</v>
      </c>
      <c r="AN29" s="198" t="s">
        <v>458</v>
      </c>
      <c r="AO29" s="2">
        <v>103.632</v>
      </c>
      <c r="AP29" s="2">
        <v>0.0001</v>
      </c>
      <c r="AQ29" s="2">
        <v>23</v>
      </c>
      <c r="AR29" s="2">
        <v>0</v>
      </c>
      <c r="AS29" s="2" t="s">
        <v>221</v>
      </c>
      <c r="AT29" s="2" t="s">
        <v>222</v>
      </c>
      <c r="AU29" s="102">
        <v>46269</v>
      </c>
      <c r="AV29" s="2">
        <v>261.52</v>
      </c>
      <c r="AW29" s="2" t="s">
        <v>223</v>
      </c>
      <c r="AX29" s="2" t="s">
        <v>223</v>
      </c>
      <c r="AY29" s="2">
        <v>3165.42</v>
      </c>
      <c r="AZ29" s="2" t="s">
        <v>224</v>
      </c>
      <c r="BA29" s="2" t="s">
        <v>459</v>
      </c>
      <c r="BB29" s="2">
        <v>261.52</v>
      </c>
      <c r="BC29" s="2">
        <v>230.14</v>
      </c>
      <c r="BD29" s="2">
        <v>261.52</v>
      </c>
      <c r="BE29" s="2">
        <v>31.38</v>
      </c>
      <c r="BF29" s="12">
        <v>0.12</v>
      </c>
      <c r="BG29" s="2">
        <v>0</v>
      </c>
      <c r="BH29" s="2">
        <v>103.632</v>
      </c>
      <c r="BI29" s="2">
        <v>181.08</v>
      </c>
      <c r="BJ29" s="2">
        <v>0</v>
      </c>
      <c r="BK29" s="2">
        <v>18</v>
      </c>
      <c r="BL29" s="2">
        <v>0</v>
      </c>
      <c r="BM29" s="2">
        <v>0</v>
      </c>
      <c r="BN29" s="2">
        <v>4.75</v>
      </c>
      <c r="BO29" s="2">
        <v>11</v>
      </c>
      <c r="BP29" s="2">
        <v>4.23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11.08</v>
      </c>
      <c r="CB29" s="2" t="s">
        <v>226</v>
      </c>
      <c r="CC29" s="2" t="s">
        <v>456</v>
      </c>
      <c r="CD29" s="2">
        <v>391.15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52.3</v>
      </c>
      <c r="CV29" s="2" t="s">
        <v>394</v>
      </c>
      <c r="CW29" s="2">
        <v>52.3</v>
      </c>
      <c r="CX29" s="198" t="s">
        <v>395</v>
      </c>
      <c r="CY29" s="2">
        <v>51.82</v>
      </c>
      <c r="CZ29" s="2" t="s">
        <v>460</v>
      </c>
      <c r="DA29" s="2">
        <v>51.82</v>
      </c>
      <c r="DB29" s="198" t="s">
        <v>461</v>
      </c>
      <c r="DE29" s="2">
        <v>0</v>
      </c>
      <c r="DF29" s="2" t="s">
        <v>232</v>
      </c>
      <c r="DG29" s="2" t="s">
        <v>209</v>
      </c>
      <c r="DH29" s="2" t="s">
        <v>208</v>
      </c>
      <c r="DI29" s="2">
        <v>252895738</v>
      </c>
      <c r="DJ29" s="2" t="s">
        <v>211</v>
      </c>
      <c r="DK29" s="2">
        <v>0</v>
      </c>
      <c r="DL29" s="2" t="s">
        <v>201</v>
      </c>
      <c r="DM29" s="2">
        <v>31.38</v>
      </c>
    </row>
    <row r="30" s="2" customFormat="1" ht="12" spans="1:117">
      <c r="A30" s="2">
        <v>2</v>
      </c>
      <c r="B30" s="2" t="s">
        <v>462</v>
      </c>
      <c r="C30" s="2" t="s">
        <v>199</v>
      </c>
      <c r="D30" s="2" t="s">
        <v>200</v>
      </c>
      <c r="E30" s="2" t="s">
        <v>201</v>
      </c>
      <c r="F30" s="102">
        <v>46244</v>
      </c>
      <c r="G30" s="2" t="s">
        <v>202</v>
      </c>
      <c r="H30" s="2" t="s">
        <v>463</v>
      </c>
      <c r="I30" s="2" t="s">
        <v>204</v>
      </c>
      <c r="J30" s="2" t="s">
        <v>205</v>
      </c>
      <c r="K30" s="2" t="s">
        <v>206</v>
      </c>
      <c r="L30" s="2" t="s">
        <v>207</v>
      </c>
      <c r="M30" s="2">
        <v>892</v>
      </c>
      <c r="N30" s="2" t="s">
        <v>208</v>
      </c>
      <c r="O30" s="2" t="s">
        <v>209</v>
      </c>
      <c r="P30" s="2" t="s">
        <v>210</v>
      </c>
      <c r="Q30" s="2" t="s">
        <v>204</v>
      </c>
      <c r="R30" s="2" t="s">
        <v>205</v>
      </c>
      <c r="S30" s="2" t="s">
        <v>208</v>
      </c>
      <c r="T30" s="2" t="s">
        <v>209</v>
      </c>
      <c r="U30" s="2" t="s">
        <v>204</v>
      </c>
      <c r="V30" s="2" t="s">
        <v>205</v>
      </c>
      <c r="W30" s="2" t="s">
        <v>206</v>
      </c>
      <c r="X30" s="2" t="s">
        <v>207</v>
      </c>
      <c r="Y30" s="2" t="s">
        <v>208</v>
      </c>
      <c r="Z30" s="2" t="s">
        <v>209</v>
      </c>
      <c r="AA30" s="2" t="s">
        <v>211</v>
      </c>
      <c r="AB30" s="2" t="s">
        <v>212</v>
      </c>
      <c r="AC30" s="2" t="s">
        <v>464</v>
      </c>
      <c r="AD30" s="2" t="s">
        <v>465</v>
      </c>
      <c r="AE30" s="2" t="s">
        <v>332</v>
      </c>
      <c r="AF30" s="2" t="s">
        <v>216</v>
      </c>
      <c r="AG30" s="2" t="s">
        <v>333</v>
      </c>
      <c r="AH30" s="2" t="s">
        <v>218</v>
      </c>
      <c r="AI30" s="2" t="s">
        <v>464</v>
      </c>
      <c r="AJ30" s="2" t="s">
        <v>465</v>
      </c>
      <c r="AK30" s="2" t="s">
        <v>333</v>
      </c>
      <c r="AL30" s="2" t="s">
        <v>218</v>
      </c>
      <c r="AM30" s="2" t="s">
        <v>219</v>
      </c>
      <c r="AN30" s="198" t="s">
        <v>466</v>
      </c>
      <c r="AO30" s="2">
        <v>361.88</v>
      </c>
      <c r="AP30" s="2">
        <v>0.0001</v>
      </c>
      <c r="AQ30" s="2">
        <v>1</v>
      </c>
      <c r="AR30" s="2">
        <v>0</v>
      </c>
      <c r="AS30" s="2" t="s">
        <v>221</v>
      </c>
      <c r="AT30" s="2" t="s">
        <v>222</v>
      </c>
      <c r="AU30" s="102">
        <v>46269</v>
      </c>
      <c r="AV30" s="2">
        <v>683.1</v>
      </c>
      <c r="AW30" s="2" t="s">
        <v>223</v>
      </c>
      <c r="AX30" s="2" t="s">
        <v>223</v>
      </c>
      <c r="AY30" s="2">
        <v>8021.33</v>
      </c>
      <c r="AZ30" s="2" t="s">
        <v>224</v>
      </c>
      <c r="BA30" s="2" t="s">
        <v>240</v>
      </c>
      <c r="BB30" s="2">
        <v>683.1</v>
      </c>
      <c r="BC30" s="2">
        <v>601.13</v>
      </c>
      <c r="BD30" s="2">
        <v>683.1</v>
      </c>
      <c r="BE30" s="2">
        <v>81.97</v>
      </c>
      <c r="BF30" s="12">
        <v>0.12</v>
      </c>
      <c r="BG30" s="2">
        <v>0</v>
      </c>
      <c r="BH30" s="2">
        <v>361.88</v>
      </c>
      <c r="BI30" s="2">
        <v>516.8</v>
      </c>
      <c r="BJ30" s="2">
        <v>0</v>
      </c>
      <c r="BK30" s="2">
        <v>18</v>
      </c>
      <c r="BL30" s="2">
        <v>0</v>
      </c>
      <c r="BM30" s="2">
        <v>0</v>
      </c>
      <c r="BN30" s="2">
        <v>12.03</v>
      </c>
      <c r="BO30" s="2">
        <v>22</v>
      </c>
      <c r="BP30" s="2">
        <v>4.23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28.07</v>
      </c>
      <c r="CB30" s="2" t="s">
        <v>226</v>
      </c>
      <c r="CC30" s="2" t="s">
        <v>241</v>
      </c>
      <c r="CD30" s="2">
        <v>1020.92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136.62</v>
      </c>
      <c r="CV30" s="2" t="s">
        <v>394</v>
      </c>
      <c r="CW30" s="2">
        <v>136.62</v>
      </c>
      <c r="CX30" s="198" t="s">
        <v>395</v>
      </c>
      <c r="CY30" s="2">
        <v>239.09</v>
      </c>
      <c r="CZ30" s="2" t="s">
        <v>230</v>
      </c>
      <c r="DA30" s="2">
        <v>239.09</v>
      </c>
      <c r="DB30" s="198" t="s">
        <v>231</v>
      </c>
      <c r="DE30" s="2">
        <v>0</v>
      </c>
      <c r="DF30" s="2" t="s">
        <v>232</v>
      </c>
      <c r="DG30" s="2" t="s">
        <v>209</v>
      </c>
      <c r="DH30" s="2" t="s">
        <v>208</v>
      </c>
      <c r="DI30" s="2">
        <v>252895738</v>
      </c>
      <c r="DJ30" s="2" t="s">
        <v>211</v>
      </c>
      <c r="DK30" s="2">
        <v>0</v>
      </c>
      <c r="DL30" s="2" t="s">
        <v>201</v>
      </c>
      <c r="DM30" s="2">
        <v>81.97</v>
      </c>
    </row>
    <row r="31" s="2" customFormat="1" ht="12" spans="1:117">
      <c r="A31" s="2">
        <v>2</v>
      </c>
      <c r="B31" s="2" t="s">
        <v>467</v>
      </c>
      <c r="C31" s="2" t="s">
        <v>199</v>
      </c>
      <c r="D31" s="2" t="s">
        <v>200</v>
      </c>
      <c r="E31" s="2" t="s">
        <v>201</v>
      </c>
      <c r="F31" s="102">
        <v>46244</v>
      </c>
      <c r="G31" s="2" t="s">
        <v>202</v>
      </c>
      <c r="H31" s="2" t="s">
        <v>468</v>
      </c>
      <c r="I31" s="2" t="s">
        <v>204</v>
      </c>
      <c r="J31" s="2" t="s">
        <v>205</v>
      </c>
      <c r="K31" s="2" t="s">
        <v>206</v>
      </c>
      <c r="L31" s="2" t="s">
        <v>207</v>
      </c>
      <c r="M31" s="2">
        <v>892</v>
      </c>
      <c r="N31" s="2" t="s">
        <v>208</v>
      </c>
      <c r="O31" s="2" t="s">
        <v>209</v>
      </c>
      <c r="P31" s="2" t="s">
        <v>210</v>
      </c>
      <c r="Q31" s="2" t="s">
        <v>204</v>
      </c>
      <c r="R31" s="2" t="s">
        <v>205</v>
      </c>
      <c r="S31" s="2" t="s">
        <v>208</v>
      </c>
      <c r="T31" s="2" t="s">
        <v>209</v>
      </c>
      <c r="U31" s="2" t="s">
        <v>204</v>
      </c>
      <c r="V31" s="2" t="s">
        <v>205</v>
      </c>
      <c r="W31" s="2" t="s">
        <v>206</v>
      </c>
      <c r="X31" s="2" t="s">
        <v>207</v>
      </c>
      <c r="Y31" s="2" t="s">
        <v>208</v>
      </c>
      <c r="Z31" s="2" t="s">
        <v>209</v>
      </c>
      <c r="AA31" s="2" t="s">
        <v>211</v>
      </c>
      <c r="AB31" s="2" t="s">
        <v>212</v>
      </c>
      <c r="AC31" s="2" t="s">
        <v>469</v>
      </c>
      <c r="AD31" s="2" t="s">
        <v>470</v>
      </c>
      <c r="AE31" s="2" t="s">
        <v>237</v>
      </c>
      <c r="AF31" s="2" t="s">
        <v>216</v>
      </c>
      <c r="AG31" s="2" t="s">
        <v>238</v>
      </c>
      <c r="AH31" s="2" t="s">
        <v>218</v>
      </c>
      <c r="AI31" s="2" t="s">
        <v>469</v>
      </c>
      <c r="AJ31" s="2" t="s">
        <v>470</v>
      </c>
      <c r="AK31" s="2" t="s">
        <v>238</v>
      </c>
      <c r="AL31" s="2" t="s">
        <v>218</v>
      </c>
      <c r="AM31" s="2" t="s">
        <v>219</v>
      </c>
      <c r="AN31" s="198" t="s">
        <v>471</v>
      </c>
      <c r="AO31" s="2">
        <v>55.376</v>
      </c>
      <c r="AP31" s="2">
        <v>0.0001</v>
      </c>
      <c r="AQ31" s="2">
        <v>8</v>
      </c>
      <c r="AR31" s="2">
        <v>0</v>
      </c>
      <c r="AS31" s="2" t="s">
        <v>221</v>
      </c>
      <c r="AT31" s="2" t="s">
        <v>222</v>
      </c>
      <c r="AU31" s="102">
        <v>46269</v>
      </c>
      <c r="AV31" s="2">
        <v>228.9</v>
      </c>
      <c r="AW31" s="2" t="s">
        <v>223</v>
      </c>
      <c r="AX31" s="2" t="s">
        <v>223</v>
      </c>
      <c r="AY31" s="2">
        <v>1534.86</v>
      </c>
      <c r="AZ31" s="2" t="s">
        <v>224</v>
      </c>
      <c r="BA31" s="2" t="s">
        <v>240</v>
      </c>
      <c r="BB31" s="2">
        <v>228.9</v>
      </c>
      <c r="BC31" s="2">
        <v>201.43</v>
      </c>
      <c r="BD31" s="2">
        <v>228.9</v>
      </c>
      <c r="BE31" s="2">
        <v>27.47</v>
      </c>
      <c r="BF31" s="12">
        <v>0.12</v>
      </c>
      <c r="BG31" s="2">
        <v>0</v>
      </c>
      <c r="BH31" s="2">
        <v>55.376</v>
      </c>
      <c r="BI31" s="2">
        <v>165.08</v>
      </c>
      <c r="BJ31" s="2">
        <v>0</v>
      </c>
      <c r="BK31" s="2">
        <v>18</v>
      </c>
      <c r="BL31" s="2">
        <v>0</v>
      </c>
      <c r="BM31" s="2">
        <v>0</v>
      </c>
      <c r="BN31" s="2">
        <v>3.25</v>
      </c>
      <c r="BO31" s="2">
        <v>5.5</v>
      </c>
      <c r="BP31" s="2">
        <v>4.23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5.37</v>
      </c>
      <c r="CB31" s="2" t="s">
        <v>226</v>
      </c>
      <c r="CC31" s="2" t="s">
        <v>241</v>
      </c>
      <c r="CD31" s="2">
        <v>373.35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45.78</v>
      </c>
      <c r="CV31" s="2" t="s">
        <v>394</v>
      </c>
      <c r="CW31" s="2">
        <v>45.78</v>
      </c>
      <c r="CX31" s="198" t="s">
        <v>395</v>
      </c>
      <c r="CY31" s="2">
        <v>80.12</v>
      </c>
      <c r="CZ31" s="2" t="s">
        <v>230</v>
      </c>
      <c r="DA31" s="2">
        <v>80.12</v>
      </c>
      <c r="DB31" s="198" t="s">
        <v>231</v>
      </c>
      <c r="DE31" s="2">
        <v>0</v>
      </c>
      <c r="DF31" s="2" t="s">
        <v>232</v>
      </c>
      <c r="DG31" s="2" t="s">
        <v>209</v>
      </c>
      <c r="DH31" s="2" t="s">
        <v>208</v>
      </c>
      <c r="DI31" s="2">
        <v>252895738</v>
      </c>
      <c r="DJ31" s="2" t="s">
        <v>211</v>
      </c>
      <c r="DK31" s="2">
        <v>0</v>
      </c>
      <c r="DL31" s="2" t="s">
        <v>201</v>
      </c>
      <c r="DM31" s="2">
        <v>27.47</v>
      </c>
    </row>
    <row r="32" s="2" customFormat="1" ht="12" spans="1:117">
      <c r="A32" s="2">
        <v>2</v>
      </c>
      <c r="B32" s="2" t="s">
        <v>472</v>
      </c>
      <c r="C32" s="2" t="s">
        <v>199</v>
      </c>
      <c r="D32" s="2" t="s">
        <v>200</v>
      </c>
      <c r="E32" s="2" t="s">
        <v>201</v>
      </c>
      <c r="F32" s="102">
        <v>46244</v>
      </c>
      <c r="G32" s="2" t="s">
        <v>202</v>
      </c>
      <c r="H32" s="2" t="s">
        <v>473</v>
      </c>
      <c r="I32" s="2" t="s">
        <v>204</v>
      </c>
      <c r="J32" s="2" t="s">
        <v>205</v>
      </c>
      <c r="K32" s="2" t="s">
        <v>206</v>
      </c>
      <c r="L32" s="2" t="s">
        <v>207</v>
      </c>
      <c r="M32" s="2">
        <v>892</v>
      </c>
      <c r="N32" s="2" t="s">
        <v>208</v>
      </c>
      <c r="O32" s="2" t="s">
        <v>209</v>
      </c>
      <c r="P32" s="2" t="s">
        <v>210</v>
      </c>
      <c r="Q32" s="2" t="s">
        <v>204</v>
      </c>
      <c r="R32" s="2" t="s">
        <v>205</v>
      </c>
      <c r="S32" s="2" t="s">
        <v>208</v>
      </c>
      <c r="T32" s="2" t="s">
        <v>209</v>
      </c>
      <c r="U32" s="2" t="s">
        <v>204</v>
      </c>
      <c r="V32" s="2" t="s">
        <v>205</v>
      </c>
      <c r="W32" s="2" t="s">
        <v>206</v>
      </c>
      <c r="X32" s="2" t="s">
        <v>207</v>
      </c>
      <c r="Y32" s="2" t="s">
        <v>208</v>
      </c>
      <c r="Z32" s="2" t="s">
        <v>209</v>
      </c>
      <c r="AA32" s="2" t="s">
        <v>211</v>
      </c>
      <c r="AB32" s="2" t="s">
        <v>212</v>
      </c>
      <c r="AC32" s="2" t="s">
        <v>474</v>
      </c>
      <c r="AD32" s="2" t="s">
        <v>475</v>
      </c>
      <c r="AE32" s="2" t="s">
        <v>258</v>
      </c>
      <c r="AF32" s="2" t="s">
        <v>259</v>
      </c>
      <c r="AG32" s="2" t="s">
        <v>260</v>
      </c>
      <c r="AH32" s="2" t="s">
        <v>218</v>
      </c>
      <c r="AI32" s="2" t="s">
        <v>474</v>
      </c>
      <c r="AJ32" s="2" t="s">
        <v>475</v>
      </c>
      <c r="AK32" s="2" t="s">
        <v>260</v>
      </c>
      <c r="AL32" s="2" t="s">
        <v>218</v>
      </c>
      <c r="AM32" s="2" t="s">
        <v>261</v>
      </c>
      <c r="AN32" s="198" t="s">
        <v>476</v>
      </c>
      <c r="AO32" s="2">
        <v>103.176</v>
      </c>
      <c r="AP32" s="2">
        <v>0.0001</v>
      </c>
      <c r="AQ32" s="2">
        <v>18</v>
      </c>
      <c r="AR32" s="2">
        <v>0</v>
      </c>
      <c r="AS32" s="2" t="s">
        <v>221</v>
      </c>
      <c r="AT32" s="2" t="s">
        <v>222</v>
      </c>
      <c r="AU32" s="102">
        <v>46269</v>
      </c>
      <c r="AV32" s="2">
        <v>234.68</v>
      </c>
      <c r="AW32" s="2" t="s">
        <v>223</v>
      </c>
      <c r="AX32" s="2" t="s">
        <v>223</v>
      </c>
      <c r="AY32" s="2">
        <v>2198.63</v>
      </c>
      <c r="AZ32" s="2" t="s">
        <v>224</v>
      </c>
      <c r="BA32" s="2" t="s">
        <v>263</v>
      </c>
      <c r="BB32" s="2">
        <v>234.68</v>
      </c>
      <c r="BC32" s="2">
        <v>206.52</v>
      </c>
      <c r="BD32" s="2">
        <v>234.68</v>
      </c>
      <c r="BE32" s="2">
        <v>28.16</v>
      </c>
      <c r="BF32" s="12">
        <v>0.12</v>
      </c>
      <c r="BG32" s="2">
        <v>0</v>
      </c>
      <c r="BH32" s="2">
        <v>103.176</v>
      </c>
      <c r="BI32" s="2">
        <v>162.29</v>
      </c>
      <c r="BJ32" s="2">
        <v>0</v>
      </c>
      <c r="BK32" s="2">
        <v>18</v>
      </c>
      <c r="BL32" s="2">
        <v>0</v>
      </c>
      <c r="BM32" s="2">
        <v>0</v>
      </c>
      <c r="BN32" s="2">
        <v>3.3</v>
      </c>
      <c r="BO32" s="2">
        <v>11</v>
      </c>
      <c r="BP32" s="2">
        <v>4.23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7.7</v>
      </c>
      <c r="CB32" s="2" t="s">
        <v>226</v>
      </c>
      <c r="CC32" s="2" t="s">
        <v>259</v>
      </c>
      <c r="CD32" s="2">
        <v>379.99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46.94</v>
      </c>
      <c r="CV32" s="2" t="s">
        <v>394</v>
      </c>
      <c r="CW32" s="2">
        <v>46.94</v>
      </c>
      <c r="CX32" s="198" t="s">
        <v>395</v>
      </c>
      <c r="CY32" s="2">
        <v>15</v>
      </c>
      <c r="CZ32" s="2" t="s">
        <v>264</v>
      </c>
      <c r="DA32" s="2">
        <v>0</v>
      </c>
      <c r="DE32" s="2">
        <v>0</v>
      </c>
      <c r="DF32" s="2" t="s">
        <v>232</v>
      </c>
      <c r="DG32" s="2" t="s">
        <v>209</v>
      </c>
      <c r="DH32" s="2" t="s">
        <v>208</v>
      </c>
      <c r="DI32" s="2">
        <v>252895738</v>
      </c>
      <c r="DJ32" s="2" t="s">
        <v>211</v>
      </c>
      <c r="DK32" s="2">
        <v>0</v>
      </c>
      <c r="DL32" s="2" t="s">
        <v>201</v>
      </c>
      <c r="DM32" s="2">
        <v>28.16</v>
      </c>
    </row>
    <row r="33" s="2" customFormat="1" ht="12" spans="1:117">
      <c r="A33" s="2">
        <v>2</v>
      </c>
      <c r="B33" s="2" t="s">
        <v>477</v>
      </c>
      <c r="C33" s="2" t="s">
        <v>199</v>
      </c>
      <c r="D33" s="2" t="s">
        <v>200</v>
      </c>
      <c r="E33" s="2" t="s">
        <v>201</v>
      </c>
      <c r="F33" s="102">
        <v>46245</v>
      </c>
      <c r="G33" s="2" t="s">
        <v>202</v>
      </c>
      <c r="H33" s="2" t="s">
        <v>478</v>
      </c>
      <c r="I33" s="2" t="s">
        <v>204</v>
      </c>
      <c r="J33" s="2" t="s">
        <v>205</v>
      </c>
      <c r="K33" s="2" t="s">
        <v>206</v>
      </c>
      <c r="L33" s="2" t="s">
        <v>207</v>
      </c>
      <c r="M33" s="2">
        <v>892</v>
      </c>
      <c r="N33" s="2" t="s">
        <v>208</v>
      </c>
      <c r="O33" s="2" t="s">
        <v>209</v>
      </c>
      <c r="P33" s="2" t="s">
        <v>210</v>
      </c>
      <c r="Q33" s="2" t="s">
        <v>204</v>
      </c>
      <c r="R33" s="2" t="s">
        <v>205</v>
      </c>
      <c r="S33" s="2" t="s">
        <v>208</v>
      </c>
      <c r="T33" s="2" t="s">
        <v>209</v>
      </c>
      <c r="U33" s="2" t="s">
        <v>204</v>
      </c>
      <c r="V33" s="2" t="s">
        <v>205</v>
      </c>
      <c r="W33" s="2" t="s">
        <v>206</v>
      </c>
      <c r="X33" s="2" t="s">
        <v>207</v>
      </c>
      <c r="Y33" s="2" t="s">
        <v>208</v>
      </c>
      <c r="Z33" s="2" t="s">
        <v>209</v>
      </c>
      <c r="AA33" s="2" t="s">
        <v>211</v>
      </c>
      <c r="AB33" s="2" t="s">
        <v>212</v>
      </c>
      <c r="AC33" s="2" t="s">
        <v>479</v>
      </c>
      <c r="AD33" s="2" t="s">
        <v>480</v>
      </c>
      <c r="AE33" s="2">
        <v>394</v>
      </c>
      <c r="AF33" s="2" t="s">
        <v>339</v>
      </c>
      <c r="AG33" s="2" t="s">
        <v>435</v>
      </c>
      <c r="AH33" s="2" t="s">
        <v>218</v>
      </c>
      <c r="AI33" s="2" t="s">
        <v>479</v>
      </c>
      <c r="AJ33" s="2" t="s">
        <v>480</v>
      </c>
      <c r="AK33" s="2" t="s">
        <v>435</v>
      </c>
      <c r="AL33" s="2" t="s">
        <v>218</v>
      </c>
      <c r="AM33" s="2" t="s">
        <v>341</v>
      </c>
      <c r="AN33" s="198" t="s">
        <v>481</v>
      </c>
      <c r="AO33" s="2">
        <v>411.044</v>
      </c>
      <c r="AP33" s="2">
        <v>0.0001</v>
      </c>
      <c r="AQ33" s="2">
        <v>1</v>
      </c>
      <c r="AR33" s="2">
        <v>0</v>
      </c>
      <c r="AS33" s="2" t="s">
        <v>221</v>
      </c>
      <c r="AT33" s="2" t="s">
        <v>222</v>
      </c>
      <c r="AU33" s="102">
        <v>46269</v>
      </c>
      <c r="AV33" s="2">
        <v>889.57</v>
      </c>
      <c r="AW33" s="2" t="s">
        <v>223</v>
      </c>
      <c r="AX33" s="2" t="s">
        <v>223</v>
      </c>
      <c r="AY33" s="2">
        <v>8285.41</v>
      </c>
      <c r="AZ33" s="2" t="s">
        <v>224</v>
      </c>
      <c r="BA33" s="2" t="s">
        <v>343</v>
      </c>
      <c r="BB33" s="2">
        <v>889.57</v>
      </c>
      <c r="BC33" s="2">
        <v>782.82</v>
      </c>
      <c r="BD33" s="2">
        <v>889.57</v>
      </c>
      <c r="BE33" s="2">
        <v>106.75</v>
      </c>
      <c r="BF33" s="12">
        <v>0.12</v>
      </c>
      <c r="BG33" s="2">
        <v>0</v>
      </c>
      <c r="BH33" s="2">
        <v>411.044</v>
      </c>
      <c r="BI33" s="2">
        <v>691.66</v>
      </c>
      <c r="BJ33" s="2">
        <v>0</v>
      </c>
      <c r="BK33" s="2">
        <v>18</v>
      </c>
      <c r="BL33" s="2">
        <v>0</v>
      </c>
      <c r="BM33" s="2">
        <v>0</v>
      </c>
      <c r="BN33" s="2">
        <v>12.43</v>
      </c>
      <c r="BO33" s="2">
        <v>27.5</v>
      </c>
      <c r="BP33" s="2">
        <v>4.23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29</v>
      </c>
      <c r="CB33" s="2" t="s">
        <v>226</v>
      </c>
      <c r="CC33" s="2" t="s">
        <v>339</v>
      </c>
      <c r="CD33" s="2">
        <v>1196.3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177.91</v>
      </c>
      <c r="CV33" s="2" t="s">
        <v>394</v>
      </c>
      <c r="CW33" s="2">
        <v>177.91</v>
      </c>
      <c r="CX33" s="198" t="s">
        <v>395</v>
      </c>
      <c r="CY33" s="2">
        <v>266.87</v>
      </c>
      <c r="CZ33" s="2" t="s">
        <v>301</v>
      </c>
      <c r="DA33" s="2">
        <f>CY33</f>
        <v>266.87</v>
      </c>
      <c r="DE33" s="2">
        <v>0</v>
      </c>
      <c r="DF33" s="2" t="s">
        <v>232</v>
      </c>
      <c r="DG33" s="2" t="s">
        <v>209</v>
      </c>
      <c r="DH33" s="2" t="s">
        <v>208</v>
      </c>
      <c r="DI33" s="2">
        <v>252895738</v>
      </c>
      <c r="DJ33" s="2" t="s">
        <v>211</v>
      </c>
      <c r="DK33" s="2">
        <v>0</v>
      </c>
      <c r="DL33" s="2" t="s">
        <v>201</v>
      </c>
      <c r="DM33" s="2">
        <v>106.75</v>
      </c>
    </row>
    <row r="34" s="2" customFormat="1" ht="12" spans="1:117">
      <c r="A34" s="2">
        <v>2</v>
      </c>
      <c r="B34" s="2" t="s">
        <v>482</v>
      </c>
      <c r="C34" s="2" t="s">
        <v>199</v>
      </c>
      <c r="D34" s="2" t="s">
        <v>200</v>
      </c>
      <c r="E34" s="2" t="s">
        <v>201</v>
      </c>
      <c r="F34" s="102">
        <v>46245</v>
      </c>
      <c r="G34" s="2" t="s">
        <v>202</v>
      </c>
      <c r="H34" s="2" t="s">
        <v>483</v>
      </c>
      <c r="I34" s="2" t="s">
        <v>204</v>
      </c>
      <c r="J34" s="2" t="s">
        <v>205</v>
      </c>
      <c r="K34" s="2" t="s">
        <v>206</v>
      </c>
      <c r="L34" s="2" t="s">
        <v>207</v>
      </c>
      <c r="M34" s="2">
        <v>892</v>
      </c>
      <c r="N34" s="2" t="s">
        <v>208</v>
      </c>
      <c r="O34" s="2" t="s">
        <v>209</v>
      </c>
      <c r="P34" s="2" t="s">
        <v>210</v>
      </c>
      <c r="Q34" s="2" t="s">
        <v>204</v>
      </c>
      <c r="R34" s="2" t="s">
        <v>205</v>
      </c>
      <c r="S34" s="2" t="s">
        <v>208</v>
      </c>
      <c r="T34" s="2" t="s">
        <v>209</v>
      </c>
      <c r="U34" s="2" t="s">
        <v>204</v>
      </c>
      <c r="V34" s="2" t="s">
        <v>205</v>
      </c>
      <c r="W34" s="2" t="s">
        <v>206</v>
      </c>
      <c r="X34" s="2" t="s">
        <v>207</v>
      </c>
      <c r="Y34" s="2" t="s">
        <v>208</v>
      </c>
      <c r="Z34" s="2" t="s">
        <v>209</v>
      </c>
      <c r="AA34" s="2" t="s">
        <v>211</v>
      </c>
      <c r="AB34" s="2" t="s">
        <v>212</v>
      </c>
      <c r="AC34" s="2" t="s">
        <v>484</v>
      </c>
      <c r="AD34" s="2" t="s">
        <v>485</v>
      </c>
      <c r="AE34" s="2" t="s">
        <v>269</v>
      </c>
      <c r="AF34" s="2" t="s">
        <v>270</v>
      </c>
      <c r="AG34" s="2" t="s">
        <v>271</v>
      </c>
      <c r="AH34" s="2" t="s">
        <v>218</v>
      </c>
      <c r="AI34" s="2" t="s">
        <v>484</v>
      </c>
      <c r="AJ34" s="2" t="s">
        <v>485</v>
      </c>
      <c r="AK34" s="2" t="s">
        <v>271</v>
      </c>
      <c r="AL34" s="2" t="s">
        <v>218</v>
      </c>
      <c r="AM34" s="2" t="s">
        <v>272</v>
      </c>
      <c r="AN34" s="198" t="s">
        <v>486</v>
      </c>
      <c r="AO34" s="2">
        <v>829</v>
      </c>
      <c r="AP34" s="2">
        <v>0.0001</v>
      </c>
      <c r="AQ34" s="2">
        <v>2</v>
      </c>
      <c r="AR34" s="2">
        <v>0</v>
      </c>
      <c r="AS34" s="2" t="s">
        <v>221</v>
      </c>
      <c r="AT34" s="2" t="s">
        <v>222</v>
      </c>
      <c r="AU34" s="102">
        <v>46269</v>
      </c>
      <c r="AV34" s="2">
        <v>1345.16</v>
      </c>
      <c r="AW34" s="2" t="s">
        <v>223</v>
      </c>
      <c r="AX34" s="2" t="s">
        <v>223</v>
      </c>
      <c r="AY34" s="2">
        <v>15746.58</v>
      </c>
      <c r="AZ34" s="2" t="s">
        <v>224</v>
      </c>
      <c r="BA34" s="2" t="s">
        <v>274</v>
      </c>
      <c r="BB34" s="2">
        <v>1345.16</v>
      </c>
      <c r="BC34" s="2">
        <v>1183.74</v>
      </c>
      <c r="BD34" s="2">
        <v>1345.16</v>
      </c>
      <c r="BE34" s="2">
        <v>161.42</v>
      </c>
      <c r="BF34" s="12">
        <v>0.12</v>
      </c>
      <c r="BG34" s="2">
        <v>0</v>
      </c>
      <c r="BH34" s="2">
        <v>829</v>
      </c>
      <c r="BI34" s="2">
        <v>1033.28</v>
      </c>
      <c r="BJ34" s="2">
        <v>0</v>
      </c>
      <c r="BK34" s="2">
        <v>18</v>
      </c>
      <c r="BL34" s="2">
        <v>0</v>
      </c>
      <c r="BM34" s="2">
        <v>0</v>
      </c>
      <c r="BN34" s="2">
        <v>23.62</v>
      </c>
      <c r="BO34" s="2">
        <v>49.5</v>
      </c>
      <c r="BP34" s="2">
        <v>4.23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55.11</v>
      </c>
      <c r="CB34" s="2" t="s">
        <v>226</v>
      </c>
      <c r="CC34" s="2" t="s">
        <v>270</v>
      </c>
      <c r="CD34" s="2">
        <v>2756.48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269.03</v>
      </c>
      <c r="CV34" s="2" t="s">
        <v>394</v>
      </c>
      <c r="CW34" s="2">
        <v>269.03</v>
      </c>
      <c r="CX34" s="198" t="s">
        <v>395</v>
      </c>
      <c r="CY34" s="2">
        <v>66.32</v>
      </c>
      <c r="CZ34" s="2" t="s">
        <v>264</v>
      </c>
      <c r="DA34" s="2">
        <v>0</v>
      </c>
      <c r="DE34" s="2">
        <v>0</v>
      </c>
      <c r="DF34" s="2" t="s">
        <v>232</v>
      </c>
      <c r="DG34" s="2" t="s">
        <v>209</v>
      </c>
      <c r="DH34" s="2" t="s">
        <v>208</v>
      </c>
      <c r="DI34" s="2">
        <v>252895738</v>
      </c>
      <c r="DJ34" s="2" t="s">
        <v>211</v>
      </c>
      <c r="DK34" s="2">
        <v>0</v>
      </c>
      <c r="DL34" s="2" t="s">
        <v>201</v>
      </c>
      <c r="DM34" s="2">
        <v>161.42</v>
      </c>
    </row>
    <row r="35" s="2" customFormat="1" ht="12" spans="1:117">
      <c r="A35" s="2">
        <v>2</v>
      </c>
      <c r="B35" s="2" t="s">
        <v>487</v>
      </c>
      <c r="C35" s="2" t="s">
        <v>199</v>
      </c>
      <c r="D35" s="2" t="s">
        <v>200</v>
      </c>
      <c r="E35" s="2" t="s">
        <v>201</v>
      </c>
      <c r="F35" s="102">
        <v>46245</v>
      </c>
      <c r="G35" s="2" t="s">
        <v>202</v>
      </c>
      <c r="H35" s="2" t="s">
        <v>488</v>
      </c>
      <c r="I35" s="2" t="s">
        <v>204</v>
      </c>
      <c r="J35" s="2" t="s">
        <v>205</v>
      </c>
      <c r="K35" s="2" t="s">
        <v>206</v>
      </c>
      <c r="L35" s="2" t="s">
        <v>207</v>
      </c>
      <c r="M35" s="2">
        <v>892</v>
      </c>
      <c r="N35" s="2" t="s">
        <v>208</v>
      </c>
      <c r="O35" s="2" t="s">
        <v>209</v>
      </c>
      <c r="P35" s="2" t="s">
        <v>210</v>
      </c>
      <c r="Q35" s="2" t="s">
        <v>204</v>
      </c>
      <c r="R35" s="2" t="s">
        <v>205</v>
      </c>
      <c r="S35" s="2" t="s">
        <v>208</v>
      </c>
      <c r="T35" s="2" t="s">
        <v>209</v>
      </c>
      <c r="U35" s="2" t="s">
        <v>204</v>
      </c>
      <c r="V35" s="2" t="s">
        <v>205</v>
      </c>
      <c r="W35" s="2" t="s">
        <v>206</v>
      </c>
      <c r="X35" s="2" t="s">
        <v>207</v>
      </c>
      <c r="Y35" s="2" t="s">
        <v>208</v>
      </c>
      <c r="Z35" s="2" t="s">
        <v>209</v>
      </c>
      <c r="AA35" s="2" t="s">
        <v>211</v>
      </c>
      <c r="AB35" s="2" t="s">
        <v>212</v>
      </c>
      <c r="AC35" s="2" t="s">
        <v>489</v>
      </c>
      <c r="AD35" s="2" t="s">
        <v>490</v>
      </c>
      <c r="AE35" s="2" t="s">
        <v>491</v>
      </c>
      <c r="AF35" s="2" t="s">
        <v>216</v>
      </c>
      <c r="AG35" s="2" t="s">
        <v>492</v>
      </c>
      <c r="AH35" s="2" t="s">
        <v>218</v>
      </c>
      <c r="AI35" s="2" t="s">
        <v>489</v>
      </c>
      <c r="AJ35" s="2" t="s">
        <v>490</v>
      </c>
      <c r="AK35" s="2" t="s">
        <v>492</v>
      </c>
      <c r="AL35" s="2" t="s">
        <v>218</v>
      </c>
      <c r="AM35" s="2" t="s">
        <v>219</v>
      </c>
      <c r="AN35" s="198" t="s">
        <v>493</v>
      </c>
      <c r="AO35" s="2">
        <v>246</v>
      </c>
      <c r="AP35" s="2">
        <v>0.0001</v>
      </c>
      <c r="AQ35" s="2">
        <v>12</v>
      </c>
      <c r="AR35" s="2">
        <v>0</v>
      </c>
      <c r="AS35" s="2" t="s">
        <v>221</v>
      </c>
      <c r="AT35" s="2" t="s">
        <v>222</v>
      </c>
      <c r="AU35" s="102">
        <v>46269</v>
      </c>
      <c r="AV35" s="2">
        <v>479.19</v>
      </c>
      <c r="AW35" s="2" t="s">
        <v>223</v>
      </c>
      <c r="AX35" s="2" t="s">
        <v>223</v>
      </c>
      <c r="AY35" s="2">
        <v>3360</v>
      </c>
      <c r="AZ35" s="2" t="s">
        <v>224</v>
      </c>
      <c r="BA35" s="2" t="s">
        <v>240</v>
      </c>
      <c r="BB35" s="2">
        <v>479.19</v>
      </c>
      <c r="BC35" s="2">
        <v>421.69</v>
      </c>
      <c r="BD35" s="2">
        <v>479.19</v>
      </c>
      <c r="BE35" s="2">
        <v>57.5</v>
      </c>
      <c r="BF35" s="12">
        <v>0.12</v>
      </c>
      <c r="BG35" s="2">
        <v>0</v>
      </c>
      <c r="BH35" s="2">
        <v>246</v>
      </c>
      <c r="BI35" s="2">
        <v>366.16</v>
      </c>
      <c r="BJ35" s="2">
        <v>0</v>
      </c>
      <c r="BK35" s="2">
        <v>18</v>
      </c>
      <c r="BL35" s="2">
        <v>0</v>
      </c>
      <c r="BM35" s="2">
        <v>0</v>
      </c>
      <c r="BN35" s="2">
        <v>5.04</v>
      </c>
      <c r="BO35" s="2">
        <v>16.5</v>
      </c>
      <c r="BP35" s="2">
        <v>4.23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11.76</v>
      </c>
      <c r="CB35" s="2" t="s">
        <v>226</v>
      </c>
      <c r="CC35" s="2" t="s">
        <v>241</v>
      </c>
      <c r="CD35" s="2">
        <v>554.68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95.84</v>
      </c>
      <c r="CV35" s="2" t="s">
        <v>394</v>
      </c>
      <c r="CW35" s="2">
        <v>95.84</v>
      </c>
      <c r="CX35" s="198" t="s">
        <v>395</v>
      </c>
      <c r="CY35" s="2">
        <v>167.72</v>
      </c>
      <c r="CZ35" s="2" t="s">
        <v>230</v>
      </c>
      <c r="DA35" s="2">
        <v>167.72</v>
      </c>
      <c r="DB35" s="198" t="s">
        <v>231</v>
      </c>
      <c r="DE35" s="2">
        <v>0</v>
      </c>
      <c r="DF35" s="2" t="s">
        <v>232</v>
      </c>
      <c r="DG35" s="2" t="s">
        <v>209</v>
      </c>
      <c r="DH35" s="2" t="s">
        <v>208</v>
      </c>
      <c r="DI35" s="2">
        <v>252895738</v>
      </c>
      <c r="DJ35" s="2" t="s">
        <v>211</v>
      </c>
      <c r="DK35" s="2">
        <v>0</v>
      </c>
      <c r="DL35" s="2" t="s">
        <v>201</v>
      </c>
      <c r="DM35" s="2">
        <v>57.5</v>
      </c>
    </row>
    <row r="36" s="2" customFormat="1" ht="12" spans="1:117">
      <c r="A36" s="2">
        <v>2</v>
      </c>
      <c r="B36" s="2" t="s">
        <v>494</v>
      </c>
      <c r="C36" s="2" t="s">
        <v>199</v>
      </c>
      <c r="D36" s="2" t="s">
        <v>200</v>
      </c>
      <c r="E36" s="2" t="s">
        <v>201</v>
      </c>
      <c r="F36" s="102">
        <v>46245</v>
      </c>
      <c r="G36" s="2" t="s">
        <v>202</v>
      </c>
      <c r="H36" s="2" t="s">
        <v>495</v>
      </c>
      <c r="I36" s="2" t="s">
        <v>204</v>
      </c>
      <c r="J36" s="2" t="s">
        <v>205</v>
      </c>
      <c r="K36" s="2" t="s">
        <v>206</v>
      </c>
      <c r="L36" s="2" t="s">
        <v>207</v>
      </c>
      <c r="M36" s="2">
        <v>892</v>
      </c>
      <c r="N36" s="2" t="s">
        <v>208</v>
      </c>
      <c r="O36" s="2" t="s">
        <v>209</v>
      </c>
      <c r="P36" s="2" t="s">
        <v>210</v>
      </c>
      <c r="Q36" s="2" t="s">
        <v>204</v>
      </c>
      <c r="R36" s="2" t="s">
        <v>205</v>
      </c>
      <c r="S36" s="2" t="s">
        <v>208</v>
      </c>
      <c r="T36" s="2" t="s">
        <v>209</v>
      </c>
      <c r="U36" s="2" t="s">
        <v>204</v>
      </c>
      <c r="V36" s="2" t="s">
        <v>205</v>
      </c>
      <c r="W36" s="2" t="s">
        <v>206</v>
      </c>
      <c r="X36" s="2" t="s">
        <v>207</v>
      </c>
      <c r="Y36" s="2" t="s">
        <v>208</v>
      </c>
      <c r="Z36" s="2" t="s">
        <v>209</v>
      </c>
      <c r="AA36" s="2" t="s">
        <v>211</v>
      </c>
      <c r="AB36" s="2" t="s">
        <v>212</v>
      </c>
      <c r="AC36" s="2" t="s">
        <v>496</v>
      </c>
      <c r="AD36" s="2" t="s">
        <v>497</v>
      </c>
      <c r="AE36" s="2">
        <v>387</v>
      </c>
      <c r="AF36" s="2" t="s">
        <v>498</v>
      </c>
      <c r="AG36" s="2" t="s">
        <v>499</v>
      </c>
      <c r="AH36" s="2" t="s">
        <v>218</v>
      </c>
      <c r="AI36" s="2" t="s">
        <v>496</v>
      </c>
      <c r="AJ36" s="2" t="s">
        <v>497</v>
      </c>
      <c r="AK36" s="2" t="s">
        <v>499</v>
      </c>
      <c r="AL36" s="2" t="s">
        <v>218</v>
      </c>
      <c r="AM36" s="2" t="s">
        <v>500</v>
      </c>
      <c r="AN36" s="198" t="s">
        <v>501</v>
      </c>
      <c r="AO36" s="2">
        <v>43.3</v>
      </c>
      <c r="AP36" s="2">
        <v>0.0001</v>
      </c>
      <c r="AQ36" s="2">
        <v>15</v>
      </c>
      <c r="AR36" s="2">
        <v>0</v>
      </c>
      <c r="AS36" s="2" t="s">
        <v>221</v>
      </c>
      <c r="AT36" s="2" t="s">
        <v>222</v>
      </c>
      <c r="AU36" s="102">
        <v>46269</v>
      </c>
      <c r="AV36" s="2">
        <v>220.78</v>
      </c>
      <c r="AW36" s="2" t="s">
        <v>223</v>
      </c>
      <c r="AX36" s="2" t="s">
        <v>223</v>
      </c>
      <c r="AY36" s="2">
        <v>1624.13</v>
      </c>
      <c r="AZ36" s="2" t="s">
        <v>224</v>
      </c>
      <c r="BA36" s="2" t="s">
        <v>250</v>
      </c>
      <c r="BB36" s="2">
        <v>220.78</v>
      </c>
      <c r="BC36" s="2">
        <v>194.29</v>
      </c>
      <c r="BD36" s="2">
        <v>220.78</v>
      </c>
      <c r="BE36" s="2">
        <v>26.49</v>
      </c>
      <c r="BF36" s="12">
        <v>0.12</v>
      </c>
      <c r="BG36" s="2">
        <v>0</v>
      </c>
      <c r="BH36" s="2">
        <v>43.3</v>
      </c>
      <c r="BI36" s="2">
        <v>157.63</v>
      </c>
      <c r="BJ36" s="2">
        <v>0</v>
      </c>
      <c r="BK36" s="2">
        <v>18</v>
      </c>
      <c r="BL36" s="2">
        <v>0</v>
      </c>
      <c r="BM36" s="2">
        <v>0</v>
      </c>
      <c r="BN36" s="2">
        <v>3.25</v>
      </c>
      <c r="BO36" s="2">
        <v>5.5</v>
      </c>
      <c r="BP36" s="2">
        <v>4.23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5.68</v>
      </c>
      <c r="CB36" s="2" t="s">
        <v>226</v>
      </c>
      <c r="CC36" s="2" t="s">
        <v>251</v>
      </c>
      <c r="CD36" s="2">
        <v>374.27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44.16</v>
      </c>
      <c r="CV36" s="2" t="s">
        <v>394</v>
      </c>
      <c r="CW36" s="2">
        <v>44.16</v>
      </c>
      <c r="CX36" s="198" t="s">
        <v>395</v>
      </c>
      <c r="CY36" s="2">
        <v>99.35</v>
      </c>
      <c r="CZ36" s="2" t="s">
        <v>502</v>
      </c>
      <c r="DA36" s="2">
        <v>84.33</v>
      </c>
      <c r="DB36" s="2">
        <v>232784</v>
      </c>
      <c r="DE36" s="2">
        <v>0</v>
      </c>
      <c r="DF36" s="2" t="s">
        <v>232</v>
      </c>
      <c r="DG36" s="2" t="s">
        <v>209</v>
      </c>
      <c r="DH36" s="2" t="s">
        <v>208</v>
      </c>
      <c r="DI36" s="2">
        <v>252895738</v>
      </c>
      <c r="DJ36" s="2" t="s">
        <v>211</v>
      </c>
      <c r="DK36" s="2">
        <v>0</v>
      </c>
      <c r="DL36" s="2" t="s">
        <v>201</v>
      </c>
      <c r="DM36" s="2">
        <v>26.49</v>
      </c>
    </row>
    <row r="37" s="2" customFormat="1" ht="12" spans="1:117">
      <c r="A37" s="2">
        <v>2</v>
      </c>
      <c r="B37" s="2" t="s">
        <v>503</v>
      </c>
      <c r="C37" s="2" t="s">
        <v>199</v>
      </c>
      <c r="D37" s="2" t="s">
        <v>200</v>
      </c>
      <c r="E37" s="2" t="s">
        <v>201</v>
      </c>
      <c r="F37" s="102">
        <v>46245</v>
      </c>
      <c r="G37" s="2" t="s">
        <v>202</v>
      </c>
      <c r="H37" s="2" t="s">
        <v>504</v>
      </c>
      <c r="I37" s="2" t="s">
        <v>204</v>
      </c>
      <c r="J37" s="2" t="s">
        <v>205</v>
      </c>
      <c r="K37" s="2" t="s">
        <v>206</v>
      </c>
      <c r="L37" s="2" t="s">
        <v>207</v>
      </c>
      <c r="M37" s="2">
        <v>892</v>
      </c>
      <c r="N37" s="2" t="s">
        <v>208</v>
      </c>
      <c r="O37" s="2" t="s">
        <v>209</v>
      </c>
      <c r="P37" s="2" t="s">
        <v>210</v>
      </c>
      <c r="Q37" s="2" t="s">
        <v>204</v>
      </c>
      <c r="R37" s="2" t="s">
        <v>205</v>
      </c>
      <c r="S37" s="2" t="s">
        <v>208</v>
      </c>
      <c r="T37" s="2" t="s">
        <v>209</v>
      </c>
      <c r="U37" s="2" t="s">
        <v>204</v>
      </c>
      <c r="V37" s="2" t="s">
        <v>205</v>
      </c>
      <c r="W37" s="2" t="s">
        <v>206</v>
      </c>
      <c r="X37" s="2" t="s">
        <v>207</v>
      </c>
      <c r="Y37" s="2" t="s">
        <v>208</v>
      </c>
      <c r="Z37" s="2" t="s">
        <v>209</v>
      </c>
      <c r="AA37" s="2" t="s">
        <v>211</v>
      </c>
      <c r="AB37" s="2" t="s">
        <v>212</v>
      </c>
      <c r="AC37" s="2" t="s">
        <v>505</v>
      </c>
      <c r="AD37" s="2" t="s">
        <v>506</v>
      </c>
      <c r="AE37" s="2" t="s">
        <v>416</v>
      </c>
      <c r="AF37" s="2" t="s">
        <v>259</v>
      </c>
      <c r="AG37" s="2" t="s">
        <v>417</v>
      </c>
      <c r="AH37" s="2" t="s">
        <v>218</v>
      </c>
      <c r="AI37" s="2" t="s">
        <v>505</v>
      </c>
      <c r="AJ37" s="2" t="s">
        <v>506</v>
      </c>
      <c r="AK37" s="2" t="s">
        <v>417</v>
      </c>
      <c r="AL37" s="2" t="s">
        <v>218</v>
      </c>
      <c r="AM37" s="2" t="s">
        <v>261</v>
      </c>
      <c r="AN37" s="198" t="s">
        <v>507</v>
      </c>
      <c r="AO37" s="2">
        <v>72</v>
      </c>
      <c r="AP37" s="2">
        <v>0.0001</v>
      </c>
      <c r="AQ37" s="2">
        <v>40</v>
      </c>
      <c r="AR37" s="2">
        <v>0</v>
      </c>
      <c r="AS37" s="2" t="s">
        <v>221</v>
      </c>
      <c r="AT37" s="2" t="s">
        <v>222</v>
      </c>
      <c r="AU37" s="102">
        <v>46269</v>
      </c>
      <c r="AV37" s="2">
        <v>228.81</v>
      </c>
      <c r="AW37" s="2" t="s">
        <v>223</v>
      </c>
      <c r="AX37" s="2" t="s">
        <v>223</v>
      </c>
      <c r="AY37" s="2">
        <v>3029.58</v>
      </c>
      <c r="AZ37" s="2" t="s">
        <v>224</v>
      </c>
      <c r="BA37" s="2" t="s">
        <v>263</v>
      </c>
      <c r="BB37" s="2">
        <v>228.81</v>
      </c>
      <c r="BC37" s="2">
        <v>201.35</v>
      </c>
      <c r="BD37" s="2">
        <v>228.81</v>
      </c>
      <c r="BE37" s="2">
        <v>27.46</v>
      </c>
      <c r="BF37" s="12">
        <v>0.12</v>
      </c>
      <c r="BG37" s="2">
        <v>0</v>
      </c>
      <c r="BH37" s="2">
        <v>72</v>
      </c>
      <c r="BI37" s="2">
        <v>158.48</v>
      </c>
      <c r="BJ37" s="2">
        <v>0</v>
      </c>
      <c r="BK37" s="2">
        <v>18</v>
      </c>
      <c r="BL37" s="2">
        <v>0</v>
      </c>
      <c r="BM37" s="2">
        <v>0</v>
      </c>
      <c r="BN37" s="2">
        <v>4.54</v>
      </c>
      <c r="BO37" s="2">
        <v>5.5</v>
      </c>
      <c r="BP37" s="2">
        <v>4.23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10.6</v>
      </c>
      <c r="CB37" s="2" t="s">
        <v>226</v>
      </c>
      <c r="CC37" s="2" t="s">
        <v>259</v>
      </c>
      <c r="CD37" s="2">
        <v>389.4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45.76</v>
      </c>
      <c r="CV37" s="2" t="s">
        <v>394</v>
      </c>
      <c r="CW37" s="2">
        <v>45.76</v>
      </c>
      <c r="CX37" s="198" t="s">
        <v>395</v>
      </c>
      <c r="CY37" s="2">
        <v>15</v>
      </c>
      <c r="CZ37" s="2" t="s">
        <v>508</v>
      </c>
      <c r="DA37" s="2">
        <v>0</v>
      </c>
      <c r="DE37" s="2">
        <v>0</v>
      </c>
      <c r="DF37" s="2" t="s">
        <v>232</v>
      </c>
      <c r="DG37" s="2" t="s">
        <v>209</v>
      </c>
      <c r="DH37" s="2" t="s">
        <v>208</v>
      </c>
      <c r="DI37" s="2">
        <v>252895738</v>
      </c>
      <c r="DJ37" s="2" t="s">
        <v>211</v>
      </c>
      <c r="DK37" s="2">
        <v>0</v>
      </c>
      <c r="DL37" s="2" t="s">
        <v>201</v>
      </c>
      <c r="DM37" s="2">
        <v>27.46</v>
      </c>
    </row>
    <row r="38" s="2" customFormat="1" ht="12" spans="1:117">
      <c r="A38" s="2">
        <v>2</v>
      </c>
      <c r="B38" s="2" t="s">
        <v>509</v>
      </c>
      <c r="C38" s="2" t="s">
        <v>199</v>
      </c>
      <c r="D38" s="2" t="s">
        <v>200</v>
      </c>
      <c r="E38" s="2" t="s">
        <v>201</v>
      </c>
      <c r="F38" s="102">
        <v>46246</v>
      </c>
      <c r="G38" s="2" t="s">
        <v>202</v>
      </c>
      <c r="H38" s="2" t="s">
        <v>510</v>
      </c>
      <c r="I38" s="2" t="s">
        <v>204</v>
      </c>
      <c r="J38" s="2" t="s">
        <v>205</v>
      </c>
      <c r="K38" s="2" t="s">
        <v>206</v>
      </c>
      <c r="L38" s="2" t="s">
        <v>207</v>
      </c>
      <c r="M38" s="2">
        <v>892</v>
      </c>
      <c r="N38" s="2" t="s">
        <v>208</v>
      </c>
      <c r="O38" s="2" t="s">
        <v>209</v>
      </c>
      <c r="P38" s="2" t="s">
        <v>210</v>
      </c>
      <c r="Q38" s="2" t="s">
        <v>204</v>
      </c>
      <c r="R38" s="2" t="s">
        <v>205</v>
      </c>
      <c r="S38" s="2" t="s">
        <v>208</v>
      </c>
      <c r="T38" s="2" t="s">
        <v>209</v>
      </c>
      <c r="U38" s="2" t="s">
        <v>204</v>
      </c>
      <c r="V38" s="2" t="s">
        <v>205</v>
      </c>
      <c r="W38" s="2" t="s">
        <v>206</v>
      </c>
      <c r="X38" s="2" t="s">
        <v>207</v>
      </c>
      <c r="Y38" s="2" t="s">
        <v>208</v>
      </c>
      <c r="Z38" s="2" t="s">
        <v>209</v>
      </c>
      <c r="AA38" s="2" t="s">
        <v>211</v>
      </c>
      <c r="AB38" s="2" t="s">
        <v>212</v>
      </c>
      <c r="AC38" s="2" t="s">
        <v>511</v>
      </c>
      <c r="AD38" s="2" t="s">
        <v>512</v>
      </c>
      <c r="AE38" s="2">
        <v>352</v>
      </c>
      <c r="AF38" s="2" t="s">
        <v>400</v>
      </c>
      <c r="AG38" s="2" t="s">
        <v>513</v>
      </c>
      <c r="AH38" s="2" t="s">
        <v>218</v>
      </c>
      <c r="AI38" s="2" t="s">
        <v>511</v>
      </c>
      <c r="AJ38" s="2" t="s">
        <v>512</v>
      </c>
      <c r="AK38" s="2" t="s">
        <v>513</v>
      </c>
      <c r="AL38" s="2" t="s">
        <v>218</v>
      </c>
      <c r="AM38" s="2" t="s">
        <v>402</v>
      </c>
      <c r="AN38" s="198" t="s">
        <v>514</v>
      </c>
      <c r="AO38" s="2">
        <v>90.28</v>
      </c>
      <c r="AP38" s="2">
        <v>0.0001</v>
      </c>
      <c r="AQ38" s="2">
        <v>20</v>
      </c>
      <c r="AR38" s="2">
        <v>0</v>
      </c>
      <c r="AS38" s="2" t="s">
        <v>221</v>
      </c>
      <c r="AT38" s="2" t="s">
        <v>222</v>
      </c>
      <c r="AU38" s="102">
        <v>46269</v>
      </c>
      <c r="AV38" s="2">
        <v>268.39</v>
      </c>
      <c r="AW38" s="2" t="s">
        <v>223</v>
      </c>
      <c r="AX38" s="2" t="s">
        <v>223</v>
      </c>
      <c r="AY38" s="2">
        <v>2891.44</v>
      </c>
      <c r="AZ38" s="2" t="s">
        <v>224</v>
      </c>
      <c r="BA38" s="2" t="s">
        <v>444</v>
      </c>
      <c r="BB38" s="2">
        <v>268.39</v>
      </c>
      <c r="BC38" s="2">
        <v>236.18</v>
      </c>
      <c r="BD38" s="2">
        <v>268.39</v>
      </c>
      <c r="BE38" s="2">
        <v>32.21</v>
      </c>
      <c r="BF38" s="12">
        <v>0.12</v>
      </c>
      <c r="BG38" s="2">
        <v>0</v>
      </c>
      <c r="BH38" s="2">
        <v>90.28</v>
      </c>
      <c r="BI38" s="2">
        <v>193.99</v>
      </c>
      <c r="BJ38" s="2">
        <v>0</v>
      </c>
      <c r="BK38" s="2">
        <v>18</v>
      </c>
      <c r="BL38" s="2">
        <v>0</v>
      </c>
      <c r="BM38" s="2">
        <v>0</v>
      </c>
      <c r="BN38" s="2">
        <v>4.34</v>
      </c>
      <c r="BO38" s="2">
        <v>5.5</v>
      </c>
      <c r="BP38" s="2">
        <v>4.23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10.12</v>
      </c>
      <c r="CB38" s="2" t="s">
        <v>226</v>
      </c>
      <c r="CC38" s="2" t="s">
        <v>445</v>
      </c>
      <c r="CD38" s="2">
        <v>387.57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53.68</v>
      </c>
      <c r="CV38" s="2" t="s">
        <v>515</v>
      </c>
      <c r="CW38" s="2">
        <v>53.68</v>
      </c>
      <c r="CX38" s="198" t="s">
        <v>516</v>
      </c>
      <c r="CY38" s="2">
        <v>123.78</v>
      </c>
      <c r="CZ38" s="2" t="s">
        <v>405</v>
      </c>
      <c r="DA38" s="2">
        <v>138.93</v>
      </c>
      <c r="DB38" s="2">
        <v>130688</v>
      </c>
      <c r="DE38" s="2">
        <v>0</v>
      </c>
      <c r="DF38" s="2" t="s">
        <v>232</v>
      </c>
      <c r="DG38" s="2" t="s">
        <v>209</v>
      </c>
      <c r="DH38" s="2" t="s">
        <v>208</v>
      </c>
      <c r="DI38" s="2">
        <v>252895738</v>
      </c>
      <c r="DJ38" s="2" t="s">
        <v>211</v>
      </c>
      <c r="DK38" s="2">
        <v>0</v>
      </c>
      <c r="DL38" s="2" t="s">
        <v>201</v>
      </c>
      <c r="DM38" s="2">
        <v>32.21</v>
      </c>
    </row>
    <row r="39" s="2" customFormat="1" ht="12" spans="1:117">
      <c r="A39" s="2">
        <v>2</v>
      </c>
      <c r="B39" s="2" t="s">
        <v>517</v>
      </c>
      <c r="C39" s="2" t="s">
        <v>199</v>
      </c>
      <c r="D39" s="2" t="s">
        <v>200</v>
      </c>
      <c r="E39" s="2" t="s">
        <v>201</v>
      </c>
      <c r="F39" s="102">
        <v>46246</v>
      </c>
      <c r="G39" s="2" t="s">
        <v>202</v>
      </c>
      <c r="H39" s="2" t="s">
        <v>518</v>
      </c>
      <c r="I39" s="2" t="s">
        <v>204</v>
      </c>
      <c r="J39" s="2" t="s">
        <v>205</v>
      </c>
      <c r="K39" s="2" t="s">
        <v>206</v>
      </c>
      <c r="L39" s="2" t="s">
        <v>207</v>
      </c>
      <c r="M39" s="2">
        <v>892</v>
      </c>
      <c r="N39" s="2" t="s">
        <v>208</v>
      </c>
      <c r="O39" s="2" t="s">
        <v>209</v>
      </c>
      <c r="P39" s="2" t="s">
        <v>210</v>
      </c>
      <c r="Q39" s="2" t="s">
        <v>204</v>
      </c>
      <c r="R39" s="2" t="s">
        <v>205</v>
      </c>
      <c r="S39" s="2" t="s">
        <v>208</v>
      </c>
      <c r="T39" s="2" t="s">
        <v>209</v>
      </c>
      <c r="U39" s="2" t="s">
        <v>204</v>
      </c>
      <c r="V39" s="2" t="s">
        <v>205</v>
      </c>
      <c r="W39" s="2" t="s">
        <v>206</v>
      </c>
      <c r="X39" s="2" t="s">
        <v>207</v>
      </c>
      <c r="Y39" s="2" t="s">
        <v>208</v>
      </c>
      <c r="Z39" s="2" t="s">
        <v>209</v>
      </c>
      <c r="AA39" s="2" t="s">
        <v>211</v>
      </c>
      <c r="AB39" s="2" t="s">
        <v>212</v>
      </c>
      <c r="AC39" s="2" t="s">
        <v>519</v>
      </c>
      <c r="AD39" s="2" t="s">
        <v>520</v>
      </c>
      <c r="AE39" s="2" t="s">
        <v>416</v>
      </c>
      <c r="AF39" s="2" t="s">
        <v>259</v>
      </c>
      <c r="AG39" s="2" t="s">
        <v>417</v>
      </c>
      <c r="AH39" s="2" t="s">
        <v>218</v>
      </c>
      <c r="AI39" s="2" t="s">
        <v>519</v>
      </c>
      <c r="AJ39" s="2" t="s">
        <v>520</v>
      </c>
      <c r="AK39" s="2" t="s">
        <v>417</v>
      </c>
      <c r="AL39" s="2" t="s">
        <v>218</v>
      </c>
      <c r="AM39" s="2" t="s">
        <v>261</v>
      </c>
      <c r="AN39" s="198" t="s">
        <v>521</v>
      </c>
      <c r="AO39" s="2">
        <v>4.5</v>
      </c>
      <c r="AP39" s="2">
        <v>0.0001</v>
      </c>
      <c r="AQ39" s="2">
        <v>1</v>
      </c>
      <c r="AR39" s="2">
        <v>0</v>
      </c>
      <c r="AS39" s="2" t="s">
        <v>221</v>
      </c>
      <c r="AT39" s="2" t="s">
        <v>222</v>
      </c>
      <c r="AU39" s="102">
        <v>46269</v>
      </c>
      <c r="AV39" s="2">
        <v>128.5</v>
      </c>
      <c r="AW39" s="2" t="s">
        <v>223</v>
      </c>
      <c r="AX39" s="2" t="s">
        <v>223</v>
      </c>
      <c r="AY39" s="2">
        <v>165.44</v>
      </c>
      <c r="AZ39" s="2" t="s">
        <v>224</v>
      </c>
      <c r="BA39" s="2" t="s">
        <v>263</v>
      </c>
      <c r="BB39" s="2">
        <v>128.5</v>
      </c>
      <c r="BC39" s="2">
        <v>113.08</v>
      </c>
      <c r="BD39" s="2">
        <v>128.5</v>
      </c>
      <c r="BE39" s="2">
        <v>15.42</v>
      </c>
      <c r="BF39" s="12">
        <v>0.12</v>
      </c>
      <c r="BG39" s="2">
        <v>0</v>
      </c>
      <c r="BH39" s="2">
        <v>4.5</v>
      </c>
      <c r="BI39" s="2">
        <v>81.52</v>
      </c>
      <c r="BJ39" s="2">
        <v>0</v>
      </c>
      <c r="BK39" s="2">
        <v>18</v>
      </c>
      <c r="BL39" s="2">
        <v>0</v>
      </c>
      <c r="BM39" s="2">
        <v>0</v>
      </c>
      <c r="BN39" s="2">
        <v>3.25</v>
      </c>
      <c r="BO39" s="2">
        <v>5.5</v>
      </c>
      <c r="BP39" s="2">
        <v>4.23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0.58</v>
      </c>
      <c r="CB39" s="2" t="s">
        <v>226</v>
      </c>
      <c r="CC39" s="2" t="s">
        <v>259</v>
      </c>
      <c r="CD39" s="2">
        <v>359.64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25.7</v>
      </c>
      <c r="CV39" s="2" t="s">
        <v>515</v>
      </c>
      <c r="CW39" s="2">
        <v>25.7</v>
      </c>
      <c r="CX39" s="198" t="s">
        <v>516</v>
      </c>
      <c r="CY39" s="2">
        <v>15</v>
      </c>
      <c r="CZ39" s="2" t="s">
        <v>508</v>
      </c>
      <c r="DA39" s="2">
        <v>0</v>
      </c>
      <c r="DE39" s="2">
        <v>0</v>
      </c>
      <c r="DF39" s="2" t="s">
        <v>232</v>
      </c>
      <c r="DG39" s="2" t="s">
        <v>209</v>
      </c>
      <c r="DH39" s="2" t="s">
        <v>208</v>
      </c>
      <c r="DI39" s="2">
        <v>252895738</v>
      </c>
      <c r="DJ39" s="2" t="s">
        <v>211</v>
      </c>
      <c r="DK39" s="2">
        <v>0</v>
      </c>
      <c r="DL39" s="2" t="s">
        <v>201</v>
      </c>
      <c r="DM39" s="2">
        <v>15.42</v>
      </c>
    </row>
    <row r="40" s="2" customFormat="1" ht="12" spans="1:117">
      <c r="A40" s="2">
        <v>2</v>
      </c>
      <c r="B40" s="2" t="s">
        <v>522</v>
      </c>
      <c r="C40" s="2" t="s">
        <v>523</v>
      </c>
      <c r="D40" s="2" t="s">
        <v>524</v>
      </c>
      <c r="E40" s="2" t="s">
        <v>201</v>
      </c>
      <c r="F40" s="102">
        <v>46247</v>
      </c>
      <c r="G40" s="2" t="s">
        <v>525</v>
      </c>
      <c r="H40" s="2" t="s">
        <v>526</v>
      </c>
      <c r="I40" s="2" t="s">
        <v>204</v>
      </c>
      <c r="J40" s="2" t="s">
        <v>205</v>
      </c>
      <c r="K40" s="2" t="s">
        <v>206</v>
      </c>
      <c r="L40" s="2" t="s">
        <v>207</v>
      </c>
      <c r="M40" s="2">
        <v>892</v>
      </c>
      <c r="N40" s="2" t="s">
        <v>208</v>
      </c>
      <c r="O40" s="2" t="s">
        <v>209</v>
      </c>
      <c r="P40" s="2" t="s">
        <v>210</v>
      </c>
      <c r="Q40" s="2" t="s">
        <v>204</v>
      </c>
      <c r="R40" s="2" t="s">
        <v>205</v>
      </c>
      <c r="S40" s="2" t="s">
        <v>208</v>
      </c>
      <c r="T40" s="2" t="s">
        <v>209</v>
      </c>
      <c r="U40" s="2" t="s">
        <v>204</v>
      </c>
      <c r="V40" s="2" t="s">
        <v>205</v>
      </c>
      <c r="W40" s="2" t="s">
        <v>206</v>
      </c>
      <c r="X40" s="2" t="s">
        <v>207</v>
      </c>
      <c r="Y40" s="2" t="s">
        <v>208</v>
      </c>
      <c r="Z40" s="2" t="s">
        <v>209</v>
      </c>
      <c r="AA40" s="2" t="s">
        <v>211</v>
      </c>
      <c r="AB40" s="2" t="s">
        <v>212</v>
      </c>
      <c r="AC40" s="2" t="s">
        <v>527</v>
      </c>
      <c r="AD40" s="2" t="s">
        <v>528</v>
      </c>
      <c r="AE40" s="2">
        <v>352</v>
      </c>
      <c r="AF40" s="2" t="s">
        <v>441</v>
      </c>
      <c r="AG40" s="2" t="s">
        <v>529</v>
      </c>
      <c r="AH40" s="2" t="s">
        <v>218</v>
      </c>
      <c r="AI40" s="2" t="s">
        <v>527</v>
      </c>
      <c r="AJ40" s="2" t="s">
        <v>528</v>
      </c>
      <c r="AK40" s="2" t="s">
        <v>529</v>
      </c>
      <c r="AL40" s="2" t="s">
        <v>218</v>
      </c>
      <c r="AM40" s="2" t="s">
        <v>402</v>
      </c>
      <c r="AN40" s="198" t="s">
        <v>530</v>
      </c>
      <c r="AO40" s="2">
        <v>5</v>
      </c>
      <c r="AP40" s="2">
        <v>0</v>
      </c>
      <c r="AQ40" s="2">
        <v>1</v>
      </c>
      <c r="AR40" s="2">
        <v>0</v>
      </c>
      <c r="AS40" s="2" t="s">
        <v>221</v>
      </c>
      <c r="AT40" s="2" t="s">
        <v>222</v>
      </c>
      <c r="AU40" s="102">
        <v>46247</v>
      </c>
      <c r="AV40" s="2">
        <v>0</v>
      </c>
      <c r="AW40" s="2" t="s">
        <v>223</v>
      </c>
      <c r="AX40" s="2" t="s">
        <v>223</v>
      </c>
      <c r="AY40" s="2">
        <v>0.01</v>
      </c>
      <c r="AZ40" s="2" t="s">
        <v>531</v>
      </c>
      <c r="BB40" s="2">
        <v>0.01</v>
      </c>
      <c r="BC40" s="2">
        <v>0.01</v>
      </c>
      <c r="BD40" s="2">
        <v>0.01</v>
      </c>
      <c r="BE40" s="2">
        <v>0</v>
      </c>
      <c r="BF40" s="12">
        <v>0.12</v>
      </c>
      <c r="BG40" s="2">
        <v>0</v>
      </c>
      <c r="BH40" s="2">
        <v>5</v>
      </c>
      <c r="BI40" s="2">
        <v>0.01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 t="s">
        <v>226</v>
      </c>
      <c r="CC40" s="2" t="s">
        <v>441</v>
      </c>
      <c r="CD40" s="2">
        <v>0.01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0.01</v>
      </c>
      <c r="CV40" s="2" t="s">
        <v>301</v>
      </c>
      <c r="CW40" s="2">
        <f>CU40</f>
        <v>0.01</v>
      </c>
      <c r="CY40" s="2">
        <v>0.01</v>
      </c>
      <c r="CZ40" s="2" t="s">
        <v>515</v>
      </c>
      <c r="DA40" s="2">
        <v>20</v>
      </c>
      <c r="DB40" s="198" t="s">
        <v>516</v>
      </c>
      <c r="DE40" s="2">
        <v>0</v>
      </c>
      <c r="DF40" s="2" t="s">
        <v>232</v>
      </c>
      <c r="DG40" s="2" t="s">
        <v>209</v>
      </c>
      <c r="DH40" s="2" t="s">
        <v>208</v>
      </c>
      <c r="DI40" s="2">
        <v>252895738</v>
      </c>
      <c r="DJ40" s="2" t="s">
        <v>211</v>
      </c>
      <c r="DK40" s="2">
        <v>0</v>
      </c>
      <c r="DL40" s="2" t="s">
        <v>201</v>
      </c>
      <c r="DM40" s="2">
        <v>0</v>
      </c>
    </row>
    <row r="41" s="2" customFormat="1" ht="12" spans="1:117">
      <c r="A41" s="2">
        <v>2</v>
      </c>
      <c r="B41" s="2" t="s">
        <v>532</v>
      </c>
      <c r="C41" s="2" t="s">
        <v>199</v>
      </c>
      <c r="D41" s="2" t="s">
        <v>200</v>
      </c>
      <c r="E41" s="2" t="s">
        <v>201</v>
      </c>
      <c r="F41" s="102">
        <v>46247</v>
      </c>
      <c r="G41" s="2" t="s">
        <v>202</v>
      </c>
      <c r="H41" s="2" t="s">
        <v>533</v>
      </c>
      <c r="I41" s="2" t="s">
        <v>204</v>
      </c>
      <c r="J41" s="2" t="s">
        <v>205</v>
      </c>
      <c r="K41" s="2" t="s">
        <v>206</v>
      </c>
      <c r="L41" s="2" t="s">
        <v>207</v>
      </c>
      <c r="M41" s="2">
        <v>892</v>
      </c>
      <c r="N41" s="2" t="s">
        <v>208</v>
      </c>
      <c r="O41" s="2" t="s">
        <v>209</v>
      </c>
      <c r="P41" s="2" t="s">
        <v>210</v>
      </c>
      <c r="Q41" s="2" t="s">
        <v>204</v>
      </c>
      <c r="R41" s="2" t="s">
        <v>205</v>
      </c>
      <c r="S41" s="2" t="s">
        <v>208</v>
      </c>
      <c r="T41" s="2" t="s">
        <v>209</v>
      </c>
      <c r="U41" s="2" t="s">
        <v>204</v>
      </c>
      <c r="V41" s="2" t="s">
        <v>205</v>
      </c>
      <c r="W41" s="2" t="s">
        <v>206</v>
      </c>
      <c r="X41" s="2" t="s">
        <v>207</v>
      </c>
      <c r="Y41" s="2" t="s">
        <v>208</v>
      </c>
      <c r="Z41" s="2" t="s">
        <v>209</v>
      </c>
      <c r="AA41" s="2" t="s">
        <v>211</v>
      </c>
      <c r="AB41" s="2" t="s">
        <v>212</v>
      </c>
      <c r="AC41" s="2" t="s">
        <v>534</v>
      </c>
      <c r="AD41" s="2" t="s">
        <v>535</v>
      </c>
      <c r="AE41" s="2">
        <v>350</v>
      </c>
      <c r="AF41" s="2" t="s">
        <v>306</v>
      </c>
      <c r="AG41" s="2" t="s">
        <v>410</v>
      </c>
      <c r="AH41" s="2" t="s">
        <v>218</v>
      </c>
      <c r="AI41" s="2" t="s">
        <v>534</v>
      </c>
      <c r="AJ41" s="2" t="s">
        <v>535</v>
      </c>
      <c r="AK41" s="2" t="s">
        <v>410</v>
      </c>
      <c r="AL41" s="2" t="s">
        <v>218</v>
      </c>
      <c r="AM41" s="2" t="s">
        <v>308</v>
      </c>
      <c r="AN41" s="198" t="s">
        <v>536</v>
      </c>
      <c r="AO41" s="2">
        <v>90</v>
      </c>
      <c r="AP41" s="2">
        <v>0.0001</v>
      </c>
      <c r="AQ41" s="2">
        <v>6</v>
      </c>
      <c r="AR41" s="2">
        <v>0</v>
      </c>
      <c r="AS41" s="2" t="s">
        <v>221</v>
      </c>
      <c r="AT41" s="2" t="s">
        <v>222</v>
      </c>
      <c r="AU41" s="102">
        <v>46269</v>
      </c>
      <c r="AV41" s="2">
        <v>582.7</v>
      </c>
      <c r="AW41" s="2" t="s">
        <v>223</v>
      </c>
      <c r="AX41" s="2" t="s">
        <v>223</v>
      </c>
      <c r="AY41" s="2">
        <v>2212.44</v>
      </c>
      <c r="AZ41" s="2" t="s">
        <v>224</v>
      </c>
      <c r="BA41" s="2" t="s">
        <v>299</v>
      </c>
      <c r="BB41" s="2">
        <v>582.7</v>
      </c>
      <c r="BC41" s="2">
        <v>512.78</v>
      </c>
      <c r="BD41" s="2">
        <v>582.7</v>
      </c>
      <c r="BE41" s="2">
        <v>69.92</v>
      </c>
      <c r="BF41" s="12">
        <v>0.12</v>
      </c>
      <c r="BG41" s="2">
        <v>0</v>
      </c>
      <c r="BH41" s="2">
        <v>90</v>
      </c>
      <c r="BI41" s="2">
        <v>193.99</v>
      </c>
      <c r="BJ41" s="2">
        <v>0</v>
      </c>
      <c r="BK41" s="2">
        <v>18</v>
      </c>
      <c r="BL41" s="2">
        <v>0</v>
      </c>
      <c r="BM41" s="2">
        <v>0</v>
      </c>
      <c r="BN41" s="2">
        <v>3.32</v>
      </c>
      <c r="BO41" s="2">
        <v>5.5</v>
      </c>
      <c r="BP41" s="2">
        <v>4.23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280</v>
      </c>
      <c r="BY41" s="2">
        <v>0</v>
      </c>
      <c r="BZ41" s="2">
        <v>0</v>
      </c>
      <c r="CA41" s="2">
        <v>7.74</v>
      </c>
      <c r="CB41" s="2" t="s">
        <v>226</v>
      </c>
      <c r="CC41" s="2" t="s">
        <v>300</v>
      </c>
      <c r="CD41" s="2">
        <v>391.84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116.54</v>
      </c>
      <c r="CV41" s="2" t="s">
        <v>515</v>
      </c>
      <c r="CW41" s="2">
        <v>116.54</v>
      </c>
      <c r="CX41" s="198" t="s">
        <v>516</v>
      </c>
      <c r="CY41" s="2">
        <v>508.45</v>
      </c>
      <c r="CZ41" s="2" t="s">
        <v>537</v>
      </c>
      <c r="DA41" s="2">
        <v>508.45</v>
      </c>
      <c r="DB41" s="198" t="s">
        <v>538</v>
      </c>
      <c r="DE41" s="2">
        <v>0</v>
      </c>
      <c r="DF41" s="2" t="s">
        <v>232</v>
      </c>
      <c r="DG41" s="2" t="s">
        <v>209</v>
      </c>
      <c r="DH41" s="2" t="s">
        <v>208</v>
      </c>
      <c r="DI41" s="2">
        <v>252895738</v>
      </c>
      <c r="DJ41" s="2" t="s">
        <v>211</v>
      </c>
      <c r="DK41" s="2">
        <v>0</v>
      </c>
      <c r="DL41" s="2" t="s">
        <v>201</v>
      </c>
      <c r="DM41" s="2">
        <v>69.92</v>
      </c>
    </row>
    <row r="42" s="2" customFormat="1" ht="12" spans="1:117">
      <c r="A42" s="2">
        <v>2</v>
      </c>
      <c r="B42" s="2" t="s">
        <v>539</v>
      </c>
      <c r="C42" s="2" t="s">
        <v>199</v>
      </c>
      <c r="D42" s="2" t="s">
        <v>200</v>
      </c>
      <c r="E42" s="2" t="s">
        <v>201</v>
      </c>
      <c r="F42" s="102">
        <v>46251</v>
      </c>
      <c r="G42" s="2" t="s">
        <v>202</v>
      </c>
      <c r="H42" s="2" t="s">
        <v>540</v>
      </c>
      <c r="I42" s="2" t="s">
        <v>204</v>
      </c>
      <c r="J42" s="2" t="s">
        <v>205</v>
      </c>
      <c r="K42" s="2" t="s">
        <v>206</v>
      </c>
      <c r="L42" s="2" t="s">
        <v>207</v>
      </c>
      <c r="M42" s="2">
        <v>892</v>
      </c>
      <c r="N42" s="2" t="s">
        <v>208</v>
      </c>
      <c r="O42" s="2" t="s">
        <v>209</v>
      </c>
      <c r="P42" s="2" t="s">
        <v>210</v>
      </c>
      <c r="Q42" s="2" t="s">
        <v>204</v>
      </c>
      <c r="R42" s="2" t="s">
        <v>205</v>
      </c>
      <c r="S42" s="2" t="s">
        <v>208</v>
      </c>
      <c r="T42" s="2" t="s">
        <v>209</v>
      </c>
      <c r="U42" s="2" t="s">
        <v>204</v>
      </c>
      <c r="V42" s="2" t="s">
        <v>205</v>
      </c>
      <c r="W42" s="2" t="s">
        <v>206</v>
      </c>
      <c r="X42" s="2" t="s">
        <v>207</v>
      </c>
      <c r="Y42" s="2" t="s">
        <v>208</v>
      </c>
      <c r="Z42" s="2" t="s">
        <v>209</v>
      </c>
      <c r="AA42" s="2" t="s">
        <v>211</v>
      </c>
      <c r="AB42" s="2" t="s">
        <v>212</v>
      </c>
      <c r="AC42" s="2" t="s">
        <v>541</v>
      </c>
      <c r="AD42" s="2" t="s">
        <v>542</v>
      </c>
      <c r="AE42" s="2" t="s">
        <v>332</v>
      </c>
      <c r="AF42" s="2" t="s">
        <v>216</v>
      </c>
      <c r="AG42" s="2" t="s">
        <v>333</v>
      </c>
      <c r="AH42" s="2" t="s">
        <v>218</v>
      </c>
      <c r="AI42" s="2" t="s">
        <v>541</v>
      </c>
      <c r="AJ42" s="2" t="s">
        <v>542</v>
      </c>
      <c r="AK42" s="2" t="s">
        <v>333</v>
      </c>
      <c r="AL42" s="2" t="s">
        <v>218</v>
      </c>
      <c r="AM42" s="2" t="s">
        <v>219</v>
      </c>
      <c r="AN42" s="198" t="s">
        <v>543</v>
      </c>
      <c r="AO42" s="2">
        <v>207.77</v>
      </c>
      <c r="AP42" s="2">
        <v>0.0001</v>
      </c>
      <c r="AQ42" s="2">
        <v>1</v>
      </c>
      <c r="AR42" s="2">
        <v>0</v>
      </c>
      <c r="AS42" s="2" t="s">
        <v>221</v>
      </c>
      <c r="AT42" s="2" t="s">
        <v>222</v>
      </c>
      <c r="AU42" s="102">
        <v>46276</v>
      </c>
      <c r="AV42" s="2">
        <v>437.1</v>
      </c>
      <c r="AW42" s="2" t="s">
        <v>223</v>
      </c>
      <c r="AX42" s="2" t="s">
        <v>223</v>
      </c>
      <c r="AY42" s="2">
        <v>5891.09</v>
      </c>
      <c r="AZ42" s="2" t="s">
        <v>224</v>
      </c>
      <c r="BA42" s="2" t="s">
        <v>240</v>
      </c>
      <c r="BB42" s="2">
        <v>437.1</v>
      </c>
      <c r="BC42" s="2">
        <v>384.65</v>
      </c>
      <c r="BD42" s="2">
        <v>437.1</v>
      </c>
      <c r="BE42" s="2">
        <v>52.45</v>
      </c>
      <c r="BF42" s="12">
        <v>0.12</v>
      </c>
      <c r="BG42" s="2">
        <v>0</v>
      </c>
      <c r="BH42" s="2">
        <v>207.77</v>
      </c>
      <c r="BI42" s="2">
        <v>316.46</v>
      </c>
      <c r="BJ42" s="2">
        <v>0</v>
      </c>
      <c r="BK42" s="2">
        <v>18</v>
      </c>
      <c r="BL42" s="2">
        <v>0</v>
      </c>
      <c r="BM42" s="2">
        <v>0</v>
      </c>
      <c r="BN42" s="2">
        <v>8.84</v>
      </c>
      <c r="BO42" s="2">
        <v>16.5</v>
      </c>
      <c r="BP42" s="2">
        <v>4.23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20.62</v>
      </c>
      <c r="CB42" s="2" t="s">
        <v>226</v>
      </c>
      <c r="CC42" s="2" t="s">
        <v>241</v>
      </c>
      <c r="CD42" s="2">
        <v>472.39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87.42</v>
      </c>
      <c r="CV42" s="2" t="s">
        <v>515</v>
      </c>
      <c r="CW42" s="2">
        <v>87.42</v>
      </c>
      <c r="CX42" s="198" t="s">
        <v>516</v>
      </c>
      <c r="CY42" s="2">
        <v>152.99</v>
      </c>
      <c r="CZ42" s="2" t="s">
        <v>544</v>
      </c>
      <c r="DA42" s="2">
        <v>152.99</v>
      </c>
      <c r="DB42" s="198" t="s">
        <v>545</v>
      </c>
      <c r="DE42" s="2">
        <v>0</v>
      </c>
      <c r="DF42" s="2" t="s">
        <v>232</v>
      </c>
      <c r="DG42" s="2" t="s">
        <v>209</v>
      </c>
      <c r="DH42" s="2" t="s">
        <v>208</v>
      </c>
      <c r="DI42" s="2">
        <v>252895738</v>
      </c>
      <c r="DJ42" s="2" t="s">
        <v>211</v>
      </c>
      <c r="DK42" s="2">
        <v>0</v>
      </c>
      <c r="DL42" s="2" t="s">
        <v>201</v>
      </c>
      <c r="DM42" s="2">
        <v>52.45</v>
      </c>
    </row>
    <row r="43" s="2" customFormat="1" ht="12" spans="1:117">
      <c r="A43" s="2">
        <v>2</v>
      </c>
      <c r="B43" s="2" t="s">
        <v>546</v>
      </c>
      <c r="C43" s="2" t="s">
        <v>199</v>
      </c>
      <c r="D43" s="2" t="s">
        <v>200</v>
      </c>
      <c r="E43" s="2" t="s">
        <v>201</v>
      </c>
      <c r="F43" s="102">
        <v>46251</v>
      </c>
      <c r="G43" s="2" t="s">
        <v>202</v>
      </c>
      <c r="H43" s="2" t="s">
        <v>547</v>
      </c>
      <c r="I43" s="2" t="s">
        <v>204</v>
      </c>
      <c r="J43" s="2" t="s">
        <v>205</v>
      </c>
      <c r="K43" s="2" t="s">
        <v>206</v>
      </c>
      <c r="L43" s="2" t="s">
        <v>207</v>
      </c>
      <c r="M43" s="2">
        <v>892</v>
      </c>
      <c r="N43" s="2" t="s">
        <v>208</v>
      </c>
      <c r="O43" s="2" t="s">
        <v>209</v>
      </c>
      <c r="P43" s="2" t="s">
        <v>210</v>
      </c>
      <c r="Q43" s="2" t="s">
        <v>204</v>
      </c>
      <c r="R43" s="2" t="s">
        <v>205</v>
      </c>
      <c r="S43" s="2" t="s">
        <v>208</v>
      </c>
      <c r="T43" s="2" t="s">
        <v>209</v>
      </c>
      <c r="U43" s="2" t="s">
        <v>204</v>
      </c>
      <c r="V43" s="2" t="s">
        <v>205</v>
      </c>
      <c r="W43" s="2" t="s">
        <v>206</v>
      </c>
      <c r="X43" s="2" t="s">
        <v>207</v>
      </c>
      <c r="Y43" s="2" t="s">
        <v>208</v>
      </c>
      <c r="Z43" s="2" t="s">
        <v>209</v>
      </c>
      <c r="AA43" s="2" t="s">
        <v>211</v>
      </c>
      <c r="AB43" s="2" t="s">
        <v>212</v>
      </c>
      <c r="AC43" s="2" t="s">
        <v>548</v>
      </c>
      <c r="AD43" s="2" t="s">
        <v>549</v>
      </c>
      <c r="AE43" s="2">
        <v>394</v>
      </c>
      <c r="AF43" s="2" t="s">
        <v>339</v>
      </c>
      <c r="AG43" s="2" t="s">
        <v>435</v>
      </c>
      <c r="AH43" s="2" t="s">
        <v>218</v>
      </c>
      <c r="AI43" s="2" t="s">
        <v>548</v>
      </c>
      <c r="AJ43" s="2" t="s">
        <v>549</v>
      </c>
      <c r="AK43" s="2" t="s">
        <v>435</v>
      </c>
      <c r="AL43" s="2" t="s">
        <v>218</v>
      </c>
      <c r="AM43" s="2" t="s">
        <v>341</v>
      </c>
      <c r="AN43" s="198" t="s">
        <v>550</v>
      </c>
      <c r="AO43" s="2">
        <v>64.202</v>
      </c>
      <c r="AP43" s="2">
        <v>0.0001</v>
      </c>
      <c r="AQ43" s="2">
        <v>18</v>
      </c>
      <c r="AR43" s="2">
        <v>0</v>
      </c>
      <c r="AS43" s="2" t="s">
        <v>221</v>
      </c>
      <c r="AT43" s="2" t="s">
        <v>222</v>
      </c>
      <c r="AU43" s="102">
        <v>46276</v>
      </c>
      <c r="AV43" s="2">
        <v>249.74</v>
      </c>
      <c r="AW43" s="2" t="s">
        <v>223</v>
      </c>
      <c r="AX43" s="2" t="s">
        <v>223</v>
      </c>
      <c r="AY43" s="2">
        <v>2053.74</v>
      </c>
      <c r="AZ43" s="2" t="s">
        <v>224</v>
      </c>
      <c r="BA43" s="2" t="s">
        <v>343</v>
      </c>
      <c r="BB43" s="2">
        <v>249.74</v>
      </c>
      <c r="BC43" s="2">
        <v>219.77</v>
      </c>
      <c r="BD43" s="2">
        <v>249.74</v>
      </c>
      <c r="BE43" s="2">
        <v>29.97</v>
      </c>
      <c r="BF43" s="12">
        <v>0.12</v>
      </c>
      <c r="BG43" s="2">
        <v>0</v>
      </c>
      <c r="BH43" s="2">
        <v>64.202</v>
      </c>
      <c r="BI43" s="2">
        <v>181.6</v>
      </c>
      <c r="BJ43" s="2">
        <v>0</v>
      </c>
      <c r="BK43" s="2">
        <v>18</v>
      </c>
      <c r="BL43" s="2">
        <v>0</v>
      </c>
      <c r="BM43" s="2">
        <v>0</v>
      </c>
      <c r="BN43" s="2">
        <v>3.25</v>
      </c>
      <c r="BO43" s="2">
        <v>5.5</v>
      </c>
      <c r="BP43" s="2">
        <v>4.23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7.19</v>
      </c>
      <c r="CB43" s="2" t="s">
        <v>226</v>
      </c>
      <c r="CC43" s="2" t="s">
        <v>339</v>
      </c>
      <c r="CD43" s="2">
        <v>389.55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49.95</v>
      </c>
      <c r="CV43" s="2" t="s">
        <v>515</v>
      </c>
      <c r="CW43" s="2">
        <v>49.95</v>
      </c>
      <c r="CX43" s="198" t="s">
        <v>516</v>
      </c>
      <c r="CY43" s="2">
        <v>74.92</v>
      </c>
      <c r="CZ43" s="2" t="s">
        <v>301</v>
      </c>
      <c r="DA43" s="2">
        <f>CY43</f>
        <v>74.92</v>
      </c>
      <c r="DE43" s="2">
        <v>0</v>
      </c>
      <c r="DF43" s="2" t="s">
        <v>232</v>
      </c>
      <c r="DG43" s="2" t="s">
        <v>209</v>
      </c>
      <c r="DH43" s="2" t="s">
        <v>208</v>
      </c>
      <c r="DI43" s="2">
        <v>252895738</v>
      </c>
      <c r="DJ43" s="2" t="s">
        <v>211</v>
      </c>
      <c r="DK43" s="2">
        <v>0</v>
      </c>
      <c r="DL43" s="2" t="s">
        <v>201</v>
      </c>
      <c r="DM43" s="2">
        <v>29.97</v>
      </c>
    </row>
    <row r="44" s="2" customFormat="1" ht="12" spans="1:117">
      <c r="A44" s="2">
        <v>2</v>
      </c>
      <c r="B44" s="2" t="s">
        <v>551</v>
      </c>
      <c r="C44" s="2" t="s">
        <v>199</v>
      </c>
      <c r="D44" s="2" t="s">
        <v>200</v>
      </c>
      <c r="E44" s="2" t="s">
        <v>201</v>
      </c>
      <c r="F44" s="102">
        <v>46251</v>
      </c>
      <c r="G44" s="2" t="s">
        <v>202</v>
      </c>
      <c r="H44" s="2" t="s">
        <v>552</v>
      </c>
      <c r="I44" s="2" t="s">
        <v>204</v>
      </c>
      <c r="J44" s="2" t="s">
        <v>205</v>
      </c>
      <c r="K44" s="2" t="s">
        <v>206</v>
      </c>
      <c r="L44" s="2" t="s">
        <v>207</v>
      </c>
      <c r="M44" s="2">
        <v>892</v>
      </c>
      <c r="N44" s="2" t="s">
        <v>208</v>
      </c>
      <c r="O44" s="2" t="s">
        <v>209</v>
      </c>
      <c r="P44" s="2" t="s">
        <v>210</v>
      </c>
      <c r="Q44" s="2" t="s">
        <v>204</v>
      </c>
      <c r="R44" s="2" t="s">
        <v>205</v>
      </c>
      <c r="S44" s="2" t="s">
        <v>208</v>
      </c>
      <c r="T44" s="2" t="s">
        <v>209</v>
      </c>
      <c r="U44" s="2" t="s">
        <v>204</v>
      </c>
      <c r="V44" s="2" t="s">
        <v>205</v>
      </c>
      <c r="W44" s="2" t="s">
        <v>206</v>
      </c>
      <c r="X44" s="2" t="s">
        <v>207</v>
      </c>
      <c r="Y44" s="2" t="s">
        <v>208</v>
      </c>
      <c r="Z44" s="2" t="s">
        <v>209</v>
      </c>
      <c r="AA44" s="2" t="s">
        <v>211</v>
      </c>
      <c r="AB44" s="2" t="s">
        <v>212</v>
      </c>
      <c r="AC44" s="2" t="s">
        <v>553</v>
      </c>
      <c r="AD44" s="2" t="s">
        <v>554</v>
      </c>
      <c r="AE44" s="2">
        <v>350</v>
      </c>
      <c r="AF44" s="2" t="s">
        <v>306</v>
      </c>
      <c r="AG44" s="2" t="s">
        <v>410</v>
      </c>
      <c r="AH44" s="2" t="s">
        <v>218</v>
      </c>
      <c r="AI44" s="2" t="s">
        <v>553</v>
      </c>
      <c r="AJ44" s="2" t="s">
        <v>554</v>
      </c>
      <c r="AK44" s="2" t="s">
        <v>410</v>
      </c>
      <c r="AL44" s="2" t="s">
        <v>218</v>
      </c>
      <c r="AM44" s="2" t="s">
        <v>308</v>
      </c>
      <c r="AN44" s="198" t="s">
        <v>555</v>
      </c>
      <c r="AO44" s="2">
        <v>78.454</v>
      </c>
      <c r="AP44" s="2">
        <v>0.0001</v>
      </c>
      <c r="AQ44" s="2">
        <v>21</v>
      </c>
      <c r="AR44" s="2">
        <v>0</v>
      </c>
      <c r="AS44" s="2" t="s">
        <v>221</v>
      </c>
      <c r="AT44" s="2" t="s">
        <v>222</v>
      </c>
      <c r="AU44" s="102">
        <v>46276</v>
      </c>
      <c r="AV44" s="2">
        <v>264.83</v>
      </c>
      <c r="AW44" s="2" t="s">
        <v>223</v>
      </c>
      <c r="AX44" s="2" t="s">
        <v>223</v>
      </c>
      <c r="AY44" s="2">
        <v>2266.61</v>
      </c>
      <c r="AZ44" s="2" t="s">
        <v>224</v>
      </c>
      <c r="BA44" s="2" t="s">
        <v>299</v>
      </c>
      <c r="BB44" s="2">
        <v>264.83</v>
      </c>
      <c r="BC44" s="2">
        <v>233.05</v>
      </c>
      <c r="BD44" s="2">
        <v>264.83</v>
      </c>
      <c r="BE44" s="2">
        <v>31.78</v>
      </c>
      <c r="BF44" s="12">
        <v>0.12</v>
      </c>
      <c r="BG44" s="2">
        <v>0</v>
      </c>
      <c r="BH44" s="2">
        <v>78.454</v>
      </c>
      <c r="BI44" s="2">
        <v>193.99</v>
      </c>
      <c r="BJ44" s="2">
        <v>0</v>
      </c>
      <c r="BK44" s="2">
        <v>18</v>
      </c>
      <c r="BL44" s="2">
        <v>0</v>
      </c>
      <c r="BM44" s="2">
        <v>0</v>
      </c>
      <c r="BN44" s="2">
        <v>3.4</v>
      </c>
      <c r="BO44" s="2">
        <v>5.5</v>
      </c>
      <c r="BP44" s="2">
        <v>4.23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7.93</v>
      </c>
      <c r="CB44" s="2" t="s">
        <v>226</v>
      </c>
      <c r="CC44" s="2" t="s">
        <v>300</v>
      </c>
      <c r="CD44" s="2">
        <v>392.63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52.97</v>
      </c>
      <c r="CV44" s="2" t="s">
        <v>515</v>
      </c>
      <c r="CW44" s="2">
        <v>52.97</v>
      </c>
      <c r="CX44" s="198" t="s">
        <v>516</v>
      </c>
      <c r="CY44" s="2">
        <v>97.19</v>
      </c>
      <c r="CZ44" s="2" t="s">
        <v>537</v>
      </c>
      <c r="DA44" s="2">
        <v>97.19</v>
      </c>
      <c r="DB44" s="198" t="s">
        <v>538</v>
      </c>
      <c r="DE44" s="2">
        <v>0</v>
      </c>
      <c r="DF44" s="2" t="s">
        <v>232</v>
      </c>
      <c r="DG44" s="2" t="s">
        <v>209</v>
      </c>
      <c r="DH44" s="2" t="s">
        <v>208</v>
      </c>
      <c r="DI44" s="2">
        <v>252895738</v>
      </c>
      <c r="DJ44" s="2" t="s">
        <v>211</v>
      </c>
      <c r="DK44" s="2">
        <v>0</v>
      </c>
      <c r="DL44" s="2" t="s">
        <v>201</v>
      </c>
      <c r="DM44" s="2">
        <v>31.78</v>
      </c>
    </row>
    <row r="45" s="2" customFormat="1" ht="12" spans="1:117">
      <c r="A45" s="2">
        <v>2</v>
      </c>
      <c r="B45" s="2" t="s">
        <v>556</v>
      </c>
      <c r="C45" s="2" t="s">
        <v>199</v>
      </c>
      <c r="D45" s="2" t="s">
        <v>200</v>
      </c>
      <c r="E45" s="2" t="s">
        <v>201</v>
      </c>
      <c r="F45" s="102">
        <v>46251</v>
      </c>
      <c r="G45" s="2" t="s">
        <v>202</v>
      </c>
      <c r="H45" s="2" t="s">
        <v>557</v>
      </c>
      <c r="I45" s="2" t="s">
        <v>204</v>
      </c>
      <c r="J45" s="2" t="s">
        <v>205</v>
      </c>
      <c r="K45" s="2" t="s">
        <v>206</v>
      </c>
      <c r="L45" s="2" t="s">
        <v>207</v>
      </c>
      <c r="M45" s="2">
        <v>892</v>
      </c>
      <c r="N45" s="2" t="s">
        <v>208</v>
      </c>
      <c r="O45" s="2" t="s">
        <v>209</v>
      </c>
      <c r="P45" s="2" t="s">
        <v>210</v>
      </c>
      <c r="Q45" s="2" t="s">
        <v>204</v>
      </c>
      <c r="R45" s="2" t="s">
        <v>205</v>
      </c>
      <c r="S45" s="2" t="s">
        <v>208</v>
      </c>
      <c r="T45" s="2" t="s">
        <v>209</v>
      </c>
      <c r="U45" s="2" t="s">
        <v>204</v>
      </c>
      <c r="V45" s="2" t="s">
        <v>205</v>
      </c>
      <c r="W45" s="2" t="s">
        <v>206</v>
      </c>
      <c r="X45" s="2" t="s">
        <v>207</v>
      </c>
      <c r="Y45" s="2" t="s">
        <v>208</v>
      </c>
      <c r="Z45" s="2" t="s">
        <v>209</v>
      </c>
      <c r="AA45" s="2" t="s">
        <v>211</v>
      </c>
      <c r="AB45" s="2" t="s">
        <v>212</v>
      </c>
      <c r="AC45" s="2" t="s">
        <v>558</v>
      </c>
      <c r="AD45" s="2" t="s">
        <v>559</v>
      </c>
      <c r="AE45" s="2" t="s">
        <v>560</v>
      </c>
      <c r="AF45" s="2" t="s">
        <v>259</v>
      </c>
      <c r="AG45" s="2" t="s">
        <v>561</v>
      </c>
      <c r="AH45" s="2" t="s">
        <v>218</v>
      </c>
      <c r="AI45" s="2" t="s">
        <v>558</v>
      </c>
      <c r="AJ45" s="2" t="s">
        <v>559</v>
      </c>
      <c r="AK45" s="2" t="s">
        <v>561</v>
      </c>
      <c r="AL45" s="2" t="s">
        <v>218</v>
      </c>
      <c r="AM45" s="2" t="s">
        <v>261</v>
      </c>
      <c r="AN45" s="198" t="s">
        <v>562</v>
      </c>
      <c r="AO45" s="2">
        <v>126.4</v>
      </c>
      <c r="AP45" s="2">
        <v>0.0001</v>
      </c>
      <c r="AQ45" s="2">
        <v>40</v>
      </c>
      <c r="AR45" s="2">
        <v>0</v>
      </c>
      <c r="AS45" s="2" t="s">
        <v>221</v>
      </c>
      <c r="AT45" s="2" t="s">
        <v>222</v>
      </c>
      <c r="AU45" s="102">
        <v>46276</v>
      </c>
      <c r="AV45" s="2">
        <v>265.92</v>
      </c>
      <c r="AW45" s="2" t="s">
        <v>223</v>
      </c>
      <c r="AX45" s="2" t="s">
        <v>223</v>
      </c>
      <c r="AY45" s="2">
        <v>2106.3</v>
      </c>
      <c r="AZ45" s="2" t="s">
        <v>224</v>
      </c>
      <c r="BA45" s="2" t="s">
        <v>263</v>
      </c>
      <c r="BB45" s="2">
        <v>265.92</v>
      </c>
      <c r="BC45" s="2">
        <v>234.01</v>
      </c>
      <c r="BD45" s="2">
        <v>265.92</v>
      </c>
      <c r="BE45" s="2">
        <v>31.91</v>
      </c>
      <c r="BF45" s="12">
        <v>0.12</v>
      </c>
      <c r="BG45" s="2">
        <v>0</v>
      </c>
      <c r="BH45" s="2">
        <v>126.4</v>
      </c>
      <c r="BI45" s="2">
        <v>190.16</v>
      </c>
      <c r="BJ45" s="2">
        <v>0</v>
      </c>
      <c r="BK45" s="2">
        <v>18</v>
      </c>
      <c r="BL45" s="2">
        <v>0</v>
      </c>
      <c r="BM45" s="2">
        <v>0</v>
      </c>
      <c r="BN45" s="2">
        <v>3.25</v>
      </c>
      <c r="BO45" s="2">
        <v>11</v>
      </c>
      <c r="BP45" s="2">
        <v>4.23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7.37</v>
      </c>
      <c r="CB45" s="2" t="s">
        <v>226</v>
      </c>
      <c r="CC45" s="2" t="s">
        <v>259</v>
      </c>
      <c r="CD45" s="2">
        <v>390.31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53.18</v>
      </c>
      <c r="CV45" s="2" t="s">
        <v>515</v>
      </c>
      <c r="CW45" s="2">
        <v>53.18</v>
      </c>
      <c r="CX45" s="198" t="s">
        <v>516</v>
      </c>
      <c r="CY45" s="2">
        <v>17.7</v>
      </c>
      <c r="CZ45" s="2" t="s">
        <v>508</v>
      </c>
      <c r="DA45" s="2">
        <v>0</v>
      </c>
      <c r="DE45" s="2">
        <v>0</v>
      </c>
      <c r="DF45" s="2" t="s">
        <v>232</v>
      </c>
      <c r="DG45" s="2" t="s">
        <v>209</v>
      </c>
      <c r="DH45" s="2" t="s">
        <v>208</v>
      </c>
      <c r="DI45" s="2">
        <v>252895738</v>
      </c>
      <c r="DJ45" s="2" t="s">
        <v>211</v>
      </c>
      <c r="DK45" s="2">
        <v>0</v>
      </c>
      <c r="DL45" s="2" t="s">
        <v>201</v>
      </c>
      <c r="DM45" s="2">
        <v>31.91</v>
      </c>
    </row>
    <row r="46" s="2" customFormat="1" ht="12" spans="1:117">
      <c r="A46" s="2">
        <v>2</v>
      </c>
      <c r="B46" s="2" t="s">
        <v>563</v>
      </c>
      <c r="C46" s="2" t="s">
        <v>199</v>
      </c>
      <c r="D46" s="2" t="s">
        <v>200</v>
      </c>
      <c r="E46" s="2" t="s">
        <v>201</v>
      </c>
      <c r="F46" s="102">
        <v>46253</v>
      </c>
      <c r="G46" s="2" t="s">
        <v>202</v>
      </c>
      <c r="H46" s="2" t="s">
        <v>564</v>
      </c>
      <c r="I46" s="2" t="s">
        <v>204</v>
      </c>
      <c r="J46" s="2" t="s">
        <v>205</v>
      </c>
      <c r="K46" s="2" t="s">
        <v>206</v>
      </c>
      <c r="L46" s="2" t="s">
        <v>207</v>
      </c>
      <c r="M46" s="2">
        <v>892</v>
      </c>
      <c r="N46" s="2" t="s">
        <v>208</v>
      </c>
      <c r="O46" s="2" t="s">
        <v>209</v>
      </c>
      <c r="P46" s="2" t="s">
        <v>210</v>
      </c>
      <c r="Q46" s="2" t="s">
        <v>204</v>
      </c>
      <c r="R46" s="2" t="s">
        <v>205</v>
      </c>
      <c r="S46" s="2" t="s">
        <v>208</v>
      </c>
      <c r="T46" s="2" t="s">
        <v>209</v>
      </c>
      <c r="U46" s="2" t="s">
        <v>204</v>
      </c>
      <c r="V46" s="2" t="s">
        <v>205</v>
      </c>
      <c r="W46" s="2" t="s">
        <v>206</v>
      </c>
      <c r="X46" s="2" t="s">
        <v>207</v>
      </c>
      <c r="Y46" s="2" t="s">
        <v>208</v>
      </c>
      <c r="Z46" s="2" t="s">
        <v>209</v>
      </c>
      <c r="AA46" s="2" t="s">
        <v>211</v>
      </c>
      <c r="AB46" s="2" t="s">
        <v>212</v>
      </c>
      <c r="AC46" s="2" t="s">
        <v>565</v>
      </c>
      <c r="AD46" s="2" t="s">
        <v>566</v>
      </c>
      <c r="AE46" s="2">
        <v>367</v>
      </c>
      <c r="AF46" s="2" t="s">
        <v>325</v>
      </c>
      <c r="AG46" s="2" t="s">
        <v>567</v>
      </c>
      <c r="AH46" s="2" t="s">
        <v>218</v>
      </c>
      <c r="AI46" s="2" t="s">
        <v>565</v>
      </c>
      <c r="AJ46" s="2" t="s">
        <v>566</v>
      </c>
      <c r="AK46" s="2" t="s">
        <v>567</v>
      </c>
      <c r="AL46" s="2" t="s">
        <v>218</v>
      </c>
      <c r="AM46" s="2" t="s">
        <v>371</v>
      </c>
      <c r="AN46" s="198" t="s">
        <v>568</v>
      </c>
      <c r="AO46" s="2">
        <v>51.888</v>
      </c>
      <c r="AP46" s="2">
        <v>0.0001</v>
      </c>
      <c r="AQ46" s="2">
        <v>24</v>
      </c>
      <c r="AR46" s="2">
        <v>0</v>
      </c>
      <c r="AS46" s="2" t="s">
        <v>221</v>
      </c>
      <c r="AT46" s="2" t="s">
        <v>222</v>
      </c>
      <c r="AU46" s="102">
        <v>46276</v>
      </c>
      <c r="AV46" s="2">
        <v>254.52</v>
      </c>
      <c r="AW46" s="2" t="s">
        <v>223</v>
      </c>
      <c r="AX46" s="2" t="s">
        <v>223</v>
      </c>
      <c r="AY46" s="2">
        <v>6233.01</v>
      </c>
      <c r="AZ46" s="2" t="s">
        <v>224</v>
      </c>
      <c r="BA46" s="2" t="s">
        <v>324</v>
      </c>
      <c r="BB46" s="2">
        <v>254.52</v>
      </c>
      <c r="BC46" s="2">
        <v>223.98</v>
      </c>
      <c r="BD46" s="2">
        <v>254.52</v>
      </c>
      <c r="BE46" s="2">
        <v>30.54</v>
      </c>
      <c r="BF46" s="12">
        <v>0.12</v>
      </c>
      <c r="BG46" s="2">
        <v>0</v>
      </c>
      <c r="BH46" s="2">
        <v>51.888</v>
      </c>
      <c r="BI46" s="2">
        <v>165.08</v>
      </c>
      <c r="BJ46" s="2">
        <v>0</v>
      </c>
      <c r="BK46" s="2">
        <v>18</v>
      </c>
      <c r="BL46" s="2">
        <v>0</v>
      </c>
      <c r="BM46" s="2">
        <v>0</v>
      </c>
      <c r="BN46" s="2">
        <v>9.35</v>
      </c>
      <c r="BO46" s="2">
        <v>5.5</v>
      </c>
      <c r="BP46" s="2">
        <v>4.23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21.82</v>
      </c>
      <c r="CB46" s="2" t="s">
        <v>226</v>
      </c>
      <c r="CC46" s="2" t="s">
        <v>325</v>
      </c>
      <c r="CD46" s="2">
        <v>450.16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50.9</v>
      </c>
      <c r="CV46" s="2" t="s">
        <v>515</v>
      </c>
      <c r="CW46" s="2">
        <v>50.9</v>
      </c>
      <c r="CX46" s="198" t="s">
        <v>516</v>
      </c>
      <c r="CY46" s="2">
        <v>42</v>
      </c>
      <c r="CZ46" s="2" t="s">
        <v>460</v>
      </c>
      <c r="DA46" s="2">
        <v>42</v>
      </c>
      <c r="DB46" s="198" t="s">
        <v>461</v>
      </c>
      <c r="DE46" s="2">
        <v>0</v>
      </c>
      <c r="DF46" s="2" t="s">
        <v>232</v>
      </c>
      <c r="DG46" s="2" t="s">
        <v>209</v>
      </c>
      <c r="DH46" s="2" t="s">
        <v>208</v>
      </c>
      <c r="DI46" s="2">
        <v>252895738</v>
      </c>
      <c r="DJ46" s="2" t="s">
        <v>211</v>
      </c>
      <c r="DK46" s="2">
        <v>0</v>
      </c>
      <c r="DL46" s="2" t="s">
        <v>201</v>
      </c>
      <c r="DM46" s="2">
        <v>30.54</v>
      </c>
    </row>
    <row r="47" s="2" customFormat="1" ht="12" spans="1:117">
      <c r="A47" s="2">
        <v>2</v>
      </c>
      <c r="B47" s="2" t="s">
        <v>569</v>
      </c>
      <c r="C47" s="2" t="s">
        <v>199</v>
      </c>
      <c r="D47" s="2" t="s">
        <v>200</v>
      </c>
      <c r="E47" s="2" t="s">
        <v>201</v>
      </c>
      <c r="F47" s="102">
        <v>46253</v>
      </c>
      <c r="G47" s="2" t="s">
        <v>202</v>
      </c>
      <c r="H47" s="2" t="s">
        <v>570</v>
      </c>
      <c r="I47" s="2" t="s">
        <v>204</v>
      </c>
      <c r="J47" s="2" t="s">
        <v>205</v>
      </c>
      <c r="K47" s="2" t="s">
        <v>206</v>
      </c>
      <c r="L47" s="2" t="s">
        <v>207</v>
      </c>
      <c r="M47" s="2">
        <v>892</v>
      </c>
      <c r="N47" s="2" t="s">
        <v>208</v>
      </c>
      <c r="O47" s="2" t="s">
        <v>209</v>
      </c>
      <c r="P47" s="2" t="s">
        <v>210</v>
      </c>
      <c r="Q47" s="2" t="s">
        <v>204</v>
      </c>
      <c r="R47" s="2" t="s">
        <v>205</v>
      </c>
      <c r="S47" s="2" t="s">
        <v>208</v>
      </c>
      <c r="T47" s="2" t="s">
        <v>209</v>
      </c>
      <c r="U47" s="2" t="s">
        <v>204</v>
      </c>
      <c r="V47" s="2" t="s">
        <v>205</v>
      </c>
      <c r="W47" s="2" t="s">
        <v>206</v>
      </c>
      <c r="X47" s="2" t="s">
        <v>207</v>
      </c>
      <c r="Y47" s="2" t="s">
        <v>208</v>
      </c>
      <c r="Z47" s="2" t="s">
        <v>209</v>
      </c>
      <c r="AA47" s="2" t="s">
        <v>211</v>
      </c>
      <c r="AB47" s="2" t="s">
        <v>212</v>
      </c>
      <c r="AC47" s="2" t="s">
        <v>571</v>
      </c>
      <c r="AD47" s="2" t="s">
        <v>572</v>
      </c>
      <c r="AE47" s="2">
        <v>386</v>
      </c>
      <c r="AF47" s="2" t="s">
        <v>246</v>
      </c>
      <c r="AG47" s="2" t="s">
        <v>573</v>
      </c>
      <c r="AH47" s="2" t="s">
        <v>218</v>
      </c>
      <c r="AI47" s="2" t="s">
        <v>571</v>
      </c>
      <c r="AJ47" s="2" t="s">
        <v>572</v>
      </c>
      <c r="AK47" s="2" t="s">
        <v>573</v>
      </c>
      <c r="AL47" s="2" t="s">
        <v>218</v>
      </c>
      <c r="AM47" s="2" t="s">
        <v>248</v>
      </c>
      <c r="AN47" s="198" t="s">
        <v>574</v>
      </c>
      <c r="AO47" s="2">
        <v>79.274</v>
      </c>
      <c r="AP47" s="2">
        <v>0.0001</v>
      </c>
      <c r="AQ47" s="2">
        <v>18</v>
      </c>
      <c r="AR47" s="2">
        <v>0</v>
      </c>
      <c r="AS47" s="2" t="s">
        <v>221</v>
      </c>
      <c r="AT47" s="2" t="s">
        <v>222</v>
      </c>
      <c r="AU47" s="102">
        <v>46276</v>
      </c>
      <c r="AV47" s="2">
        <v>321.66</v>
      </c>
      <c r="AW47" s="2" t="s">
        <v>223</v>
      </c>
      <c r="AX47" s="2" t="s">
        <v>223</v>
      </c>
      <c r="AY47" s="2">
        <v>2269.38</v>
      </c>
      <c r="AZ47" s="2" t="s">
        <v>224</v>
      </c>
      <c r="BA47" s="2" t="s">
        <v>250</v>
      </c>
      <c r="BB47" s="2">
        <v>321.66</v>
      </c>
      <c r="BC47" s="2">
        <v>283.06</v>
      </c>
      <c r="BD47" s="2">
        <v>321.66</v>
      </c>
      <c r="BE47" s="2">
        <v>38.6</v>
      </c>
      <c r="BF47" s="12">
        <v>0.12</v>
      </c>
      <c r="BG47" s="2">
        <v>0</v>
      </c>
      <c r="BH47" s="2">
        <v>79.274</v>
      </c>
      <c r="BI47" s="2">
        <v>193.99</v>
      </c>
      <c r="BJ47" s="2">
        <v>0</v>
      </c>
      <c r="BK47" s="2">
        <v>18</v>
      </c>
      <c r="BL47" s="2">
        <v>0</v>
      </c>
      <c r="BM47" s="2">
        <v>0</v>
      </c>
      <c r="BN47" s="2">
        <v>3.4</v>
      </c>
      <c r="BO47" s="2">
        <v>5.5</v>
      </c>
      <c r="BP47" s="2">
        <v>4.23</v>
      </c>
      <c r="BQ47" s="2">
        <v>50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7.94</v>
      </c>
      <c r="CB47" s="2" t="s">
        <v>226</v>
      </c>
      <c r="CC47" s="2" t="s">
        <v>251</v>
      </c>
      <c r="CD47" s="2">
        <v>392.65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64.33</v>
      </c>
      <c r="CV47" s="2" t="s">
        <v>515</v>
      </c>
      <c r="CW47" s="2">
        <v>64.33</v>
      </c>
      <c r="CX47" s="198" t="s">
        <v>516</v>
      </c>
      <c r="CY47" s="2">
        <v>51</v>
      </c>
      <c r="CZ47" s="2" t="s">
        <v>575</v>
      </c>
      <c r="DA47" s="2">
        <v>96</v>
      </c>
      <c r="DB47" s="198" t="s">
        <v>576</v>
      </c>
      <c r="DE47" s="2">
        <v>0</v>
      </c>
      <c r="DF47" s="2" t="s">
        <v>232</v>
      </c>
      <c r="DG47" s="2" t="s">
        <v>209</v>
      </c>
      <c r="DH47" s="2" t="s">
        <v>208</v>
      </c>
      <c r="DI47" s="2">
        <v>252895738</v>
      </c>
      <c r="DJ47" s="2" t="s">
        <v>211</v>
      </c>
      <c r="DK47" s="2">
        <v>0</v>
      </c>
      <c r="DL47" s="2" t="s">
        <v>201</v>
      </c>
      <c r="DM47" s="2">
        <v>38.6</v>
      </c>
    </row>
    <row r="48" s="2" customFormat="1" ht="12" spans="1:117">
      <c r="A48" s="2">
        <v>2</v>
      </c>
      <c r="B48" s="2" t="s">
        <v>577</v>
      </c>
      <c r="C48" s="2" t="s">
        <v>578</v>
      </c>
      <c r="D48" s="2" t="s">
        <v>200</v>
      </c>
      <c r="E48" s="2" t="s">
        <v>201</v>
      </c>
      <c r="F48" s="102">
        <v>46253</v>
      </c>
      <c r="G48" s="2" t="s">
        <v>202</v>
      </c>
      <c r="H48" s="2" t="s">
        <v>579</v>
      </c>
      <c r="I48" s="2" t="s">
        <v>204</v>
      </c>
      <c r="J48" s="2" t="s">
        <v>205</v>
      </c>
      <c r="K48" s="2" t="s">
        <v>206</v>
      </c>
      <c r="L48" s="2" t="s">
        <v>207</v>
      </c>
      <c r="M48" s="2">
        <v>892</v>
      </c>
      <c r="N48" s="2" t="s">
        <v>208</v>
      </c>
      <c r="O48" s="2" t="s">
        <v>209</v>
      </c>
      <c r="P48" s="2" t="s">
        <v>210</v>
      </c>
      <c r="Q48" s="2" t="s">
        <v>204</v>
      </c>
      <c r="R48" s="2" t="s">
        <v>205</v>
      </c>
      <c r="S48" s="2" t="s">
        <v>208</v>
      </c>
      <c r="T48" s="2" t="s">
        <v>209</v>
      </c>
      <c r="U48" s="2" t="s">
        <v>204</v>
      </c>
      <c r="V48" s="2" t="s">
        <v>205</v>
      </c>
      <c r="W48" s="2" t="s">
        <v>206</v>
      </c>
      <c r="X48" s="2" t="s">
        <v>207</v>
      </c>
      <c r="Y48" s="2" t="s">
        <v>208</v>
      </c>
      <c r="Z48" s="2" t="s">
        <v>209</v>
      </c>
      <c r="AA48" s="2" t="s">
        <v>211</v>
      </c>
      <c r="AB48" s="2" t="s">
        <v>212</v>
      </c>
      <c r="AC48" s="2" t="s">
        <v>580</v>
      </c>
      <c r="AD48" s="2" t="s">
        <v>581</v>
      </c>
      <c r="AE48" s="2">
        <v>354</v>
      </c>
      <c r="AF48" s="2" t="s">
        <v>582</v>
      </c>
      <c r="AG48" s="2" t="s">
        <v>583</v>
      </c>
      <c r="AH48" s="2" t="s">
        <v>218</v>
      </c>
      <c r="AI48" s="2" t="s">
        <v>580</v>
      </c>
      <c r="AJ48" s="2" t="s">
        <v>581</v>
      </c>
      <c r="AK48" s="2" t="s">
        <v>583</v>
      </c>
      <c r="AL48" s="2" t="s">
        <v>218</v>
      </c>
      <c r="AM48" s="2" t="s">
        <v>584</v>
      </c>
      <c r="AN48" s="198" t="s">
        <v>585</v>
      </c>
      <c r="AO48" s="2">
        <v>3982.8</v>
      </c>
      <c r="AP48" s="2">
        <v>0.0001</v>
      </c>
      <c r="AQ48" s="2">
        <v>8</v>
      </c>
      <c r="AR48" s="2">
        <v>0</v>
      </c>
      <c r="AS48" s="2" t="s">
        <v>221</v>
      </c>
      <c r="AT48" s="2" t="s">
        <v>222</v>
      </c>
      <c r="AU48" s="102">
        <v>46276</v>
      </c>
      <c r="AV48" s="2">
        <v>6998.14</v>
      </c>
      <c r="AW48" s="2" t="s">
        <v>223</v>
      </c>
      <c r="AX48" s="2" t="s">
        <v>223</v>
      </c>
      <c r="AY48" s="2">
        <v>82426.88</v>
      </c>
      <c r="AZ48" s="2" t="s">
        <v>224</v>
      </c>
      <c r="BA48" s="2" t="s">
        <v>324</v>
      </c>
      <c r="BB48" s="2">
        <v>6998.14</v>
      </c>
      <c r="BC48" s="2">
        <v>6158.36</v>
      </c>
      <c r="BD48" s="2">
        <v>6998.14</v>
      </c>
      <c r="BE48" s="2">
        <v>839.78</v>
      </c>
      <c r="BF48" s="12">
        <v>0.12</v>
      </c>
      <c r="BG48" s="2">
        <v>0</v>
      </c>
      <c r="BH48" s="2">
        <v>3982.8</v>
      </c>
      <c r="BI48" s="2">
        <v>5224</v>
      </c>
      <c r="BJ48" s="2">
        <v>0</v>
      </c>
      <c r="BK48" s="2">
        <v>18</v>
      </c>
      <c r="BL48" s="2">
        <v>0</v>
      </c>
      <c r="BM48" s="2">
        <v>0</v>
      </c>
      <c r="BN48" s="2">
        <v>123.64</v>
      </c>
      <c r="BO48" s="2">
        <v>220</v>
      </c>
      <c r="BP48" s="2">
        <v>4.23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280</v>
      </c>
      <c r="BY48" s="2">
        <v>0</v>
      </c>
      <c r="BZ48" s="2">
        <v>0</v>
      </c>
      <c r="CA48" s="2">
        <v>288.49</v>
      </c>
      <c r="CB48" s="2" t="s">
        <v>226</v>
      </c>
      <c r="CC48" s="2" t="s">
        <v>325</v>
      </c>
      <c r="CD48" s="2">
        <v>14795.22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1399.63</v>
      </c>
      <c r="CV48" s="2" t="s">
        <v>515</v>
      </c>
      <c r="CW48" s="2">
        <v>1399.63</v>
      </c>
      <c r="CX48" s="198" t="s">
        <v>516</v>
      </c>
      <c r="CY48" s="2">
        <v>0</v>
      </c>
      <c r="DA48" s="2">
        <v>0</v>
      </c>
      <c r="DE48" s="2">
        <v>0</v>
      </c>
      <c r="DF48" s="2" t="s">
        <v>232</v>
      </c>
      <c r="DG48" s="2" t="s">
        <v>209</v>
      </c>
      <c r="DH48" s="2" t="s">
        <v>208</v>
      </c>
      <c r="DI48" s="2">
        <v>252895738</v>
      </c>
      <c r="DJ48" s="2" t="s">
        <v>211</v>
      </c>
      <c r="DK48" s="2">
        <v>0</v>
      </c>
      <c r="DL48" s="2" t="s">
        <v>201</v>
      </c>
      <c r="DM48" s="2">
        <v>839.78</v>
      </c>
    </row>
    <row r="49" s="2" customFormat="1" ht="12" spans="1:117">
      <c r="A49" s="2">
        <v>2</v>
      </c>
      <c r="B49" s="2" t="s">
        <v>586</v>
      </c>
      <c r="C49" s="2" t="s">
        <v>199</v>
      </c>
      <c r="D49" s="2" t="s">
        <v>200</v>
      </c>
      <c r="E49" s="2" t="s">
        <v>201</v>
      </c>
      <c r="F49" s="102">
        <v>46253</v>
      </c>
      <c r="G49" s="2" t="s">
        <v>202</v>
      </c>
      <c r="H49" s="2" t="s">
        <v>587</v>
      </c>
      <c r="I49" s="2" t="s">
        <v>204</v>
      </c>
      <c r="J49" s="2" t="s">
        <v>205</v>
      </c>
      <c r="K49" s="2" t="s">
        <v>206</v>
      </c>
      <c r="L49" s="2" t="s">
        <v>207</v>
      </c>
      <c r="M49" s="2">
        <v>892</v>
      </c>
      <c r="N49" s="2" t="s">
        <v>208</v>
      </c>
      <c r="O49" s="2" t="s">
        <v>209</v>
      </c>
      <c r="P49" s="2" t="s">
        <v>210</v>
      </c>
      <c r="Q49" s="2" t="s">
        <v>204</v>
      </c>
      <c r="R49" s="2" t="s">
        <v>205</v>
      </c>
      <c r="S49" s="2" t="s">
        <v>208</v>
      </c>
      <c r="T49" s="2" t="s">
        <v>209</v>
      </c>
      <c r="U49" s="2" t="s">
        <v>204</v>
      </c>
      <c r="V49" s="2" t="s">
        <v>205</v>
      </c>
      <c r="W49" s="2" t="s">
        <v>206</v>
      </c>
      <c r="X49" s="2" t="s">
        <v>207</v>
      </c>
      <c r="Y49" s="2" t="s">
        <v>208</v>
      </c>
      <c r="Z49" s="2" t="s">
        <v>209</v>
      </c>
      <c r="AA49" s="2" t="s">
        <v>211</v>
      </c>
      <c r="AB49" s="2" t="s">
        <v>212</v>
      </c>
      <c r="AC49" s="2" t="s">
        <v>588</v>
      </c>
      <c r="AD49" s="2" t="s">
        <v>589</v>
      </c>
      <c r="AE49" s="2">
        <v>383</v>
      </c>
      <c r="AF49" s="2" t="s">
        <v>498</v>
      </c>
      <c r="AG49" s="2" t="s">
        <v>590</v>
      </c>
      <c r="AH49" s="2" t="s">
        <v>218</v>
      </c>
      <c r="AI49" s="2" t="s">
        <v>588</v>
      </c>
      <c r="AJ49" s="2" t="s">
        <v>589</v>
      </c>
      <c r="AK49" s="2" t="s">
        <v>590</v>
      </c>
      <c r="AL49" s="2" t="s">
        <v>218</v>
      </c>
      <c r="AM49" s="2" t="s">
        <v>500</v>
      </c>
      <c r="AN49" s="198" t="s">
        <v>591</v>
      </c>
      <c r="AO49" s="2">
        <v>65.55</v>
      </c>
      <c r="AP49" s="2">
        <v>0.0001</v>
      </c>
      <c r="AQ49" s="2">
        <v>11</v>
      </c>
      <c r="AR49" s="2">
        <v>0</v>
      </c>
      <c r="AS49" s="2" t="s">
        <v>221</v>
      </c>
      <c r="AT49" s="2" t="s">
        <v>222</v>
      </c>
      <c r="AU49" s="102">
        <v>46276</v>
      </c>
      <c r="AV49" s="2">
        <v>247.84</v>
      </c>
      <c r="AW49" s="2" t="s">
        <v>223</v>
      </c>
      <c r="AX49" s="2" t="s">
        <v>223</v>
      </c>
      <c r="AY49" s="2">
        <v>1577.76</v>
      </c>
      <c r="AZ49" s="2" t="s">
        <v>224</v>
      </c>
      <c r="BA49" s="2" t="s">
        <v>250</v>
      </c>
      <c r="BB49" s="2">
        <v>247.84</v>
      </c>
      <c r="BC49" s="2">
        <v>218.1</v>
      </c>
      <c r="BD49" s="2">
        <v>247.84</v>
      </c>
      <c r="BE49" s="2">
        <v>29.74</v>
      </c>
      <c r="BF49" s="12">
        <v>0.12</v>
      </c>
      <c r="BG49" s="2">
        <v>0</v>
      </c>
      <c r="BH49" s="2">
        <v>65.55</v>
      </c>
      <c r="BI49" s="2">
        <v>181.6</v>
      </c>
      <c r="BJ49" s="2">
        <v>0</v>
      </c>
      <c r="BK49" s="2">
        <v>18</v>
      </c>
      <c r="BL49" s="2">
        <v>0</v>
      </c>
      <c r="BM49" s="2">
        <v>0</v>
      </c>
      <c r="BN49" s="2">
        <v>3.25</v>
      </c>
      <c r="BO49" s="2">
        <v>5.5</v>
      </c>
      <c r="BP49" s="2">
        <v>4.23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5.52</v>
      </c>
      <c r="CB49" s="2" t="s">
        <v>226</v>
      </c>
      <c r="CC49" s="2" t="s">
        <v>251</v>
      </c>
      <c r="CD49" s="2">
        <v>383.53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49.57</v>
      </c>
      <c r="CV49" s="2" t="s">
        <v>515</v>
      </c>
      <c r="CW49" s="2">
        <v>49.57</v>
      </c>
      <c r="CX49" s="198" t="s">
        <v>516</v>
      </c>
      <c r="CY49" s="2">
        <v>111.53</v>
      </c>
      <c r="CZ49" s="2" t="s">
        <v>592</v>
      </c>
      <c r="DA49" s="2">
        <v>94.66</v>
      </c>
      <c r="DB49" s="2">
        <v>233142</v>
      </c>
      <c r="DE49" s="2">
        <v>0</v>
      </c>
      <c r="DF49" s="2" t="s">
        <v>232</v>
      </c>
      <c r="DG49" s="2" t="s">
        <v>209</v>
      </c>
      <c r="DH49" s="2" t="s">
        <v>208</v>
      </c>
      <c r="DI49" s="2">
        <v>252895738</v>
      </c>
      <c r="DJ49" s="2" t="s">
        <v>211</v>
      </c>
      <c r="DK49" s="2">
        <v>0</v>
      </c>
      <c r="DL49" s="2" t="s">
        <v>201</v>
      </c>
      <c r="DM49" s="2">
        <v>29.74</v>
      </c>
    </row>
    <row r="50" s="2" customFormat="1" ht="12" spans="1:117">
      <c r="A50" s="2">
        <v>2</v>
      </c>
      <c r="B50" s="2" t="s">
        <v>593</v>
      </c>
      <c r="C50" s="2" t="s">
        <v>199</v>
      </c>
      <c r="D50" s="2" t="s">
        <v>200</v>
      </c>
      <c r="E50" s="2" t="s">
        <v>201</v>
      </c>
      <c r="F50" s="102">
        <v>46253</v>
      </c>
      <c r="G50" s="2" t="s">
        <v>202</v>
      </c>
      <c r="H50" s="2" t="s">
        <v>594</v>
      </c>
      <c r="I50" s="2" t="s">
        <v>204</v>
      </c>
      <c r="J50" s="2" t="s">
        <v>205</v>
      </c>
      <c r="K50" s="2" t="s">
        <v>206</v>
      </c>
      <c r="L50" s="2" t="s">
        <v>207</v>
      </c>
      <c r="M50" s="2">
        <v>892</v>
      </c>
      <c r="N50" s="2" t="s">
        <v>208</v>
      </c>
      <c r="O50" s="2" t="s">
        <v>209</v>
      </c>
      <c r="P50" s="2" t="s">
        <v>210</v>
      </c>
      <c r="Q50" s="2" t="s">
        <v>204</v>
      </c>
      <c r="R50" s="2" t="s">
        <v>205</v>
      </c>
      <c r="S50" s="2" t="s">
        <v>208</v>
      </c>
      <c r="T50" s="2" t="s">
        <v>209</v>
      </c>
      <c r="U50" s="2" t="s">
        <v>204</v>
      </c>
      <c r="V50" s="2" t="s">
        <v>205</v>
      </c>
      <c r="W50" s="2" t="s">
        <v>206</v>
      </c>
      <c r="X50" s="2" t="s">
        <v>207</v>
      </c>
      <c r="Y50" s="2" t="s">
        <v>208</v>
      </c>
      <c r="Z50" s="2" t="s">
        <v>209</v>
      </c>
      <c r="AA50" s="2" t="s">
        <v>211</v>
      </c>
      <c r="AB50" s="2" t="s">
        <v>212</v>
      </c>
      <c r="AC50" s="2" t="s">
        <v>595</v>
      </c>
      <c r="AD50" s="2" t="s">
        <v>596</v>
      </c>
      <c r="AE50" s="2">
        <v>365</v>
      </c>
      <c r="AF50" s="2" t="s">
        <v>456</v>
      </c>
      <c r="AG50" s="2" t="s">
        <v>597</v>
      </c>
      <c r="AH50" s="2" t="s">
        <v>218</v>
      </c>
      <c r="AI50" s="2" t="s">
        <v>595</v>
      </c>
      <c r="AJ50" s="2" t="s">
        <v>596</v>
      </c>
      <c r="AK50" s="2" t="s">
        <v>597</v>
      </c>
      <c r="AL50" s="2" t="s">
        <v>218</v>
      </c>
      <c r="AM50" s="2" t="s">
        <v>371</v>
      </c>
      <c r="AN50" s="198" t="s">
        <v>598</v>
      </c>
      <c r="AO50" s="2">
        <v>35.208</v>
      </c>
      <c r="AP50" s="2">
        <v>0.0001</v>
      </c>
      <c r="AQ50" s="2">
        <v>9</v>
      </c>
      <c r="AR50" s="2">
        <v>0</v>
      </c>
      <c r="AS50" s="2" t="s">
        <v>221</v>
      </c>
      <c r="AT50" s="2" t="s">
        <v>222</v>
      </c>
      <c r="AU50" s="102">
        <v>46276</v>
      </c>
      <c r="AV50" s="2">
        <v>204.25</v>
      </c>
      <c r="AW50" s="2" t="s">
        <v>223</v>
      </c>
      <c r="AX50" s="2" t="s">
        <v>223</v>
      </c>
      <c r="AY50" s="2">
        <v>1560.91</v>
      </c>
      <c r="AZ50" s="2" t="s">
        <v>224</v>
      </c>
      <c r="BA50" s="2" t="s">
        <v>459</v>
      </c>
      <c r="BB50" s="2">
        <v>204.25</v>
      </c>
      <c r="BC50" s="2">
        <v>179.74</v>
      </c>
      <c r="BD50" s="2">
        <v>204.25</v>
      </c>
      <c r="BE50" s="2">
        <v>24.51</v>
      </c>
      <c r="BF50" s="12">
        <v>0.12</v>
      </c>
      <c r="BG50" s="2">
        <v>0</v>
      </c>
      <c r="BH50" s="2">
        <v>35.208</v>
      </c>
      <c r="BI50" s="2">
        <v>143.3</v>
      </c>
      <c r="BJ50" s="2">
        <v>0</v>
      </c>
      <c r="BK50" s="2">
        <v>18</v>
      </c>
      <c r="BL50" s="2">
        <v>0</v>
      </c>
      <c r="BM50" s="2">
        <v>0</v>
      </c>
      <c r="BN50" s="2">
        <v>3.25</v>
      </c>
      <c r="BO50" s="2">
        <v>5.5</v>
      </c>
      <c r="BP50" s="2">
        <v>4.23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5.46</v>
      </c>
      <c r="CB50" s="2" t="s">
        <v>226</v>
      </c>
      <c r="CC50" s="2" t="s">
        <v>456</v>
      </c>
      <c r="CD50" s="2">
        <v>383.35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40.85</v>
      </c>
      <c r="CV50" s="2" t="s">
        <v>515</v>
      </c>
      <c r="CW50" s="2">
        <v>40.85</v>
      </c>
      <c r="CX50" s="198" t="s">
        <v>516</v>
      </c>
      <c r="CY50" s="2">
        <v>40</v>
      </c>
      <c r="CZ50" s="2" t="s">
        <v>460</v>
      </c>
      <c r="DA50" s="2">
        <v>40</v>
      </c>
      <c r="DB50" s="198" t="s">
        <v>461</v>
      </c>
      <c r="DE50" s="2">
        <v>0</v>
      </c>
      <c r="DF50" s="2" t="s">
        <v>232</v>
      </c>
      <c r="DG50" s="2" t="s">
        <v>209</v>
      </c>
      <c r="DH50" s="2" t="s">
        <v>208</v>
      </c>
      <c r="DI50" s="2">
        <v>252895738</v>
      </c>
      <c r="DJ50" s="2" t="s">
        <v>211</v>
      </c>
      <c r="DK50" s="2">
        <v>0</v>
      </c>
      <c r="DL50" s="2" t="s">
        <v>201</v>
      </c>
      <c r="DM50" s="2">
        <v>24.51</v>
      </c>
    </row>
    <row r="51" s="2" customFormat="1" ht="12" spans="1:117">
      <c r="A51" s="2">
        <v>2</v>
      </c>
      <c r="B51" s="2" t="s">
        <v>599</v>
      </c>
      <c r="C51" s="2" t="s">
        <v>199</v>
      </c>
      <c r="D51" s="2" t="s">
        <v>200</v>
      </c>
      <c r="E51" s="2" t="s">
        <v>201</v>
      </c>
      <c r="F51" s="102">
        <v>46254</v>
      </c>
      <c r="G51" s="2" t="s">
        <v>202</v>
      </c>
      <c r="H51" s="2" t="s">
        <v>600</v>
      </c>
      <c r="I51" s="2" t="s">
        <v>204</v>
      </c>
      <c r="J51" s="2" t="s">
        <v>205</v>
      </c>
      <c r="K51" s="2" t="s">
        <v>206</v>
      </c>
      <c r="L51" s="2" t="s">
        <v>207</v>
      </c>
      <c r="M51" s="2">
        <v>892</v>
      </c>
      <c r="N51" s="2" t="s">
        <v>208</v>
      </c>
      <c r="O51" s="2" t="s">
        <v>209</v>
      </c>
      <c r="P51" s="2" t="s">
        <v>210</v>
      </c>
      <c r="Q51" s="2" t="s">
        <v>204</v>
      </c>
      <c r="R51" s="2" t="s">
        <v>205</v>
      </c>
      <c r="S51" s="2" t="s">
        <v>208</v>
      </c>
      <c r="T51" s="2" t="s">
        <v>209</v>
      </c>
      <c r="U51" s="2" t="s">
        <v>204</v>
      </c>
      <c r="V51" s="2" t="s">
        <v>205</v>
      </c>
      <c r="W51" s="2" t="s">
        <v>206</v>
      </c>
      <c r="X51" s="2" t="s">
        <v>207</v>
      </c>
      <c r="Y51" s="2" t="s">
        <v>208</v>
      </c>
      <c r="Z51" s="2" t="s">
        <v>209</v>
      </c>
      <c r="AA51" s="2" t="s">
        <v>211</v>
      </c>
      <c r="AB51" s="2" t="s">
        <v>212</v>
      </c>
      <c r="AC51" s="2" t="s">
        <v>553</v>
      </c>
      <c r="AD51" s="2" t="s">
        <v>554</v>
      </c>
      <c r="AE51" s="2">
        <v>350</v>
      </c>
      <c r="AF51" s="2" t="s">
        <v>306</v>
      </c>
      <c r="AG51" s="2" t="s">
        <v>410</v>
      </c>
      <c r="AH51" s="2" t="s">
        <v>218</v>
      </c>
      <c r="AI51" s="2" t="s">
        <v>553</v>
      </c>
      <c r="AJ51" s="2" t="s">
        <v>554</v>
      </c>
      <c r="AK51" s="2" t="s">
        <v>410</v>
      </c>
      <c r="AL51" s="2" t="s">
        <v>218</v>
      </c>
      <c r="AM51" s="2" t="s">
        <v>308</v>
      </c>
      <c r="AN51" s="198" t="s">
        <v>601</v>
      </c>
      <c r="AO51" s="2">
        <v>53.712</v>
      </c>
      <c r="AP51" s="2">
        <v>0.0001</v>
      </c>
      <c r="AQ51" s="2">
        <v>18</v>
      </c>
      <c r="AR51" s="2">
        <v>0</v>
      </c>
      <c r="AS51" s="2" t="s">
        <v>221</v>
      </c>
      <c r="AT51" s="2" t="s">
        <v>222</v>
      </c>
      <c r="AU51" s="102">
        <v>46276</v>
      </c>
      <c r="AV51" s="2">
        <v>248.31</v>
      </c>
      <c r="AW51" s="2" t="s">
        <v>223</v>
      </c>
      <c r="AX51" s="2" t="s">
        <v>223</v>
      </c>
      <c r="AY51" s="2">
        <v>1693.81</v>
      </c>
      <c r="AZ51" s="2" t="s">
        <v>224</v>
      </c>
      <c r="BA51" s="2" t="s">
        <v>299</v>
      </c>
      <c r="BB51" s="2">
        <v>248.31</v>
      </c>
      <c r="BC51" s="2">
        <v>218.51</v>
      </c>
      <c r="BD51" s="2">
        <v>248.31</v>
      </c>
      <c r="BE51" s="2">
        <v>29.8</v>
      </c>
      <c r="BF51" s="12">
        <v>0.12</v>
      </c>
      <c r="BG51" s="2">
        <v>0</v>
      </c>
      <c r="BH51" s="2">
        <v>53.712</v>
      </c>
      <c r="BI51" s="2">
        <v>181.6</v>
      </c>
      <c r="BJ51" s="2">
        <v>0</v>
      </c>
      <c r="BK51" s="2">
        <v>18</v>
      </c>
      <c r="BL51" s="2">
        <v>0</v>
      </c>
      <c r="BM51" s="2">
        <v>0</v>
      </c>
      <c r="BN51" s="2">
        <v>3.25</v>
      </c>
      <c r="BO51" s="2">
        <v>5.5</v>
      </c>
      <c r="BP51" s="2">
        <v>4.23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5.93</v>
      </c>
      <c r="CB51" s="2" t="s">
        <v>226</v>
      </c>
      <c r="CC51" s="2" t="s">
        <v>300</v>
      </c>
      <c r="CD51" s="2">
        <v>384.68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49.66</v>
      </c>
      <c r="CV51" s="2" t="s">
        <v>515</v>
      </c>
      <c r="CW51" s="2">
        <v>49.66</v>
      </c>
      <c r="CX51" s="198" t="s">
        <v>516</v>
      </c>
      <c r="CY51" s="2">
        <v>91.41</v>
      </c>
      <c r="CZ51" s="2" t="s">
        <v>326</v>
      </c>
      <c r="DA51" s="2">
        <v>91.41</v>
      </c>
      <c r="DB51" s="198" t="s">
        <v>327</v>
      </c>
      <c r="DE51" s="2">
        <v>0</v>
      </c>
      <c r="DF51" s="2" t="s">
        <v>232</v>
      </c>
      <c r="DG51" s="2" t="s">
        <v>209</v>
      </c>
      <c r="DH51" s="2" t="s">
        <v>208</v>
      </c>
      <c r="DI51" s="2">
        <v>252895738</v>
      </c>
      <c r="DJ51" s="2" t="s">
        <v>211</v>
      </c>
      <c r="DK51" s="2">
        <v>0</v>
      </c>
      <c r="DL51" s="2" t="s">
        <v>201</v>
      </c>
      <c r="DM51" s="2">
        <v>29.8</v>
      </c>
    </row>
    <row r="52" s="2" customFormat="1" ht="12" spans="1:117">
      <c r="A52" s="2">
        <v>2</v>
      </c>
      <c r="B52" s="2" t="s">
        <v>602</v>
      </c>
      <c r="C52" s="2" t="s">
        <v>199</v>
      </c>
      <c r="D52" s="2" t="s">
        <v>200</v>
      </c>
      <c r="E52" s="2" t="s">
        <v>201</v>
      </c>
      <c r="F52" s="102">
        <v>46254</v>
      </c>
      <c r="G52" s="2" t="s">
        <v>202</v>
      </c>
      <c r="H52" s="2" t="s">
        <v>603</v>
      </c>
      <c r="I52" s="2" t="s">
        <v>204</v>
      </c>
      <c r="J52" s="2" t="s">
        <v>205</v>
      </c>
      <c r="K52" s="2" t="s">
        <v>206</v>
      </c>
      <c r="L52" s="2" t="s">
        <v>207</v>
      </c>
      <c r="M52" s="2">
        <v>892</v>
      </c>
      <c r="N52" s="2" t="s">
        <v>208</v>
      </c>
      <c r="O52" s="2" t="s">
        <v>209</v>
      </c>
      <c r="P52" s="2" t="s">
        <v>210</v>
      </c>
      <c r="Q52" s="2" t="s">
        <v>204</v>
      </c>
      <c r="R52" s="2" t="s">
        <v>205</v>
      </c>
      <c r="S52" s="2" t="s">
        <v>208</v>
      </c>
      <c r="T52" s="2" t="s">
        <v>209</v>
      </c>
      <c r="U52" s="2" t="s">
        <v>204</v>
      </c>
      <c r="V52" s="2" t="s">
        <v>205</v>
      </c>
      <c r="W52" s="2" t="s">
        <v>206</v>
      </c>
      <c r="X52" s="2" t="s">
        <v>207</v>
      </c>
      <c r="Y52" s="2" t="s">
        <v>208</v>
      </c>
      <c r="Z52" s="2" t="s">
        <v>209</v>
      </c>
      <c r="AA52" s="2" t="s">
        <v>211</v>
      </c>
      <c r="AB52" s="2" t="s">
        <v>212</v>
      </c>
      <c r="AC52" s="2" t="s">
        <v>604</v>
      </c>
      <c r="AD52" s="2" t="s">
        <v>605</v>
      </c>
      <c r="AE52" s="2" t="s">
        <v>606</v>
      </c>
      <c r="AF52" s="2" t="s">
        <v>259</v>
      </c>
      <c r="AG52" s="2" t="s">
        <v>607</v>
      </c>
      <c r="AH52" s="2" t="s">
        <v>218</v>
      </c>
      <c r="AI52" s="2" t="s">
        <v>604</v>
      </c>
      <c r="AJ52" s="2" t="s">
        <v>605</v>
      </c>
      <c r="AK52" s="2" t="s">
        <v>607</v>
      </c>
      <c r="AL52" s="2" t="s">
        <v>218</v>
      </c>
      <c r="AM52" s="2" t="s">
        <v>261</v>
      </c>
      <c r="AN52" s="198" t="s">
        <v>608</v>
      </c>
      <c r="AO52" s="2">
        <v>128.5</v>
      </c>
      <c r="AP52" s="2">
        <v>0.0001</v>
      </c>
      <c r="AQ52" s="2">
        <v>17</v>
      </c>
      <c r="AR52" s="2">
        <v>0</v>
      </c>
      <c r="AS52" s="2" t="s">
        <v>221</v>
      </c>
      <c r="AT52" s="2" t="s">
        <v>222</v>
      </c>
      <c r="AU52" s="102">
        <v>46276</v>
      </c>
      <c r="AV52" s="2">
        <v>282.58</v>
      </c>
      <c r="AW52" s="2" t="s">
        <v>223</v>
      </c>
      <c r="AX52" s="2" t="s">
        <v>223</v>
      </c>
      <c r="AY52" s="2">
        <v>4550</v>
      </c>
      <c r="AZ52" s="2" t="s">
        <v>224</v>
      </c>
      <c r="BA52" s="2" t="s">
        <v>263</v>
      </c>
      <c r="BB52" s="2">
        <v>282.58</v>
      </c>
      <c r="BC52" s="2">
        <v>248.67</v>
      </c>
      <c r="BD52" s="2">
        <v>282.58</v>
      </c>
      <c r="BE52" s="2">
        <v>33.91</v>
      </c>
      <c r="BF52" s="12">
        <v>0.12</v>
      </c>
      <c r="BG52" s="2">
        <v>0</v>
      </c>
      <c r="BH52" s="2">
        <v>128.5</v>
      </c>
      <c r="BI52" s="2">
        <v>192.68</v>
      </c>
      <c r="BJ52" s="2">
        <v>0</v>
      </c>
      <c r="BK52" s="2">
        <v>18</v>
      </c>
      <c r="BL52" s="2">
        <v>0</v>
      </c>
      <c r="BM52" s="2">
        <v>0</v>
      </c>
      <c r="BN52" s="2">
        <v>6.83</v>
      </c>
      <c r="BO52" s="2">
        <v>11</v>
      </c>
      <c r="BP52" s="2">
        <v>4.23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15.93</v>
      </c>
      <c r="CB52" s="2" t="s">
        <v>226</v>
      </c>
      <c r="CC52" s="2" t="s">
        <v>259</v>
      </c>
      <c r="CD52" s="2">
        <v>425.76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56.52</v>
      </c>
      <c r="CV52" s="2" t="s">
        <v>515</v>
      </c>
      <c r="CW52" s="2">
        <v>56.52</v>
      </c>
      <c r="CX52" s="198" t="s">
        <v>516</v>
      </c>
      <c r="CY52" s="2">
        <v>17.99</v>
      </c>
      <c r="CZ52" s="2" t="s">
        <v>508</v>
      </c>
      <c r="DA52" s="2">
        <v>0</v>
      </c>
      <c r="DE52" s="2">
        <v>0</v>
      </c>
      <c r="DF52" s="2" t="s">
        <v>232</v>
      </c>
      <c r="DG52" s="2" t="s">
        <v>209</v>
      </c>
      <c r="DH52" s="2" t="s">
        <v>208</v>
      </c>
      <c r="DI52" s="2">
        <v>252895738</v>
      </c>
      <c r="DJ52" s="2" t="s">
        <v>211</v>
      </c>
      <c r="DK52" s="2">
        <v>0</v>
      </c>
      <c r="DL52" s="2" t="s">
        <v>201</v>
      </c>
      <c r="DM52" s="2">
        <v>33.91</v>
      </c>
    </row>
    <row r="53" s="2" customFormat="1" ht="12" spans="1:117">
      <c r="A53" s="2">
        <v>2</v>
      </c>
      <c r="B53" s="2" t="s">
        <v>609</v>
      </c>
      <c r="C53" s="2" t="s">
        <v>199</v>
      </c>
      <c r="D53" s="2" t="s">
        <v>200</v>
      </c>
      <c r="E53" s="2" t="s">
        <v>201</v>
      </c>
      <c r="F53" s="102">
        <v>46254</v>
      </c>
      <c r="G53" s="2" t="s">
        <v>202</v>
      </c>
      <c r="H53" s="2" t="s">
        <v>610</v>
      </c>
      <c r="I53" s="2" t="s">
        <v>204</v>
      </c>
      <c r="J53" s="2" t="s">
        <v>205</v>
      </c>
      <c r="K53" s="2" t="s">
        <v>206</v>
      </c>
      <c r="L53" s="2" t="s">
        <v>207</v>
      </c>
      <c r="M53" s="2">
        <v>892</v>
      </c>
      <c r="N53" s="2" t="s">
        <v>208</v>
      </c>
      <c r="O53" s="2" t="s">
        <v>209</v>
      </c>
      <c r="P53" s="2" t="s">
        <v>210</v>
      </c>
      <c r="Q53" s="2" t="s">
        <v>204</v>
      </c>
      <c r="R53" s="2" t="s">
        <v>205</v>
      </c>
      <c r="S53" s="2" t="s">
        <v>208</v>
      </c>
      <c r="T53" s="2" t="s">
        <v>209</v>
      </c>
      <c r="U53" s="2" t="s">
        <v>204</v>
      </c>
      <c r="V53" s="2" t="s">
        <v>205</v>
      </c>
      <c r="W53" s="2" t="s">
        <v>206</v>
      </c>
      <c r="X53" s="2" t="s">
        <v>207</v>
      </c>
      <c r="Y53" s="2" t="s">
        <v>208</v>
      </c>
      <c r="Z53" s="2" t="s">
        <v>209</v>
      </c>
      <c r="AA53" s="2" t="s">
        <v>211</v>
      </c>
      <c r="AB53" s="2" t="s">
        <v>212</v>
      </c>
      <c r="AC53" s="2" t="s">
        <v>611</v>
      </c>
      <c r="AD53" s="2" t="s">
        <v>612</v>
      </c>
      <c r="AE53" s="2" t="s">
        <v>613</v>
      </c>
      <c r="AF53" s="2" t="s">
        <v>259</v>
      </c>
      <c r="AG53" s="2" t="s">
        <v>614</v>
      </c>
      <c r="AH53" s="2" t="s">
        <v>218</v>
      </c>
      <c r="AI53" s="2" t="s">
        <v>611</v>
      </c>
      <c r="AJ53" s="2" t="s">
        <v>612</v>
      </c>
      <c r="AK53" s="2" t="s">
        <v>614</v>
      </c>
      <c r="AL53" s="2" t="s">
        <v>218</v>
      </c>
      <c r="AM53" s="2" t="s">
        <v>261</v>
      </c>
      <c r="AN53" s="198" t="s">
        <v>615</v>
      </c>
      <c r="AO53" s="2">
        <v>89.1</v>
      </c>
      <c r="AP53" s="2">
        <v>0.0001</v>
      </c>
      <c r="AQ53" s="2">
        <v>1</v>
      </c>
      <c r="AR53" s="2">
        <v>0</v>
      </c>
      <c r="AS53" s="2" t="s">
        <v>221</v>
      </c>
      <c r="AT53" s="2" t="s">
        <v>222</v>
      </c>
      <c r="AU53" s="102">
        <v>46276</v>
      </c>
      <c r="AV53" s="2">
        <v>257.08</v>
      </c>
      <c r="AW53" s="2" t="s">
        <v>223</v>
      </c>
      <c r="AX53" s="2" t="s">
        <v>223</v>
      </c>
      <c r="AY53" s="2">
        <v>8004.18</v>
      </c>
      <c r="AZ53" s="2" t="s">
        <v>224</v>
      </c>
      <c r="BA53" s="2" t="s">
        <v>263</v>
      </c>
      <c r="BB53" s="2">
        <v>257.08</v>
      </c>
      <c r="BC53" s="2">
        <v>226.23</v>
      </c>
      <c r="BD53" s="2">
        <v>257.08</v>
      </c>
      <c r="BE53" s="2">
        <v>30.85</v>
      </c>
      <c r="BF53" s="12">
        <v>0.12</v>
      </c>
      <c r="BG53" s="2">
        <v>0</v>
      </c>
      <c r="BH53" s="2">
        <v>89.1</v>
      </c>
      <c r="BI53" s="2">
        <v>158.48</v>
      </c>
      <c r="BJ53" s="2">
        <v>0</v>
      </c>
      <c r="BK53" s="2">
        <v>18</v>
      </c>
      <c r="BL53" s="2">
        <v>0</v>
      </c>
      <c r="BM53" s="2">
        <v>0</v>
      </c>
      <c r="BN53" s="2">
        <v>12.01</v>
      </c>
      <c r="BO53" s="2">
        <v>5.5</v>
      </c>
      <c r="BP53" s="2">
        <v>4.23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28.01</v>
      </c>
      <c r="CB53" s="2" t="s">
        <v>226</v>
      </c>
      <c r="CC53" s="2" t="s">
        <v>259</v>
      </c>
      <c r="CD53" s="2">
        <v>475.81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51.42</v>
      </c>
      <c r="CV53" s="2" t="s">
        <v>515</v>
      </c>
      <c r="CW53" s="2">
        <v>51.42</v>
      </c>
      <c r="CX53" s="198" t="s">
        <v>516</v>
      </c>
      <c r="CY53" s="2">
        <v>15</v>
      </c>
      <c r="CZ53" s="2" t="s">
        <v>508</v>
      </c>
      <c r="DA53" s="2">
        <v>0</v>
      </c>
      <c r="DE53" s="2">
        <v>0</v>
      </c>
      <c r="DF53" s="2" t="s">
        <v>232</v>
      </c>
      <c r="DG53" s="2" t="s">
        <v>209</v>
      </c>
      <c r="DH53" s="2" t="s">
        <v>208</v>
      </c>
      <c r="DI53" s="2">
        <v>252895738</v>
      </c>
      <c r="DJ53" s="2" t="s">
        <v>211</v>
      </c>
      <c r="DK53" s="2">
        <v>0</v>
      </c>
      <c r="DL53" s="2" t="s">
        <v>201</v>
      </c>
      <c r="DM53" s="2">
        <v>30.85</v>
      </c>
    </row>
    <row r="54" s="2" customFormat="1" ht="12" spans="1:117">
      <c r="A54" s="2">
        <v>2</v>
      </c>
      <c r="B54" s="2" t="s">
        <v>616</v>
      </c>
      <c r="C54" s="2" t="s">
        <v>199</v>
      </c>
      <c r="D54" s="2" t="s">
        <v>200</v>
      </c>
      <c r="E54" s="2" t="s">
        <v>201</v>
      </c>
      <c r="F54" s="102">
        <v>46254</v>
      </c>
      <c r="G54" s="2" t="s">
        <v>202</v>
      </c>
      <c r="H54" s="2" t="s">
        <v>617</v>
      </c>
      <c r="I54" s="2" t="s">
        <v>204</v>
      </c>
      <c r="J54" s="2" t="s">
        <v>205</v>
      </c>
      <c r="K54" s="2" t="s">
        <v>206</v>
      </c>
      <c r="L54" s="2" t="s">
        <v>207</v>
      </c>
      <c r="M54" s="2">
        <v>892</v>
      </c>
      <c r="N54" s="2" t="s">
        <v>208</v>
      </c>
      <c r="O54" s="2" t="s">
        <v>209</v>
      </c>
      <c r="P54" s="2" t="s">
        <v>210</v>
      </c>
      <c r="Q54" s="2" t="s">
        <v>204</v>
      </c>
      <c r="R54" s="2" t="s">
        <v>205</v>
      </c>
      <c r="S54" s="2" t="s">
        <v>208</v>
      </c>
      <c r="T54" s="2" t="s">
        <v>209</v>
      </c>
      <c r="U54" s="2" t="s">
        <v>204</v>
      </c>
      <c r="V54" s="2" t="s">
        <v>205</v>
      </c>
      <c r="W54" s="2" t="s">
        <v>206</v>
      </c>
      <c r="X54" s="2" t="s">
        <v>207</v>
      </c>
      <c r="Y54" s="2" t="s">
        <v>208</v>
      </c>
      <c r="Z54" s="2" t="s">
        <v>209</v>
      </c>
      <c r="AA54" s="2" t="s">
        <v>211</v>
      </c>
      <c r="AB54" s="2" t="s">
        <v>212</v>
      </c>
      <c r="AC54" s="2" t="s">
        <v>618</v>
      </c>
      <c r="AD54" s="2" t="s">
        <v>619</v>
      </c>
      <c r="AE54" s="2" t="s">
        <v>332</v>
      </c>
      <c r="AF54" s="2" t="s">
        <v>216</v>
      </c>
      <c r="AG54" s="2" t="s">
        <v>333</v>
      </c>
      <c r="AH54" s="2" t="s">
        <v>218</v>
      </c>
      <c r="AI54" s="2" t="s">
        <v>618</v>
      </c>
      <c r="AJ54" s="2" t="s">
        <v>619</v>
      </c>
      <c r="AK54" s="2" t="s">
        <v>333</v>
      </c>
      <c r="AL54" s="2" t="s">
        <v>218</v>
      </c>
      <c r="AM54" s="2" t="s">
        <v>219</v>
      </c>
      <c r="AN54" s="198" t="s">
        <v>620</v>
      </c>
      <c r="AO54" s="2">
        <v>428</v>
      </c>
      <c r="AP54" s="2">
        <v>0.0001</v>
      </c>
      <c r="AQ54" s="2">
        <v>1</v>
      </c>
      <c r="AR54" s="2">
        <v>0</v>
      </c>
      <c r="AS54" s="2" t="s">
        <v>221</v>
      </c>
      <c r="AT54" s="2" t="s">
        <v>222</v>
      </c>
      <c r="AU54" s="102">
        <v>46276</v>
      </c>
      <c r="AV54" s="2">
        <v>795.32</v>
      </c>
      <c r="AW54" s="2" t="s">
        <v>223</v>
      </c>
      <c r="AX54" s="2" t="s">
        <v>223</v>
      </c>
      <c r="AY54" s="2">
        <v>9477.87</v>
      </c>
      <c r="AZ54" s="2" t="s">
        <v>224</v>
      </c>
      <c r="BA54" s="2" t="s">
        <v>240</v>
      </c>
      <c r="BB54" s="2">
        <v>795.32</v>
      </c>
      <c r="BC54" s="2">
        <v>699.88</v>
      </c>
      <c r="BD54" s="2">
        <v>795.32</v>
      </c>
      <c r="BE54" s="2">
        <v>95.44</v>
      </c>
      <c r="BF54" s="12">
        <v>0.12</v>
      </c>
      <c r="BG54" s="2">
        <v>0</v>
      </c>
      <c r="BH54" s="2">
        <v>428</v>
      </c>
      <c r="BI54" s="2">
        <v>602.76</v>
      </c>
      <c r="BJ54" s="2">
        <v>0</v>
      </c>
      <c r="BK54" s="2">
        <v>18</v>
      </c>
      <c r="BL54" s="2">
        <v>0</v>
      </c>
      <c r="BM54" s="2">
        <v>0</v>
      </c>
      <c r="BN54" s="2">
        <v>14.22</v>
      </c>
      <c r="BO54" s="2">
        <v>27.5</v>
      </c>
      <c r="BP54" s="2">
        <v>4.23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33.17</v>
      </c>
      <c r="CB54" s="2" t="s">
        <v>226</v>
      </c>
      <c r="CC54" s="2" t="s">
        <v>241</v>
      </c>
      <c r="CD54" s="2">
        <v>1295.1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159.06</v>
      </c>
      <c r="CV54" s="2" t="s">
        <v>301</v>
      </c>
      <c r="CW54" s="2">
        <f t="shared" ref="CW54:CW57" si="0">CU54</f>
        <v>159.06</v>
      </c>
      <c r="CY54" s="2">
        <v>278.36</v>
      </c>
      <c r="CZ54" s="2" t="s">
        <v>621</v>
      </c>
      <c r="DA54" s="2">
        <v>278.36</v>
      </c>
      <c r="DB54" s="198" t="s">
        <v>622</v>
      </c>
      <c r="DE54" s="2">
        <v>0</v>
      </c>
      <c r="DF54" s="2" t="s">
        <v>232</v>
      </c>
      <c r="DG54" s="2" t="s">
        <v>209</v>
      </c>
      <c r="DH54" s="2" t="s">
        <v>208</v>
      </c>
      <c r="DI54" s="2">
        <v>252895738</v>
      </c>
      <c r="DJ54" s="2" t="s">
        <v>211</v>
      </c>
      <c r="DK54" s="2">
        <v>0</v>
      </c>
      <c r="DL54" s="2" t="s">
        <v>201</v>
      </c>
      <c r="DM54" s="2">
        <v>95.44</v>
      </c>
    </row>
    <row r="55" s="2" customFormat="1" ht="12" spans="1:117">
      <c r="A55" s="2">
        <v>2</v>
      </c>
      <c r="B55" s="2" t="s">
        <v>623</v>
      </c>
      <c r="C55" s="2" t="s">
        <v>199</v>
      </c>
      <c r="D55" s="2" t="s">
        <v>200</v>
      </c>
      <c r="E55" s="2" t="s">
        <v>201</v>
      </c>
      <c r="F55" s="102">
        <v>46254</v>
      </c>
      <c r="G55" s="2" t="s">
        <v>202</v>
      </c>
      <c r="H55" s="2" t="s">
        <v>624</v>
      </c>
      <c r="I55" s="2" t="s">
        <v>204</v>
      </c>
      <c r="J55" s="2" t="s">
        <v>205</v>
      </c>
      <c r="K55" s="2" t="s">
        <v>206</v>
      </c>
      <c r="L55" s="2" t="s">
        <v>207</v>
      </c>
      <c r="M55" s="2">
        <v>892</v>
      </c>
      <c r="N55" s="2" t="s">
        <v>208</v>
      </c>
      <c r="O55" s="2" t="s">
        <v>209</v>
      </c>
      <c r="P55" s="2" t="s">
        <v>210</v>
      </c>
      <c r="Q55" s="2" t="s">
        <v>204</v>
      </c>
      <c r="R55" s="2" t="s">
        <v>205</v>
      </c>
      <c r="S55" s="2" t="s">
        <v>208</v>
      </c>
      <c r="T55" s="2" t="s">
        <v>209</v>
      </c>
      <c r="U55" s="2" t="s">
        <v>204</v>
      </c>
      <c r="V55" s="2" t="s">
        <v>205</v>
      </c>
      <c r="W55" s="2" t="s">
        <v>206</v>
      </c>
      <c r="X55" s="2" t="s">
        <v>207</v>
      </c>
      <c r="Y55" s="2" t="s">
        <v>208</v>
      </c>
      <c r="Z55" s="2" t="s">
        <v>209</v>
      </c>
      <c r="AA55" s="2" t="s">
        <v>211</v>
      </c>
      <c r="AB55" s="2" t="s">
        <v>212</v>
      </c>
      <c r="AC55" s="2" t="s">
        <v>625</v>
      </c>
      <c r="AD55" s="2" t="s">
        <v>626</v>
      </c>
      <c r="AE55" s="2">
        <v>394</v>
      </c>
      <c r="AF55" s="2" t="s">
        <v>339</v>
      </c>
      <c r="AG55" s="2" t="s">
        <v>435</v>
      </c>
      <c r="AH55" s="2" t="s">
        <v>218</v>
      </c>
      <c r="AI55" s="2" t="s">
        <v>625</v>
      </c>
      <c r="AJ55" s="2" t="s">
        <v>626</v>
      </c>
      <c r="AK55" s="2" t="s">
        <v>435</v>
      </c>
      <c r="AL55" s="2" t="s">
        <v>218</v>
      </c>
      <c r="AM55" s="2" t="s">
        <v>341</v>
      </c>
      <c r="AN55" s="198" t="s">
        <v>627</v>
      </c>
      <c r="AO55" s="2">
        <v>68.348</v>
      </c>
      <c r="AP55" s="2">
        <v>0.0001</v>
      </c>
      <c r="AQ55" s="2">
        <v>25</v>
      </c>
      <c r="AR55" s="2">
        <v>0</v>
      </c>
      <c r="AS55" s="2" t="s">
        <v>221</v>
      </c>
      <c r="AT55" s="2" t="s">
        <v>222</v>
      </c>
      <c r="AU55" s="102">
        <v>46276</v>
      </c>
      <c r="AV55" s="2">
        <v>249.84</v>
      </c>
      <c r="AW55" s="2" t="s">
        <v>223</v>
      </c>
      <c r="AX55" s="2" t="s">
        <v>223</v>
      </c>
      <c r="AY55" s="2">
        <v>2080.94</v>
      </c>
      <c r="AZ55" s="2" t="s">
        <v>224</v>
      </c>
      <c r="BA55" s="2" t="s">
        <v>343</v>
      </c>
      <c r="BB55" s="2">
        <v>249.84</v>
      </c>
      <c r="BC55" s="2">
        <v>219.86</v>
      </c>
      <c r="BD55" s="2">
        <v>249.84</v>
      </c>
      <c r="BE55" s="2">
        <v>29.98</v>
      </c>
      <c r="BF55" s="12">
        <v>0.12</v>
      </c>
      <c r="BG55" s="2">
        <v>0</v>
      </c>
      <c r="BH55" s="2">
        <v>68.348</v>
      </c>
      <c r="BI55" s="2">
        <v>181.6</v>
      </c>
      <c r="BJ55" s="2">
        <v>0</v>
      </c>
      <c r="BK55" s="2">
        <v>18</v>
      </c>
      <c r="BL55" s="2">
        <v>0</v>
      </c>
      <c r="BM55" s="2">
        <v>0</v>
      </c>
      <c r="BN55" s="2">
        <v>3.25</v>
      </c>
      <c r="BO55" s="2">
        <v>5.5</v>
      </c>
      <c r="BP55" s="2">
        <v>4.23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7.28</v>
      </c>
      <c r="CB55" s="2" t="s">
        <v>226</v>
      </c>
      <c r="CC55" s="2" t="s">
        <v>339</v>
      </c>
      <c r="CD55" s="2">
        <v>389.95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49.97</v>
      </c>
      <c r="CV55" s="2" t="s">
        <v>301</v>
      </c>
      <c r="CW55" s="2">
        <f t="shared" si="0"/>
        <v>49.97</v>
      </c>
      <c r="CY55" s="2">
        <v>74.95</v>
      </c>
      <c r="CZ55" s="2" t="s">
        <v>301</v>
      </c>
      <c r="DA55" s="2">
        <f>CY55</f>
        <v>74.95</v>
      </c>
      <c r="DE55" s="2">
        <v>0</v>
      </c>
      <c r="DF55" s="2" t="s">
        <v>232</v>
      </c>
      <c r="DG55" s="2" t="s">
        <v>209</v>
      </c>
      <c r="DH55" s="2" t="s">
        <v>208</v>
      </c>
      <c r="DI55" s="2">
        <v>252895738</v>
      </c>
      <c r="DJ55" s="2" t="s">
        <v>211</v>
      </c>
      <c r="DK55" s="2">
        <v>0</v>
      </c>
      <c r="DL55" s="2" t="s">
        <v>201</v>
      </c>
      <c r="DM55" s="2">
        <v>29.98</v>
      </c>
    </row>
    <row r="56" s="2" customFormat="1" ht="12" spans="1:117">
      <c r="A56" s="2">
        <v>2</v>
      </c>
      <c r="B56" s="2" t="s">
        <v>628</v>
      </c>
      <c r="C56" s="2" t="s">
        <v>199</v>
      </c>
      <c r="D56" s="2" t="s">
        <v>200</v>
      </c>
      <c r="E56" s="2" t="s">
        <v>201</v>
      </c>
      <c r="F56" s="102">
        <v>46254</v>
      </c>
      <c r="G56" s="2" t="s">
        <v>202</v>
      </c>
      <c r="H56" s="2" t="s">
        <v>629</v>
      </c>
      <c r="I56" s="2" t="s">
        <v>204</v>
      </c>
      <c r="J56" s="2" t="s">
        <v>205</v>
      </c>
      <c r="K56" s="2" t="s">
        <v>206</v>
      </c>
      <c r="L56" s="2" t="s">
        <v>207</v>
      </c>
      <c r="M56" s="2">
        <v>892</v>
      </c>
      <c r="N56" s="2" t="s">
        <v>208</v>
      </c>
      <c r="O56" s="2" t="s">
        <v>209</v>
      </c>
      <c r="P56" s="2" t="s">
        <v>210</v>
      </c>
      <c r="Q56" s="2" t="s">
        <v>204</v>
      </c>
      <c r="R56" s="2" t="s">
        <v>205</v>
      </c>
      <c r="S56" s="2" t="s">
        <v>208</v>
      </c>
      <c r="T56" s="2" t="s">
        <v>209</v>
      </c>
      <c r="U56" s="2" t="s">
        <v>204</v>
      </c>
      <c r="V56" s="2" t="s">
        <v>205</v>
      </c>
      <c r="W56" s="2" t="s">
        <v>206</v>
      </c>
      <c r="X56" s="2" t="s">
        <v>207</v>
      </c>
      <c r="Y56" s="2" t="s">
        <v>208</v>
      </c>
      <c r="Z56" s="2" t="s">
        <v>209</v>
      </c>
      <c r="AA56" s="2" t="s">
        <v>211</v>
      </c>
      <c r="AB56" s="2" t="s">
        <v>212</v>
      </c>
      <c r="AC56" s="2" t="s">
        <v>630</v>
      </c>
      <c r="AD56" s="2" t="s">
        <v>631</v>
      </c>
      <c r="AE56" s="2">
        <v>373</v>
      </c>
      <c r="AF56" s="2" t="s">
        <v>357</v>
      </c>
      <c r="AG56" s="2" t="s">
        <v>632</v>
      </c>
      <c r="AH56" s="2" t="s">
        <v>218</v>
      </c>
      <c r="AI56" s="2" t="s">
        <v>630</v>
      </c>
      <c r="AJ56" s="2" t="s">
        <v>631</v>
      </c>
      <c r="AK56" s="2" t="s">
        <v>632</v>
      </c>
      <c r="AL56" s="2" t="s">
        <v>218</v>
      </c>
      <c r="AM56" s="2" t="s">
        <v>219</v>
      </c>
      <c r="AN56" s="198" t="s">
        <v>633</v>
      </c>
      <c r="AO56" s="2">
        <v>56.44</v>
      </c>
      <c r="AP56" s="2">
        <v>0.0001</v>
      </c>
      <c r="AQ56" s="2">
        <v>9</v>
      </c>
      <c r="AR56" s="2">
        <v>0</v>
      </c>
      <c r="AS56" s="2" t="s">
        <v>221</v>
      </c>
      <c r="AT56" s="2" t="s">
        <v>222</v>
      </c>
      <c r="AU56" s="102">
        <v>46276</v>
      </c>
      <c r="AV56" s="2">
        <v>348.18</v>
      </c>
      <c r="AW56" s="2" t="s">
        <v>223</v>
      </c>
      <c r="AX56" s="2" t="s">
        <v>223</v>
      </c>
      <c r="AY56" s="2">
        <v>1811.61</v>
      </c>
      <c r="AZ56" s="2" t="s">
        <v>224</v>
      </c>
      <c r="BA56" s="2" t="s">
        <v>324</v>
      </c>
      <c r="BB56" s="2">
        <v>348.18</v>
      </c>
      <c r="BC56" s="2">
        <v>306.4</v>
      </c>
      <c r="BD56" s="2">
        <v>348.18</v>
      </c>
      <c r="BE56" s="2">
        <v>41.78</v>
      </c>
      <c r="BF56" s="12">
        <v>0.12</v>
      </c>
      <c r="BG56" s="2">
        <v>0</v>
      </c>
      <c r="BH56" s="2">
        <v>56.44</v>
      </c>
      <c r="BI56" s="2">
        <v>165.08</v>
      </c>
      <c r="BJ56" s="2">
        <v>0</v>
      </c>
      <c r="BK56" s="2">
        <v>18</v>
      </c>
      <c r="BL56" s="2">
        <v>0</v>
      </c>
      <c r="BM56" s="2">
        <v>0</v>
      </c>
      <c r="BN56" s="2">
        <v>3.25</v>
      </c>
      <c r="BO56" s="2">
        <v>5.5</v>
      </c>
      <c r="BP56" s="2">
        <v>4.23</v>
      </c>
      <c r="BQ56" s="2">
        <v>104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6.34</v>
      </c>
      <c r="CB56" s="2" t="s">
        <v>226</v>
      </c>
      <c r="CC56" s="2" t="s">
        <v>325</v>
      </c>
      <c r="CD56" s="2">
        <v>386.05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69.64</v>
      </c>
      <c r="CV56" s="2" t="s">
        <v>301</v>
      </c>
      <c r="CW56" s="2">
        <f t="shared" si="0"/>
        <v>69.64</v>
      </c>
      <c r="CY56" s="2">
        <v>201.86</v>
      </c>
      <c r="CZ56" s="2" t="s">
        <v>621</v>
      </c>
      <c r="DA56" s="2">
        <v>201.86</v>
      </c>
      <c r="DB56" s="198" t="s">
        <v>622</v>
      </c>
      <c r="DE56" s="2">
        <v>0</v>
      </c>
      <c r="DF56" s="2" t="s">
        <v>232</v>
      </c>
      <c r="DG56" s="2" t="s">
        <v>209</v>
      </c>
      <c r="DH56" s="2" t="s">
        <v>208</v>
      </c>
      <c r="DI56" s="2">
        <v>252895738</v>
      </c>
      <c r="DJ56" s="2" t="s">
        <v>211</v>
      </c>
      <c r="DK56" s="2">
        <v>0</v>
      </c>
      <c r="DL56" s="2" t="s">
        <v>201</v>
      </c>
      <c r="DM56" s="2">
        <v>41.78</v>
      </c>
    </row>
    <row r="57" s="2" customFormat="1" ht="12" spans="1:117">
      <c r="A57" s="2">
        <v>2</v>
      </c>
      <c r="B57" s="2" t="s">
        <v>634</v>
      </c>
      <c r="C57" s="2" t="s">
        <v>199</v>
      </c>
      <c r="D57" s="2" t="s">
        <v>200</v>
      </c>
      <c r="E57" s="2" t="s">
        <v>201</v>
      </c>
      <c r="F57" s="102">
        <v>46254</v>
      </c>
      <c r="G57" s="2" t="s">
        <v>202</v>
      </c>
      <c r="H57" s="2" t="s">
        <v>635</v>
      </c>
      <c r="I57" s="2" t="s">
        <v>204</v>
      </c>
      <c r="J57" s="2" t="s">
        <v>205</v>
      </c>
      <c r="K57" s="2" t="s">
        <v>206</v>
      </c>
      <c r="L57" s="2" t="s">
        <v>207</v>
      </c>
      <c r="M57" s="2">
        <v>892</v>
      </c>
      <c r="N57" s="2" t="s">
        <v>208</v>
      </c>
      <c r="O57" s="2" t="s">
        <v>209</v>
      </c>
      <c r="P57" s="2" t="s">
        <v>210</v>
      </c>
      <c r="Q57" s="2" t="s">
        <v>204</v>
      </c>
      <c r="R57" s="2" t="s">
        <v>205</v>
      </c>
      <c r="S57" s="2" t="s">
        <v>208</v>
      </c>
      <c r="T57" s="2" t="s">
        <v>209</v>
      </c>
      <c r="U57" s="2" t="s">
        <v>204</v>
      </c>
      <c r="V57" s="2" t="s">
        <v>205</v>
      </c>
      <c r="W57" s="2" t="s">
        <v>206</v>
      </c>
      <c r="X57" s="2" t="s">
        <v>207</v>
      </c>
      <c r="Y57" s="2" t="s">
        <v>208</v>
      </c>
      <c r="Z57" s="2" t="s">
        <v>209</v>
      </c>
      <c r="AA57" s="2" t="s">
        <v>211</v>
      </c>
      <c r="AB57" s="2" t="s">
        <v>212</v>
      </c>
      <c r="AC57" s="2" t="s">
        <v>636</v>
      </c>
      <c r="AD57" s="2" t="s">
        <v>637</v>
      </c>
      <c r="AE57" s="2">
        <v>386</v>
      </c>
      <c r="AF57" s="2" t="s">
        <v>246</v>
      </c>
      <c r="AG57" s="2" t="s">
        <v>638</v>
      </c>
      <c r="AH57" s="2" t="s">
        <v>218</v>
      </c>
      <c r="AI57" s="2" t="s">
        <v>636</v>
      </c>
      <c r="AJ57" s="2" t="s">
        <v>637</v>
      </c>
      <c r="AK57" s="2" t="s">
        <v>638</v>
      </c>
      <c r="AL57" s="2" t="s">
        <v>218</v>
      </c>
      <c r="AM57" s="2" t="s">
        <v>248</v>
      </c>
      <c r="AN57" s="198" t="s">
        <v>639</v>
      </c>
      <c r="AO57" s="2">
        <v>165.056</v>
      </c>
      <c r="AP57" s="2">
        <v>0.0001</v>
      </c>
      <c r="AQ57" s="2">
        <v>29</v>
      </c>
      <c r="AR57" s="2">
        <v>0</v>
      </c>
      <c r="AS57" s="2" t="s">
        <v>221</v>
      </c>
      <c r="AT57" s="2" t="s">
        <v>222</v>
      </c>
      <c r="AU57" s="102">
        <v>46276</v>
      </c>
      <c r="AV57" s="2">
        <v>450.63</v>
      </c>
      <c r="AW57" s="2" t="s">
        <v>223</v>
      </c>
      <c r="AX57" s="2" t="s">
        <v>223</v>
      </c>
      <c r="AY57" s="2">
        <v>3048.18</v>
      </c>
      <c r="AZ57" s="2" t="s">
        <v>224</v>
      </c>
      <c r="BA57" s="2" t="s">
        <v>250</v>
      </c>
      <c r="BB57" s="2">
        <v>450.63</v>
      </c>
      <c r="BC57" s="2">
        <v>396.55</v>
      </c>
      <c r="BD57" s="2">
        <v>450.63</v>
      </c>
      <c r="BE57" s="2">
        <v>54.08</v>
      </c>
      <c r="BF57" s="12">
        <v>0.12</v>
      </c>
      <c r="BG57" s="2">
        <v>0</v>
      </c>
      <c r="BH57" s="2">
        <v>165.056</v>
      </c>
      <c r="BI57" s="2">
        <v>298.08</v>
      </c>
      <c r="BJ57" s="2">
        <v>0</v>
      </c>
      <c r="BK57" s="2">
        <v>18</v>
      </c>
      <c r="BL57" s="2">
        <v>0</v>
      </c>
      <c r="BM57" s="2">
        <v>0</v>
      </c>
      <c r="BN57" s="2">
        <v>4.57</v>
      </c>
      <c r="BO57" s="2">
        <v>11</v>
      </c>
      <c r="BP57" s="2">
        <v>4.23</v>
      </c>
      <c r="BQ57" s="2">
        <v>50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10.67</v>
      </c>
      <c r="CB57" s="2" t="s">
        <v>226</v>
      </c>
      <c r="CC57" s="2" t="s">
        <v>251</v>
      </c>
      <c r="CD57" s="2">
        <v>403.97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90.13</v>
      </c>
      <c r="CV57" s="2" t="s">
        <v>301</v>
      </c>
      <c r="CW57" s="2">
        <f t="shared" si="0"/>
        <v>90.13</v>
      </c>
      <c r="CY57" s="2">
        <v>84.18</v>
      </c>
      <c r="CZ57" s="2" t="s">
        <v>429</v>
      </c>
      <c r="DA57" s="2">
        <v>129.18</v>
      </c>
      <c r="DB57" s="198" t="s">
        <v>430</v>
      </c>
      <c r="DE57" s="2">
        <v>0</v>
      </c>
      <c r="DF57" s="2" t="s">
        <v>232</v>
      </c>
      <c r="DG57" s="2" t="s">
        <v>209</v>
      </c>
      <c r="DH57" s="2" t="s">
        <v>208</v>
      </c>
      <c r="DI57" s="2">
        <v>252895738</v>
      </c>
      <c r="DJ57" s="2" t="s">
        <v>211</v>
      </c>
      <c r="DK57" s="2">
        <v>0</v>
      </c>
      <c r="DL57" s="2" t="s">
        <v>201</v>
      </c>
      <c r="DM57" s="2">
        <v>54.08</v>
      </c>
    </row>
    <row r="58" s="2" customFormat="1" ht="12" spans="1:117">
      <c r="A58" s="2">
        <v>2</v>
      </c>
      <c r="B58" s="2" t="s">
        <v>640</v>
      </c>
      <c r="C58" s="2" t="s">
        <v>199</v>
      </c>
      <c r="D58" s="2" t="s">
        <v>200</v>
      </c>
      <c r="E58" s="2" t="s">
        <v>201</v>
      </c>
      <c r="F58" s="102">
        <v>46258</v>
      </c>
      <c r="G58" s="2" t="s">
        <v>202</v>
      </c>
      <c r="H58" s="2" t="s">
        <v>641</v>
      </c>
      <c r="I58" s="2" t="s">
        <v>204</v>
      </c>
      <c r="J58" s="2" t="s">
        <v>205</v>
      </c>
      <c r="K58" s="2" t="s">
        <v>206</v>
      </c>
      <c r="L58" s="2" t="s">
        <v>207</v>
      </c>
      <c r="M58" s="2">
        <v>892</v>
      </c>
      <c r="N58" s="2" t="s">
        <v>208</v>
      </c>
      <c r="O58" s="2" t="s">
        <v>209</v>
      </c>
      <c r="P58" s="2" t="s">
        <v>210</v>
      </c>
      <c r="Q58" s="2" t="s">
        <v>204</v>
      </c>
      <c r="R58" s="2" t="s">
        <v>205</v>
      </c>
      <c r="S58" s="2" t="s">
        <v>208</v>
      </c>
      <c r="T58" s="2" t="s">
        <v>209</v>
      </c>
      <c r="U58" s="2" t="s">
        <v>204</v>
      </c>
      <c r="V58" s="2" t="s">
        <v>205</v>
      </c>
      <c r="W58" s="2" t="s">
        <v>206</v>
      </c>
      <c r="X58" s="2" t="s">
        <v>207</v>
      </c>
      <c r="Y58" s="2" t="s">
        <v>208</v>
      </c>
      <c r="Z58" s="2" t="s">
        <v>209</v>
      </c>
      <c r="AA58" s="2" t="s">
        <v>211</v>
      </c>
      <c r="AB58" s="2" t="s">
        <v>212</v>
      </c>
      <c r="AC58" s="2" t="s">
        <v>642</v>
      </c>
      <c r="AD58" s="2" t="s">
        <v>643</v>
      </c>
      <c r="AE58" s="2" t="s">
        <v>644</v>
      </c>
      <c r="AF58" s="2" t="s">
        <v>246</v>
      </c>
      <c r="AG58" s="2" t="s">
        <v>645</v>
      </c>
      <c r="AH58" s="2" t="s">
        <v>218</v>
      </c>
      <c r="AI58" s="2" t="s">
        <v>642</v>
      </c>
      <c r="AJ58" s="2" t="s">
        <v>643</v>
      </c>
      <c r="AK58" s="2" t="s">
        <v>646</v>
      </c>
      <c r="AL58" s="2" t="s">
        <v>218</v>
      </c>
      <c r="AM58" s="2" t="s">
        <v>248</v>
      </c>
      <c r="AN58" s="198" t="s">
        <v>647</v>
      </c>
      <c r="AO58" s="2">
        <v>208.756</v>
      </c>
      <c r="AP58" s="2">
        <v>0.0001</v>
      </c>
      <c r="AQ58" s="2">
        <v>53</v>
      </c>
      <c r="AR58" s="2">
        <v>0</v>
      </c>
      <c r="AS58" s="2" t="s">
        <v>221</v>
      </c>
      <c r="AT58" s="2" t="s">
        <v>222</v>
      </c>
      <c r="AU58" s="102">
        <v>46283</v>
      </c>
      <c r="AV58" s="2">
        <v>445.23</v>
      </c>
      <c r="AW58" s="2" t="s">
        <v>223</v>
      </c>
      <c r="AX58" s="2" t="s">
        <v>223</v>
      </c>
      <c r="AY58" s="2">
        <v>7066.5</v>
      </c>
      <c r="AZ58" s="2" t="s">
        <v>224</v>
      </c>
      <c r="BA58" s="2" t="s">
        <v>648</v>
      </c>
      <c r="BB58" s="2">
        <v>445.23</v>
      </c>
      <c r="BC58" s="2">
        <v>391.8</v>
      </c>
      <c r="BD58" s="2">
        <v>445.23</v>
      </c>
      <c r="BE58" s="2">
        <v>53.43</v>
      </c>
      <c r="BF58" s="12">
        <v>0.12</v>
      </c>
      <c r="BG58" s="2">
        <v>0</v>
      </c>
      <c r="BH58" s="2">
        <v>208.756</v>
      </c>
      <c r="BI58" s="2">
        <v>317.74</v>
      </c>
      <c r="BJ58" s="2">
        <v>0</v>
      </c>
      <c r="BK58" s="2">
        <v>18</v>
      </c>
      <c r="BL58" s="2">
        <v>0</v>
      </c>
      <c r="BM58" s="2">
        <v>0</v>
      </c>
      <c r="BN58" s="2">
        <v>10.6</v>
      </c>
      <c r="BO58" s="2">
        <v>16.5</v>
      </c>
      <c r="BP58" s="2">
        <v>4.23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24.73</v>
      </c>
      <c r="CB58" s="2" t="s">
        <v>226</v>
      </c>
      <c r="CC58" s="2" t="s">
        <v>649</v>
      </c>
      <c r="CD58" s="2">
        <v>492.89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89.05</v>
      </c>
      <c r="CV58" s="2" t="s">
        <v>326</v>
      </c>
      <c r="CW58" s="2">
        <v>89.05</v>
      </c>
      <c r="CX58" s="198" t="s">
        <v>327</v>
      </c>
      <c r="CY58" s="2">
        <v>106.47</v>
      </c>
      <c r="CZ58" s="2" t="s">
        <v>650</v>
      </c>
      <c r="DA58" s="2">
        <v>106.48</v>
      </c>
      <c r="DB58" s="198" t="s">
        <v>651</v>
      </c>
      <c r="DE58" s="2">
        <v>0</v>
      </c>
      <c r="DF58" s="2" t="s">
        <v>232</v>
      </c>
      <c r="DG58" s="2" t="s">
        <v>209</v>
      </c>
      <c r="DH58" s="2" t="s">
        <v>208</v>
      </c>
      <c r="DI58" s="2">
        <v>252895738</v>
      </c>
      <c r="DJ58" s="2" t="s">
        <v>211</v>
      </c>
      <c r="DK58" s="2">
        <v>0</v>
      </c>
      <c r="DL58" s="2" t="s">
        <v>201</v>
      </c>
      <c r="DM58" s="2">
        <v>53.43</v>
      </c>
    </row>
    <row r="59" s="2" customFormat="1" ht="12" spans="1:117">
      <c r="A59" s="2">
        <v>2</v>
      </c>
      <c r="B59" s="2" t="s">
        <v>652</v>
      </c>
      <c r="C59" s="2" t="s">
        <v>199</v>
      </c>
      <c r="D59" s="2" t="s">
        <v>200</v>
      </c>
      <c r="E59" s="2" t="s">
        <v>201</v>
      </c>
      <c r="F59" s="102">
        <v>46258</v>
      </c>
      <c r="G59" s="2" t="s">
        <v>202</v>
      </c>
      <c r="H59" s="2" t="s">
        <v>653</v>
      </c>
      <c r="I59" s="2" t="s">
        <v>204</v>
      </c>
      <c r="J59" s="2" t="s">
        <v>205</v>
      </c>
      <c r="K59" s="2" t="s">
        <v>206</v>
      </c>
      <c r="L59" s="2" t="s">
        <v>207</v>
      </c>
      <c r="M59" s="2">
        <v>892</v>
      </c>
      <c r="N59" s="2" t="s">
        <v>208</v>
      </c>
      <c r="O59" s="2" t="s">
        <v>209</v>
      </c>
      <c r="P59" s="2" t="s">
        <v>210</v>
      </c>
      <c r="Q59" s="2" t="s">
        <v>204</v>
      </c>
      <c r="R59" s="2" t="s">
        <v>205</v>
      </c>
      <c r="S59" s="2" t="s">
        <v>208</v>
      </c>
      <c r="T59" s="2" t="s">
        <v>209</v>
      </c>
      <c r="U59" s="2" t="s">
        <v>204</v>
      </c>
      <c r="V59" s="2" t="s">
        <v>205</v>
      </c>
      <c r="W59" s="2" t="s">
        <v>206</v>
      </c>
      <c r="X59" s="2" t="s">
        <v>207</v>
      </c>
      <c r="Y59" s="2" t="s">
        <v>208</v>
      </c>
      <c r="Z59" s="2" t="s">
        <v>209</v>
      </c>
      <c r="AA59" s="2" t="s">
        <v>211</v>
      </c>
      <c r="AB59" s="2" t="s">
        <v>212</v>
      </c>
      <c r="AC59" s="2" t="s">
        <v>654</v>
      </c>
      <c r="AD59" s="2" t="s">
        <v>655</v>
      </c>
      <c r="AE59" s="2">
        <v>366</v>
      </c>
      <c r="AF59" s="2" t="s">
        <v>456</v>
      </c>
      <c r="AG59" s="2" t="s">
        <v>656</v>
      </c>
      <c r="AH59" s="2" t="s">
        <v>218</v>
      </c>
      <c r="AI59" s="2" t="s">
        <v>654</v>
      </c>
      <c r="AJ59" s="2" t="s">
        <v>655</v>
      </c>
      <c r="AK59" s="2" t="s">
        <v>656</v>
      </c>
      <c r="AL59" s="2" t="s">
        <v>218</v>
      </c>
      <c r="AM59" s="2" t="s">
        <v>371</v>
      </c>
      <c r="AN59" s="198" t="s">
        <v>657</v>
      </c>
      <c r="AO59" s="2">
        <v>101.04</v>
      </c>
      <c r="AP59" s="2">
        <v>0.0001</v>
      </c>
      <c r="AQ59" s="2">
        <v>18</v>
      </c>
      <c r="AR59" s="2">
        <v>0</v>
      </c>
      <c r="AS59" s="2" t="s">
        <v>221</v>
      </c>
      <c r="AT59" s="2" t="s">
        <v>222</v>
      </c>
      <c r="AU59" s="102">
        <v>46283</v>
      </c>
      <c r="AV59" s="2">
        <v>260.88</v>
      </c>
      <c r="AW59" s="2" t="s">
        <v>223</v>
      </c>
      <c r="AX59" s="2" t="s">
        <v>223</v>
      </c>
      <c r="AY59" s="2">
        <v>3726.03</v>
      </c>
      <c r="AZ59" s="2" t="s">
        <v>224</v>
      </c>
      <c r="BA59" s="2" t="s">
        <v>459</v>
      </c>
      <c r="BB59" s="2">
        <v>260.88</v>
      </c>
      <c r="BC59" s="2">
        <v>229.57</v>
      </c>
      <c r="BD59" s="2">
        <v>260.88</v>
      </c>
      <c r="BE59" s="2">
        <v>31.31</v>
      </c>
      <c r="BF59" s="12">
        <v>0.12</v>
      </c>
      <c r="BG59" s="2">
        <v>0</v>
      </c>
      <c r="BH59" s="2">
        <v>101.04</v>
      </c>
      <c r="BI59" s="2">
        <v>177.71</v>
      </c>
      <c r="BJ59" s="2">
        <v>0</v>
      </c>
      <c r="BK59" s="2">
        <v>18</v>
      </c>
      <c r="BL59" s="2">
        <v>0</v>
      </c>
      <c r="BM59" s="2">
        <v>0</v>
      </c>
      <c r="BN59" s="2">
        <v>5.59</v>
      </c>
      <c r="BO59" s="2">
        <v>11</v>
      </c>
      <c r="BP59" s="2">
        <v>4.23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13.04</v>
      </c>
      <c r="CB59" s="2" t="s">
        <v>226</v>
      </c>
      <c r="CC59" s="2" t="s">
        <v>456</v>
      </c>
      <c r="CD59" s="2">
        <v>413.77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52.18</v>
      </c>
      <c r="CV59" s="2" t="s">
        <v>326</v>
      </c>
      <c r="CW59" s="2">
        <v>52.18</v>
      </c>
      <c r="CX59" s="198" t="s">
        <v>327</v>
      </c>
      <c r="CY59" s="2">
        <v>50.52</v>
      </c>
      <c r="CZ59" s="2" t="s">
        <v>301</v>
      </c>
      <c r="DA59" s="2">
        <v>50.52</v>
      </c>
      <c r="DB59" s="199" t="s">
        <v>658</v>
      </c>
      <c r="DE59" s="2">
        <v>0</v>
      </c>
      <c r="DF59" s="2" t="s">
        <v>232</v>
      </c>
      <c r="DG59" s="2" t="s">
        <v>209</v>
      </c>
      <c r="DH59" s="2" t="s">
        <v>208</v>
      </c>
      <c r="DI59" s="2">
        <v>252895738</v>
      </c>
      <c r="DJ59" s="2" t="s">
        <v>211</v>
      </c>
      <c r="DK59" s="2">
        <v>0</v>
      </c>
      <c r="DL59" s="2" t="s">
        <v>201</v>
      </c>
      <c r="DM59" s="2">
        <v>31.31</v>
      </c>
    </row>
    <row r="60" s="2" customFormat="1" ht="12" spans="1:117">
      <c r="A60" s="2">
        <v>2</v>
      </c>
      <c r="B60" s="2" t="s">
        <v>659</v>
      </c>
      <c r="C60" s="2" t="s">
        <v>199</v>
      </c>
      <c r="D60" s="2" t="s">
        <v>200</v>
      </c>
      <c r="E60" s="2" t="s">
        <v>201</v>
      </c>
      <c r="F60" s="102">
        <v>46259</v>
      </c>
      <c r="G60" s="2" t="s">
        <v>202</v>
      </c>
      <c r="H60" s="2" t="s">
        <v>660</v>
      </c>
      <c r="I60" s="2" t="s">
        <v>204</v>
      </c>
      <c r="J60" s="2" t="s">
        <v>205</v>
      </c>
      <c r="K60" s="2" t="s">
        <v>206</v>
      </c>
      <c r="L60" s="2" t="s">
        <v>207</v>
      </c>
      <c r="M60" s="2">
        <v>892</v>
      </c>
      <c r="N60" s="2" t="s">
        <v>208</v>
      </c>
      <c r="O60" s="2" t="s">
        <v>209</v>
      </c>
      <c r="P60" s="2" t="s">
        <v>210</v>
      </c>
      <c r="Q60" s="2" t="s">
        <v>204</v>
      </c>
      <c r="R60" s="2" t="s">
        <v>205</v>
      </c>
      <c r="S60" s="2" t="s">
        <v>208</v>
      </c>
      <c r="T60" s="2" t="s">
        <v>209</v>
      </c>
      <c r="U60" s="2" t="s">
        <v>204</v>
      </c>
      <c r="V60" s="2" t="s">
        <v>205</v>
      </c>
      <c r="W60" s="2" t="s">
        <v>206</v>
      </c>
      <c r="X60" s="2" t="s">
        <v>207</v>
      </c>
      <c r="Y60" s="2" t="s">
        <v>208</v>
      </c>
      <c r="Z60" s="2" t="s">
        <v>209</v>
      </c>
      <c r="AA60" s="2" t="s">
        <v>211</v>
      </c>
      <c r="AB60" s="2" t="s">
        <v>212</v>
      </c>
      <c r="AC60" s="2" t="s">
        <v>661</v>
      </c>
      <c r="AD60" s="2" t="s">
        <v>662</v>
      </c>
      <c r="AE60" s="2">
        <v>363</v>
      </c>
      <c r="AF60" s="2" t="s">
        <v>456</v>
      </c>
      <c r="AG60" s="2" t="s">
        <v>457</v>
      </c>
      <c r="AH60" s="2" t="s">
        <v>218</v>
      </c>
      <c r="AI60" s="2" t="s">
        <v>661</v>
      </c>
      <c r="AJ60" s="2" t="s">
        <v>662</v>
      </c>
      <c r="AK60" s="2" t="s">
        <v>457</v>
      </c>
      <c r="AL60" s="2" t="s">
        <v>218</v>
      </c>
      <c r="AM60" s="2" t="s">
        <v>371</v>
      </c>
      <c r="AN60" s="198" t="s">
        <v>663</v>
      </c>
      <c r="AO60" s="2">
        <v>116.032</v>
      </c>
      <c r="AP60" s="2">
        <v>0.0001</v>
      </c>
      <c r="AQ60" s="2">
        <v>24</v>
      </c>
      <c r="AR60" s="2">
        <v>0</v>
      </c>
      <c r="AS60" s="2" t="s">
        <v>221</v>
      </c>
      <c r="AT60" s="2" t="s">
        <v>222</v>
      </c>
      <c r="AU60" s="102">
        <v>46283</v>
      </c>
      <c r="AV60" s="2">
        <v>279.4</v>
      </c>
      <c r="AW60" s="2" t="s">
        <v>223</v>
      </c>
      <c r="AX60" s="2" t="s">
        <v>223</v>
      </c>
      <c r="AY60" s="2">
        <v>3087.65</v>
      </c>
      <c r="AZ60" s="2" t="s">
        <v>224</v>
      </c>
      <c r="BA60" s="2" t="s">
        <v>459</v>
      </c>
      <c r="BB60" s="2">
        <v>279.4</v>
      </c>
      <c r="BC60" s="2">
        <v>245.87</v>
      </c>
      <c r="BD60" s="2">
        <v>279.4</v>
      </c>
      <c r="BE60" s="2">
        <v>33.53</v>
      </c>
      <c r="BF60" s="12">
        <v>0.12</v>
      </c>
      <c r="BG60" s="2">
        <v>0</v>
      </c>
      <c r="BH60" s="2">
        <v>116.032</v>
      </c>
      <c r="BI60" s="2">
        <v>197.2</v>
      </c>
      <c r="BJ60" s="2">
        <v>0</v>
      </c>
      <c r="BK60" s="2">
        <v>18</v>
      </c>
      <c r="BL60" s="2">
        <v>0</v>
      </c>
      <c r="BM60" s="2">
        <v>0</v>
      </c>
      <c r="BN60" s="2">
        <v>4.63</v>
      </c>
      <c r="BO60" s="2">
        <v>11</v>
      </c>
      <c r="BP60" s="2">
        <v>4.23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10.81</v>
      </c>
      <c r="CB60" s="2" t="s">
        <v>226</v>
      </c>
      <c r="CC60" s="2" t="s">
        <v>456</v>
      </c>
      <c r="CD60" s="2">
        <v>404.52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55.88</v>
      </c>
      <c r="CV60" s="2" t="s">
        <v>326</v>
      </c>
      <c r="CW60" s="2">
        <v>55.88</v>
      </c>
      <c r="CX60" s="198" t="s">
        <v>327</v>
      </c>
      <c r="CY60" s="2">
        <v>58.02</v>
      </c>
      <c r="CZ60" s="2" t="s">
        <v>301</v>
      </c>
      <c r="DA60" s="2">
        <v>58.02</v>
      </c>
      <c r="DB60" s="199" t="s">
        <v>658</v>
      </c>
      <c r="DE60" s="2">
        <v>0</v>
      </c>
      <c r="DF60" s="2" t="s">
        <v>232</v>
      </c>
      <c r="DG60" s="2" t="s">
        <v>209</v>
      </c>
      <c r="DH60" s="2" t="s">
        <v>208</v>
      </c>
      <c r="DI60" s="2">
        <v>252895738</v>
      </c>
      <c r="DJ60" s="2" t="s">
        <v>211</v>
      </c>
      <c r="DK60" s="2">
        <v>0</v>
      </c>
      <c r="DL60" s="2" t="s">
        <v>201</v>
      </c>
      <c r="DM60" s="2">
        <v>33.53</v>
      </c>
    </row>
    <row r="61" s="2" customFormat="1" ht="12" spans="1:117">
      <c r="A61" s="2">
        <v>2</v>
      </c>
      <c r="B61" s="2" t="s">
        <v>664</v>
      </c>
      <c r="C61" s="2" t="s">
        <v>199</v>
      </c>
      <c r="D61" s="2" t="s">
        <v>200</v>
      </c>
      <c r="E61" s="2" t="s">
        <v>201</v>
      </c>
      <c r="F61" s="102">
        <v>46259</v>
      </c>
      <c r="G61" s="2" t="s">
        <v>202</v>
      </c>
      <c r="H61" s="2" t="s">
        <v>665</v>
      </c>
      <c r="I61" s="2" t="s">
        <v>204</v>
      </c>
      <c r="J61" s="2" t="s">
        <v>205</v>
      </c>
      <c r="K61" s="2" t="s">
        <v>206</v>
      </c>
      <c r="L61" s="2" t="s">
        <v>207</v>
      </c>
      <c r="M61" s="2">
        <v>892</v>
      </c>
      <c r="N61" s="2" t="s">
        <v>208</v>
      </c>
      <c r="O61" s="2" t="s">
        <v>209</v>
      </c>
      <c r="P61" s="2" t="s">
        <v>210</v>
      </c>
      <c r="Q61" s="2" t="s">
        <v>204</v>
      </c>
      <c r="R61" s="2" t="s">
        <v>205</v>
      </c>
      <c r="S61" s="2" t="s">
        <v>208</v>
      </c>
      <c r="T61" s="2" t="s">
        <v>209</v>
      </c>
      <c r="U61" s="2" t="s">
        <v>204</v>
      </c>
      <c r="V61" s="2" t="s">
        <v>205</v>
      </c>
      <c r="W61" s="2" t="s">
        <v>206</v>
      </c>
      <c r="X61" s="2" t="s">
        <v>207</v>
      </c>
      <c r="Y61" s="2" t="s">
        <v>208</v>
      </c>
      <c r="Z61" s="2" t="s">
        <v>209</v>
      </c>
      <c r="AA61" s="2" t="s">
        <v>211</v>
      </c>
      <c r="AB61" s="2" t="s">
        <v>212</v>
      </c>
      <c r="AC61" s="2" t="s">
        <v>666</v>
      </c>
      <c r="AD61" s="2" t="s">
        <v>667</v>
      </c>
      <c r="AE61" s="2">
        <v>359</v>
      </c>
      <c r="AF61" s="2" t="s">
        <v>348</v>
      </c>
      <c r="AG61" s="2" t="s">
        <v>349</v>
      </c>
      <c r="AH61" s="2" t="s">
        <v>218</v>
      </c>
      <c r="AI61" s="2" t="s">
        <v>666</v>
      </c>
      <c r="AJ61" s="2" t="s">
        <v>667</v>
      </c>
      <c r="AK61" s="2" t="s">
        <v>349</v>
      </c>
      <c r="AL61" s="2" t="s">
        <v>218</v>
      </c>
      <c r="AM61" s="2" t="s">
        <v>350</v>
      </c>
      <c r="AN61" s="198" t="s">
        <v>668</v>
      </c>
      <c r="AO61" s="2">
        <v>374.36</v>
      </c>
      <c r="AP61" s="2">
        <v>0.0001</v>
      </c>
      <c r="AQ61" s="2">
        <v>66</v>
      </c>
      <c r="AR61" s="2">
        <v>0</v>
      </c>
      <c r="AS61" s="2" t="s">
        <v>221</v>
      </c>
      <c r="AT61" s="2" t="s">
        <v>222</v>
      </c>
      <c r="AU61" s="102">
        <v>46283</v>
      </c>
      <c r="AV61" s="2">
        <v>793.39</v>
      </c>
      <c r="AW61" s="2" t="s">
        <v>223</v>
      </c>
      <c r="AX61" s="2" t="s">
        <v>223</v>
      </c>
      <c r="AY61" s="2">
        <v>4196.51</v>
      </c>
      <c r="AZ61" s="2" t="s">
        <v>224</v>
      </c>
      <c r="BA61" s="2" t="s">
        <v>299</v>
      </c>
      <c r="BB61" s="2">
        <v>793.39</v>
      </c>
      <c r="BC61" s="2">
        <v>698.18</v>
      </c>
      <c r="BD61" s="2">
        <v>793.39</v>
      </c>
      <c r="BE61" s="2">
        <v>95.21</v>
      </c>
      <c r="BF61" s="12">
        <v>0.12</v>
      </c>
      <c r="BG61" s="2">
        <v>0</v>
      </c>
      <c r="BH61" s="2">
        <v>374.36</v>
      </c>
      <c r="BI61" s="2">
        <v>632.97</v>
      </c>
      <c r="BJ61" s="2">
        <v>0</v>
      </c>
      <c r="BK61" s="2">
        <v>18</v>
      </c>
      <c r="BL61" s="2">
        <v>0</v>
      </c>
      <c r="BM61" s="2">
        <v>0</v>
      </c>
      <c r="BN61" s="2">
        <v>6.29</v>
      </c>
      <c r="BO61" s="2">
        <v>22</v>
      </c>
      <c r="BP61" s="2">
        <v>4.23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14.69</v>
      </c>
      <c r="CB61" s="2" t="s">
        <v>226</v>
      </c>
      <c r="CC61" s="2" t="s">
        <v>300</v>
      </c>
      <c r="CD61" s="2">
        <v>1030.91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158.68</v>
      </c>
      <c r="CV61" s="2" t="s">
        <v>326</v>
      </c>
      <c r="CW61" s="2">
        <v>158.68</v>
      </c>
      <c r="CX61" s="198" t="s">
        <v>327</v>
      </c>
      <c r="CY61" s="2">
        <v>317.36</v>
      </c>
      <c r="CZ61" s="2" t="s">
        <v>508</v>
      </c>
      <c r="DA61" s="2">
        <f>CY61</f>
        <v>317.36</v>
      </c>
      <c r="DE61" s="2">
        <v>0</v>
      </c>
      <c r="DF61" s="2" t="s">
        <v>232</v>
      </c>
      <c r="DG61" s="2" t="s">
        <v>209</v>
      </c>
      <c r="DH61" s="2" t="s">
        <v>208</v>
      </c>
      <c r="DI61" s="2">
        <v>252895738</v>
      </c>
      <c r="DJ61" s="2" t="s">
        <v>211</v>
      </c>
      <c r="DK61" s="2">
        <v>0</v>
      </c>
      <c r="DL61" s="2" t="s">
        <v>201</v>
      </c>
      <c r="DM61" s="2">
        <v>95.21</v>
      </c>
    </row>
    <row r="62" s="2" customFormat="1" ht="12" spans="1:117">
      <c r="A62" s="2">
        <v>2</v>
      </c>
      <c r="B62" s="2" t="s">
        <v>669</v>
      </c>
      <c r="C62" s="2" t="s">
        <v>199</v>
      </c>
      <c r="D62" s="2" t="s">
        <v>200</v>
      </c>
      <c r="E62" s="2" t="s">
        <v>201</v>
      </c>
      <c r="F62" s="102">
        <v>46259</v>
      </c>
      <c r="G62" s="2" t="s">
        <v>202</v>
      </c>
      <c r="H62" s="2" t="s">
        <v>670</v>
      </c>
      <c r="I62" s="2" t="s">
        <v>204</v>
      </c>
      <c r="J62" s="2" t="s">
        <v>205</v>
      </c>
      <c r="K62" s="2" t="s">
        <v>206</v>
      </c>
      <c r="L62" s="2" t="s">
        <v>207</v>
      </c>
      <c r="M62" s="2">
        <v>892</v>
      </c>
      <c r="N62" s="2" t="s">
        <v>208</v>
      </c>
      <c r="O62" s="2" t="s">
        <v>209</v>
      </c>
      <c r="P62" s="2" t="s">
        <v>210</v>
      </c>
      <c r="Q62" s="2" t="s">
        <v>204</v>
      </c>
      <c r="R62" s="2" t="s">
        <v>205</v>
      </c>
      <c r="S62" s="2" t="s">
        <v>208</v>
      </c>
      <c r="T62" s="2" t="s">
        <v>209</v>
      </c>
      <c r="U62" s="2" t="s">
        <v>204</v>
      </c>
      <c r="V62" s="2" t="s">
        <v>205</v>
      </c>
      <c r="W62" s="2" t="s">
        <v>206</v>
      </c>
      <c r="X62" s="2" t="s">
        <v>207</v>
      </c>
      <c r="Y62" s="2" t="s">
        <v>208</v>
      </c>
      <c r="Z62" s="2" t="s">
        <v>209</v>
      </c>
      <c r="AA62" s="2" t="s">
        <v>211</v>
      </c>
      <c r="AB62" s="2" t="s">
        <v>212</v>
      </c>
      <c r="AC62" s="2" t="s">
        <v>489</v>
      </c>
      <c r="AD62" s="2" t="s">
        <v>490</v>
      </c>
      <c r="AE62" s="2" t="s">
        <v>491</v>
      </c>
      <c r="AF62" s="2" t="s">
        <v>216</v>
      </c>
      <c r="AG62" s="2" t="s">
        <v>492</v>
      </c>
      <c r="AH62" s="2" t="s">
        <v>218</v>
      </c>
      <c r="AI62" s="2" t="s">
        <v>489</v>
      </c>
      <c r="AJ62" s="2" t="s">
        <v>490</v>
      </c>
      <c r="AK62" s="2" t="s">
        <v>492</v>
      </c>
      <c r="AL62" s="2" t="s">
        <v>218</v>
      </c>
      <c r="AM62" s="2" t="s">
        <v>219</v>
      </c>
      <c r="AN62" s="198" t="s">
        <v>671</v>
      </c>
      <c r="AO62" s="2">
        <v>246</v>
      </c>
      <c r="AP62" s="2">
        <v>0.0001</v>
      </c>
      <c r="AQ62" s="2">
        <v>12</v>
      </c>
      <c r="AR62" s="2">
        <v>0</v>
      </c>
      <c r="AS62" s="2" t="s">
        <v>221</v>
      </c>
      <c r="AT62" s="2" t="s">
        <v>222</v>
      </c>
      <c r="AU62" s="102">
        <v>46283</v>
      </c>
      <c r="AV62" s="2">
        <v>479.19</v>
      </c>
      <c r="AW62" s="2" t="s">
        <v>223</v>
      </c>
      <c r="AX62" s="2" t="s">
        <v>223</v>
      </c>
      <c r="AY62" s="2">
        <v>3360</v>
      </c>
      <c r="AZ62" s="2" t="s">
        <v>224</v>
      </c>
      <c r="BA62" s="2" t="s">
        <v>240</v>
      </c>
      <c r="BB62" s="2">
        <v>479.19</v>
      </c>
      <c r="BC62" s="2">
        <v>421.69</v>
      </c>
      <c r="BD62" s="2">
        <v>479.19</v>
      </c>
      <c r="BE62" s="2">
        <v>57.5</v>
      </c>
      <c r="BF62" s="12">
        <v>0.12</v>
      </c>
      <c r="BG62" s="2">
        <v>0</v>
      </c>
      <c r="BH62" s="2">
        <v>246</v>
      </c>
      <c r="BI62" s="2">
        <v>366.16</v>
      </c>
      <c r="BJ62" s="2">
        <v>0</v>
      </c>
      <c r="BK62" s="2">
        <v>18</v>
      </c>
      <c r="BL62" s="2">
        <v>0</v>
      </c>
      <c r="BM62" s="2">
        <v>0</v>
      </c>
      <c r="BN62" s="2">
        <v>5.04</v>
      </c>
      <c r="BO62" s="2">
        <v>16.5</v>
      </c>
      <c r="BP62" s="2">
        <v>4.23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11.76</v>
      </c>
      <c r="CB62" s="2" t="s">
        <v>226</v>
      </c>
      <c r="CC62" s="2" t="s">
        <v>241</v>
      </c>
      <c r="CD62" s="2">
        <v>569.45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95.84</v>
      </c>
      <c r="CV62" s="2" t="s">
        <v>326</v>
      </c>
      <c r="CW62" s="2">
        <v>95.84</v>
      </c>
      <c r="CX62" s="198" t="s">
        <v>327</v>
      </c>
      <c r="CY62" s="2">
        <v>167.72</v>
      </c>
      <c r="CZ62" s="2" t="s">
        <v>621</v>
      </c>
      <c r="DA62" s="2">
        <v>167.72</v>
      </c>
      <c r="DB62" s="198" t="s">
        <v>622</v>
      </c>
      <c r="DE62" s="2">
        <v>0</v>
      </c>
      <c r="DF62" s="2" t="s">
        <v>232</v>
      </c>
      <c r="DG62" s="2" t="s">
        <v>209</v>
      </c>
      <c r="DH62" s="2" t="s">
        <v>208</v>
      </c>
      <c r="DI62" s="2">
        <v>252895738</v>
      </c>
      <c r="DJ62" s="2" t="s">
        <v>211</v>
      </c>
      <c r="DK62" s="2">
        <v>0</v>
      </c>
      <c r="DL62" s="2" t="s">
        <v>201</v>
      </c>
      <c r="DM62" s="2">
        <v>57.5</v>
      </c>
    </row>
    <row r="63" s="2" customFormat="1" ht="12" spans="1:117">
      <c r="A63" s="2">
        <v>2</v>
      </c>
      <c r="B63" s="2" t="s">
        <v>672</v>
      </c>
      <c r="C63" s="2" t="s">
        <v>673</v>
      </c>
      <c r="D63" s="2" t="s">
        <v>200</v>
      </c>
      <c r="E63" s="2" t="s">
        <v>201</v>
      </c>
      <c r="F63" s="102">
        <v>46259</v>
      </c>
      <c r="G63" s="2" t="s">
        <v>202</v>
      </c>
      <c r="H63" s="2" t="s">
        <v>674</v>
      </c>
      <c r="I63" s="2" t="s">
        <v>204</v>
      </c>
      <c r="J63" s="2" t="s">
        <v>205</v>
      </c>
      <c r="K63" s="2" t="s">
        <v>206</v>
      </c>
      <c r="L63" s="2" t="s">
        <v>207</v>
      </c>
      <c r="M63" s="2">
        <v>892</v>
      </c>
      <c r="N63" s="2" t="s">
        <v>208</v>
      </c>
      <c r="O63" s="2" t="s">
        <v>209</v>
      </c>
      <c r="P63" s="2" t="s">
        <v>210</v>
      </c>
      <c r="Q63" s="2" t="s">
        <v>204</v>
      </c>
      <c r="R63" s="2" t="s">
        <v>205</v>
      </c>
      <c r="S63" s="2" t="s">
        <v>208</v>
      </c>
      <c r="T63" s="2" t="s">
        <v>209</v>
      </c>
      <c r="U63" s="2" t="s">
        <v>204</v>
      </c>
      <c r="V63" s="2" t="s">
        <v>205</v>
      </c>
      <c r="W63" s="2" t="s">
        <v>206</v>
      </c>
      <c r="X63" s="2" t="s">
        <v>207</v>
      </c>
      <c r="Y63" s="2" t="s">
        <v>208</v>
      </c>
      <c r="Z63" s="2" t="s">
        <v>209</v>
      </c>
      <c r="AA63" s="2" t="s">
        <v>211</v>
      </c>
      <c r="AB63" s="2" t="s">
        <v>212</v>
      </c>
      <c r="AC63" s="2" t="s">
        <v>421</v>
      </c>
      <c r="AD63" s="2" t="s">
        <v>422</v>
      </c>
      <c r="AE63" s="2">
        <v>393</v>
      </c>
      <c r="AF63" s="2" t="s">
        <v>423</v>
      </c>
      <c r="AG63" s="2" t="s">
        <v>424</v>
      </c>
      <c r="AH63" s="2" t="s">
        <v>218</v>
      </c>
      <c r="AI63" s="2" t="s">
        <v>421</v>
      </c>
      <c r="AJ63" s="2" t="s">
        <v>422</v>
      </c>
      <c r="AK63" s="2" t="s">
        <v>425</v>
      </c>
      <c r="AL63" s="2" t="s">
        <v>218</v>
      </c>
      <c r="AM63" s="2" t="s">
        <v>248</v>
      </c>
      <c r="AN63" s="198" t="s">
        <v>426</v>
      </c>
      <c r="AO63" s="2">
        <v>39.12</v>
      </c>
      <c r="AP63" s="2">
        <v>0.0001</v>
      </c>
      <c r="AQ63" s="2">
        <v>10</v>
      </c>
      <c r="AR63" s="2">
        <v>0</v>
      </c>
      <c r="AS63" s="2" t="s">
        <v>221</v>
      </c>
      <c r="AT63" s="2" t="s">
        <v>222</v>
      </c>
      <c r="AU63" s="102">
        <v>46283</v>
      </c>
      <c r="AV63" s="2">
        <v>57</v>
      </c>
      <c r="AW63" s="2" t="s">
        <v>223</v>
      </c>
      <c r="AX63" s="2" t="s">
        <v>223</v>
      </c>
      <c r="AY63" s="2">
        <v>1734.34</v>
      </c>
      <c r="AZ63" s="2" t="s">
        <v>675</v>
      </c>
      <c r="BB63" s="2">
        <v>57</v>
      </c>
      <c r="BC63" s="2">
        <v>50.16</v>
      </c>
      <c r="BD63" s="2">
        <v>57</v>
      </c>
      <c r="BE63" s="2">
        <v>6.84</v>
      </c>
      <c r="BF63" s="12">
        <v>0.12</v>
      </c>
      <c r="BG63" s="2">
        <v>0</v>
      </c>
      <c r="BH63" s="2">
        <v>39.12</v>
      </c>
      <c r="BI63" s="2">
        <v>0</v>
      </c>
      <c r="BJ63" s="2">
        <v>50.16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 t="s">
        <v>226</v>
      </c>
      <c r="CC63" s="2" t="s">
        <v>428</v>
      </c>
      <c r="CD63" s="2">
        <v>385.14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 t="s">
        <v>301</v>
      </c>
      <c r="CW63" s="2">
        <v>0</v>
      </c>
      <c r="CY63" s="2">
        <v>0</v>
      </c>
      <c r="CZ63" s="2" t="s">
        <v>301</v>
      </c>
      <c r="DA63" s="2">
        <v>0</v>
      </c>
      <c r="DE63" s="2">
        <v>0</v>
      </c>
      <c r="DF63" s="2" t="s">
        <v>232</v>
      </c>
      <c r="DG63" s="2" t="s">
        <v>209</v>
      </c>
      <c r="DH63" s="2" t="s">
        <v>208</v>
      </c>
      <c r="DI63" s="2">
        <v>252895738</v>
      </c>
      <c r="DJ63" s="2" t="s">
        <v>211</v>
      </c>
      <c r="DK63" s="2">
        <v>0</v>
      </c>
      <c r="DL63" s="2" t="s">
        <v>201</v>
      </c>
      <c r="DM63" s="2">
        <v>6.84</v>
      </c>
    </row>
    <row r="64" s="2" customFormat="1" ht="12" spans="1:117">
      <c r="A64" s="2">
        <v>2</v>
      </c>
      <c r="B64" s="2" t="s">
        <v>676</v>
      </c>
      <c r="C64" s="2" t="s">
        <v>199</v>
      </c>
      <c r="D64" s="2" t="s">
        <v>200</v>
      </c>
      <c r="E64" s="2" t="s">
        <v>201</v>
      </c>
      <c r="F64" s="102">
        <v>46259</v>
      </c>
      <c r="G64" s="2" t="s">
        <v>202</v>
      </c>
      <c r="H64" s="2" t="s">
        <v>677</v>
      </c>
      <c r="I64" s="2" t="s">
        <v>204</v>
      </c>
      <c r="J64" s="2" t="s">
        <v>205</v>
      </c>
      <c r="K64" s="2" t="s">
        <v>206</v>
      </c>
      <c r="L64" s="2" t="s">
        <v>207</v>
      </c>
      <c r="M64" s="2">
        <v>892</v>
      </c>
      <c r="N64" s="2" t="s">
        <v>208</v>
      </c>
      <c r="O64" s="2" t="s">
        <v>209</v>
      </c>
      <c r="P64" s="2" t="s">
        <v>210</v>
      </c>
      <c r="Q64" s="2" t="s">
        <v>204</v>
      </c>
      <c r="R64" s="2" t="s">
        <v>205</v>
      </c>
      <c r="S64" s="2" t="s">
        <v>208</v>
      </c>
      <c r="T64" s="2" t="s">
        <v>209</v>
      </c>
      <c r="U64" s="2" t="s">
        <v>204</v>
      </c>
      <c r="V64" s="2" t="s">
        <v>205</v>
      </c>
      <c r="W64" s="2" t="s">
        <v>206</v>
      </c>
      <c r="X64" s="2" t="s">
        <v>207</v>
      </c>
      <c r="Y64" s="2" t="s">
        <v>208</v>
      </c>
      <c r="Z64" s="2" t="s">
        <v>209</v>
      </c>
      <c r="AA64" s="2" t="s">
        <v>211</v>
      </c>
      <c r="AB64" s="2" t="s">
        <v>212</v>
      </c>
      <c r="AC64" s="2" t="s">
        <v>678</v>
      </c>
      <c r="AD64" s="2" t="s">
        <v>679</v>
      </c>
      <c r="AE64" s="2" t="s">
        <v>416</v>
      </c>
      <c r="AF64" s="2" t="s">
        <v>259</v>
      </c>
      <c r="AG64" s="2" t="s">
        <v>417</v>
      </c>
      <c r="AH64" s="2" t="s">
        <v>218</v>
      </c>
      <c r="AI64" s="2" t="s">
        <v>678</v>
      </c>
      <c r="AJ64" s="2" t="s">
        <v>679</v>
      </c>
      <c r="AK64" s="2" t="s">
        <v>417</v>
      </c>
      <c r="AL64" s="2" t="s">
        <v>218</v>
      </c>
      <c r="AM64" s="2" t="s">
        <v>261</v>
      </c>
      <c r="AN64" s="198" t="s">
        <v>680</v>
      </c>
      <c r="AO64" s="2">
        <v>26.6</v>
      </c>
      <c r="AP64" s="2">
        <v>0.312</v>
      </c>
      <c r="AQ64" s="2">
        <v>26</v>
      </c>
      <c r="AR64" s="2">
        <v>0</v>
      </c>
      <c r="AS64" s="2" t="s">
        <v>221</v>
      </c>
      <c r="AT64" s="2" t="s">
        <v>222</v>
      </c>
      <c r="AU64" s="102">
        <v>46283</v>
      </c>
      <c r="AV64" s="2">
        <v>221.33</v>
      </c>
      <c r="AW64" s="2" t="s">
        <v>223</v>
      </c>
      <c r="AX64" s="2" t="s">
        <v>223</v>
      </c>
      <c r="AY64" s="2">
        <v>1516.97</v>
      </c>
      <c r="AZ64" s="2" t="s">
        <v>224</v>
      </c>
      <c r="BA64" s="2" t="s">
        <v>263</v>
      </c>
      <c r="BB64" s="2">
        <v>221.33</v>
      </c>
      <c r="BC64" s="2">
        <v>194.77</v>
      </c>
      <c r="BD64" s="2">
        <v>221.33</v>
      </c>
      <c r="BE64" s="2">
        <v>26.56</v>
      </c>
      <c r="BF64" s="12">
        <v>0.12</v>
      </c>
      <c r="BG64" s="2">
        <v>0</v>
      </c>
      <c r="BH64" s="2">
        <v>78</v>
      </c>
      <c r="BI64" s="2">
        <v>158.48</v>
      </c>
      <c r="BJ64" s="2">
        <v>0</v>
      </c>
      <c r="BK64" s="2">
        <v>18</v>
      </c>
      <c r="BL64" s="2">
        <v>0</v>
      </c>
      <c r="BM64" s="2">
        <v>0</v>
      </c>
      <c r="BN64" s="2">
        <v>3.25</v>
      </c>
      <c r="BO64" s="2">
        <v>5.5</v>
      </c>
      <c r="BP64" s="2">
        <v>4.23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5.31</v>
      </c>
      <c r="CB64" s="2" t="s">
        <v>226</v>
      </c>
      <c r="CC64" s="2" t="s">
        <v>259</v>
      </c>
      <c r="CD64" s="2">
        <v>382.92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44.27</v>
      </c>
      <c r="CV64" s="2" t="s">
        <v>326</v>
      </c>
      <c r="CW64" s="2">
        <v>44.27</v>
      </c>
      <c r="CX64" s="198" t="s">
        <v>327</v>
      </c>
      <c r="CY64" s="2">
        <v>15</v>
      </c>
      <c r="CZ64" s="2" t="s">
        <v>681</v>
      </c>
      <c r="DA64" s="2">
        <v>0</v>
      </c>
      <c r="DE64" s="2">
        <v>0</v>
      </c>
      <c r="DF64" s="2" t="s">
        <v>232</v>
      </c>
      <c r="DG64" s="2" t="s">
        <v>209</v>
      </c>
      <c r="DH64" s="2" t="s">
        <v>208</v>
      </c>
      <c r="DI64" s="2">
        <v>252895738</v>
      </c>
      <c r="DJ64" s="2" t="s">
        <v>211</v>
      </c>
      <c r="DK64" s="2">
        <v>0</v>
      </c>
      <c r="DL64" s="2" t="s">
        <v>201</v>
      </c>
      <c r="DM64" s="2">
        <v>26.56</v>
      </c>
    </row>
    <row r="65" s="2" customFormat="1" ht="12" spans="1:117">
      <c r="A65" s="2">
        <v>2</v>
      </c>
      <c r="B65" s="2" t="s">
        <v>682</v>
      </c>
      <c r="C65" s="2" t="s">
        <v>199</v>
      </c>
      <c r="D65" s="2" t="s">
        <v>200</v>
      </c>
      <c r="E65" s="2" t="s">
        <v>201</v>
      </c>
      <c r="F65" s="102">
        <v>46259</v>
      </c>
      <c r="G65" s="2" t="s">
        <v>202</v>
      </c>
      <c r="H65" s="2" t="s">
        <v>683</v>
      </c>
      <c r="I65" s="2" t="s">
        <v>204</v>
      </c>
      <c r="J65" s="2" t="s">
        <v>205</v>
      </c>
      <c r="K65" s="2" t="s">
        <v>206</v>
      </c>
      <c r="L65" s="2" t="s">
        <v>207</v>
      </c>
      <c r="M65" s="2">
        <v>892</v>
      </c>
      <c r="N65" s="2" t="s">
        <v>208</v>
      </c>
      <c r="O65" s="2" t="s">
        <v>209</v>
      </c>
      <c r="P65" s="2" t="s">
        <v>210</v>
      </c>
      <c r="Q65" s="2" t="s">
        <v>204</v>
      </c>
      <c r="R65" s="2" t="s">
        <v>205</v>
      </c>
      <c r="S65" s="2" t="s">
        <v>208</v>
      </c>
      <c r="T65" s="2" t="s">
        <v>209</v>
      </c>
      <c r="U65" s="2" t="s">
        <v>204</v>
      </c>
      <c r="V65" s="2" t="s">
        <v>205</v>
      </c>
      <c r="W65" s="2" t="s">
        <v>206</v>
      </c>
      <c r="X65" s="2" t="s">
        <v>207</v>
      </c>
      <c r="Y65" s="2" t="s">
        <v>208</v>
      </c>
      <c r="Z65" s="2" t="s">
        <v>209</v>
      </c>
      <c r="AA65" s="2" t="s">
        <v>211</v>
      </c>
      <c r="AB65" s="2" t="s">
        <v>212</v>
      </c>
      <c r="AC65" s="2" t="s">
        <v>684</v>
      </c>
      <c r="AD65" s="2" t="s">
        <v>685</v>
      </c>
      <c r="AE65" s="2" t="s">
        <v>332</v>
      </c>
      <c r="AF65" s="2" t="s">
        <v>216</v>
      </c>
      <c r="AG65" s="2" t="s">
        <v>333</v>
      </c>
      <c r="AH65" s="2" t="s">
        <v>218</v>
      </c>
      <c r="AI65" s="2" t="s">
        <v>684</v>
      </c>
      <c r="AJ65" s="2" t="s">
        <v>685</v>
      </c>
      <c r="AK65" s="2" t="s">
        <v>333</v>
      </c>
      <c r="AL65" s="2" t="s">
        <v>218</v>
      </c>
      <c r="AM65" s="2" t="s">
        <v>219</v>
      </c>
      <c r="AN65" s="198" t="s">
        <v>686</v>
      </c>
      <c r="AO65" s="2">
        <v>41.52</v>
      </c>
      <c r="AP65" s="2">
        <v>0.12</v>
      </c>
      <c r="AQ65" s="2">
        <v>10</v>
      </c>
      <c r="AR65" s="2">
        <v>0</v>
      </c>
      <c r="AS65" s="2" t="s">
        <v>221</v>
      </c>
      <c r="AT65" s="2" t="s">
        <v>222</v>
      </c>
      <c r="AU65" s="102">
        <v>46283</v>
      </c>
      <c r="AV65" s="2">
        <v>204.99</v>
      </c>
      <c r="AW65" s="2" t="s">
        <v>223</v>
      </c>
      <c r="AX65" s="2" t="s">
        <v>223</v>
      </c>
      <c r="AY65" s="2">
        <v>1745.09</v>
      </c>
      <c r="AZ65" s="2" t="s">
        <v>224</v>
      </c>
      <c r="BA65" s="2" t="s">
        <v>240</v>
      </c>
      <c r="BB65" s="2">
        <v>204.99</v>
      </c>
      <c r="BC65" s="2">
        <v>180.39</v>
      </c>
      <c r="BD65" s="2">
        <v>204.99</v>
      </c>
      <c r="BE65" s="2">
        <v>24.6</v>
      </c>
      <c r="BF65" s="12">
        <v>0.12</v>
      </c>
      <c r="BG65" s="2">
        <v>0</v>
      </c>
      <c r="BH65" s="2">
        <v>41.52</v>
      </c>
      <c r="BI65" s="2">
        <v>143.3</v>
      </c>
      <c r="BJ65" s="2">
        <v>0</v>
      </c>
      <c r="BK65" s="2">
        <v>18</v>
      </c>
      <c r="BL65" s="2">
        <v>0</v>
      </c>
      <c r="BM65" s="2">
        <v>0</v>
      </c>
      <c r="BN65" s="2">
        <v>3.25</v>
      </c>
      <c r="BO65" s="2">
        <v>5.5</v>
      </c>
      <c r="BP65" s="2">
        <v>4.23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6.11</v>
      </c>
      <c r="CB65" s="2" t="s">
        <v>226</v>
      </c>
      <c r="CC65" s="2" t="s">
        <v>241</v>
      </c>
      <c r="CD65" s="2">
        <v>385.17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41</v>
      </c>
      <c r="CV65" s="2" t="s">
        <v>326</v>
      </c>
      <c r="CW65" s="2">
        <v>41</v>
      </c>
      <c r="CX65" s="198" t="s">
        <v>327</v>
      </c>
      <c r="CY65" s="2">
        <v>71.75</v>
      </c>
      <c r="CZ65" s="2" t="s">
        <v>621</v>
      </c>
      <c r="DA65" s="2">
        <v>71.75</v>
      </c>
      <c r="DB65" s="198" t="s">
        <v>622</v>
      </c>
      <c r="DE65" s="2">
        <v>0</v>
      </c>
      <c r="DF65" s="2" t="s">
        <v>232</v>
      </c>
      <c r="DG65" s="2" t="s">
        <v>209</v>
      </c>
      <c r="DH65" s="2" t="s">
        <v>208</v>
      </c>
      <c r="DI65" s="2">
        <v>252895738</v>
      </c>
      <c r="DJ65" s="2" t="s">
        <v>211</v>
      </c>
      <c r="DK65" s="2">
        <v>0</v>
      </c>
      <c r="DL65" s="2" t="s">
        <v>201</v>
      </c>
      <c r="DM65" s="2">
        <v>24.6</v>
      </c>
    </row>
    <row r="66" s="2" customFormat="1" ht="12" spans="1:117">
      <c r="A66" s="2">
        <v>2</v>
      </c>
      <c r="B66" s="2" t="s">
        <v>687</v>
      </c>
      <c r="C66" s="2" t="s">
        <v>199</v>
      </c>
      <c r="D66" s="2" t="s">
        <v>200</v>
      </c>
      <c r="E66" s="2" t="s">
        <v>201</v>
      </c>
      <c r="F66" s="102">
        <v>46259</v>
      </c>
      <c r="G66" s="2" t="s">
        <v>202</v>
      </c>
      <c r="H66" s="2" t="s">
        <v>688</v>
      </c>
      <c r="I66" s="2" t="s">
        <v>204</v>
      </c>
      <c r="J66" s="2" t="s">
        <v>205</v>
      </c>
      <c r="K66" s="2" t="s">
        <v>206</v>
      </c>
      <c r="L66" s="2" t="s">
        <v>207</v>
      </c>
      <c r="M66" s="2">
        <v>892</v>
      </c>
      <c r="N66" s="2" t="s">
        <v>208</v>
      </c>
      <c r="O66" s="2" t="s">
        <v>209</v>
      </c>
      <c r="P66" s="2" t="s">
        <v>210</v>
      </c>
      <c r="Q66" s="2" t="s">
        <v>204</v>
      </c>
      <c r="R66" s="2" t="s">
        <v>205</v>
      </c>
      <c r="S66" s="2" t="s">
        <v>208</v>
      </c>
      <c r="T66" s="2" t="s">
        <v>209</v>
      </c>
      <c r="U66" s="2" t="s">
        <v>204</v>
      </c>
      <c r="V66" s="2" t="s">
        <v>205</v>
      </c>
      <c r="W66" s="2" t="s">
        <v>206</v>
      </c>
      <c r="X66" s="2" t="s">
        <v>207</v>
      </c>
      <c r="Y66" s="2" t="s">
        <v>208</v>
      </c>
      <c r="Z66" s="2" t="s">
        <v>209</v>
      </c>
      <c r="AA66" s="2" t="s">
        <v>211</v>
      </c>
      <c r="AB66" s="2" t="s">
        <v>212</v>
      </c>
      <c r="AC66" s="2" t="s">
        <v>448</v>
      </c>
      <c r="AD66" s="2" t="s">
        <v>449</v>
      </c>
      <c r="AE66" s="2">
        <v>332</v>
      </c>
      <c r="AF66" s="2" t="s">
        <v>259</v>
      </c>
      <c r="AG66" s="2" t="s">
        <v>450</v>
      </c>
      <c r="AH66" s="2" t="s">
        <v>218</v>
      </c>
      <c r="AI66" s="2" t="s">
        <v>448</v>
      </c>
      <c r="AJ66" s="2" t="s">
        <v>449</v>
      </c>
      <c r="AK66" s="2" t="s">
        <v>450</v>
      </c>
      <c r="AL66" s="2" t="s">
        <v>218</v>
      </c>
      <c r="AM66" s="2" t="s">
        <v>261</v>
      </c>
      <c r="AN66" s="198" t="s">
        <v>689</v>
      </c>
      <c r="AO66" s="2">
        <v>25.08</v>
      </c>
      <c r="AP66" s="2">
        <v>0.264</v>
      </c>
      <c r="AQ66" s="2">
        <v>22</v>
      </c>
      <c r="AR66" s="2">
        <v>0</v>
      </c>
      <c r="AS66" s="2" t="s">
        <v>221</v>
      </c>
      <c r="AT66" s="2" t="s">
        <v>222</v>
      </c>
      <c r="AU66" s="102">
        <v>46283</v>
      </c>
      <c r="AV66" s="2">
        <v>191.38</v>
      </c>
      <c r="AW66" s="2" t="s">
        <v>223</v>
      </c>
      <c r="AX66" s="2" t="s">
        <v>223</v>
      </c>
      <c r="AY66" s="2">
        <v>1528.53</v>
      </c>
      <c r="AZ66" s="2" t="s">
        <v>224</v>
      </c>
      <c r="BA66" s="2" t="s">
        <v>263</v>
      </c>
      <c r="BB66" s="2">
        <v>191.38</v>
      </c>
      <c r="BC66" s="2">
        <v>168.41</v>
      </c>
      <c r="BD66" s="2">
        <v>191.38</v>
      </c>
      <c r="BE66" s="2">
        <v>22.97</v>
      </c>
      <c r="BF66" s="12">
        <v>0.12</v>
      </c>
      <c r="BG66" s="2">
        <v>0</v>
      </c>
      <c r="BH66" s="2">
        <v>66</v>
      </c>
      <c r="BI66" s="2">
        <v>132.08</v>
      </c>
      <c r="BJ66" s="2">
        <v>0</v>
      </c>
      <c r="BK66" s="2">
        <v>18</v>
      </c>
      <c r="BL66" s="2">
        <v>0</v>
      </c>
      <c r="BM66" s="2">
        <v>0</v>
      </c>
      <c r="BN66" s="2">
        <v>3.25</v>
      </c>
      <c r="BO66" s="2">
        <v>5.5</v>
      </c>
      <c r="BP66" s="2">
        <v>4.23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5.35</v>
      </c>
      <c r="CB66" s="2" t="s">
        <v>226</v>
      </c>
      <c r="CC66" s="2" t="s">
        <v>259</v>
      </c>
      <c r="CD66" s="2">
        <v>383.07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38.28</v>
      </c>
      <c r="CV66" s="2" t="s">
        <v>326</v>
      </c>
      <c r="CW66" s="2">
        <v>38.28</v>
      </c>
      <c r="CX66" s="198" t="s">
        <v>327</v>
      </c>
      <c r="CY66" s="2">
        <v>15</v>
      </c>
      <c r="CZ66" s="2" t="s">
        <v>508</v>
      </c>
      <c r="DA66" s="2">
        <v>0</v>
      </c>
      <c r="DE66" s="2">
        <v>0</v>
      </c>
      <c r="DF66" s="2" t="s">
        <v>232</v>
      </c>
      <c r="DG66" s="2" t="s">
        <v>209</v>
      </c>
      <c r="DH66" s="2" t="s">
        <v>208</v>
      </c>
      <c r="DI66" s="2">
        <v>252895738</v>
      </c>
      <c r="DJ66" s="2" t="s">
        <v>211</v>
      </c>
      <c r="DK66" s="2">
        <v>0</v>
      </c>
      <c r="DL66" s="2" t="s">
        <v>201</v>
      </c>
      <c r="DM66" s="2">
        <v>22.97</v>
      </c>
    </row>
    <row r="67" s="2" customFormat="1" ht="12" spans="1:117">
      <c r="A67" s="2">
        <v>2</v>
      </c>
      <c r="B67" s="2" t="s">
        <v>690</v>
      </c>
      <c r="C67" s="2" t="s">
        <v>199</v>
      </c>
      <c r="D67" s="2" t="s">
        <v>200</v>
      </c>
      <c r="E67" s="2" t="s">
        <v>201</v>
      </c>
      <c r="F67" s="102">
        <v>46259</v>
      </c>
      <c r="G67" s="2" t="s">
        <v>202</v>
      </c>
      <c r="H67" s="2" t="s">
        <v>691</v>
      </c>
      <c r="I67" s="2" t="s">
        <v>204</v>
      </c>
      <c r="J67" s="2" t="s">
        <v>205</v>
      </c>
      <c r="K67" s="2" t="s">
        <v>206</v>
      </c>
      <c r="L67" s="2" t="s">
        <v>207</v>
      </c>
      <c r="M67" s="2">
        <v>892</v>
      </c>
      <c r="N67" s="2" t="s">
        <v>208</v>
      </c>
      <c r="O67" s="2" t="s">
        <v>209</v>
      </c>
      <c r="P67" s="2" t="s">
        <v>210</v>
      </c>
      <c r="Q67" s="2" t="s">
        <v>204</v>
      </c>
      <c r="R67" s="2" t="s">
        <v>205</v>
      </c>
      <c r="S67" s="2" t="s">
        <v>208</v>
      </c>
      <c r="T67" s="2" t="s">
        <v>209</v>
      </c>
      <c r="U67" s="2" t="s">
        <v>204</v>
      </c>
      <c r="V67" s="2" t="s">
        <v>205</v>
      </c>
      <c r="W67" s="2" t="s">
        <v>206</v>
      </c>
      <c r="X67" s="2" t="s">
        <v>207</v>
      </c>
      <c r="Y67" s="2" t="s">
        <v>208</v>
      </c>
      <c r="Z67" s="2" t="s">
        <v>209</v>
      </c>
      <c r="AA67" s="2" t="s">
        <v>211</v>
      </c>
      <c r="AB67" s="2" t="s">
        <v>212</v>
      </c>
      <c r="AC67" s="2" t="s">
        <v>692</v>
      </c>
      <c r="AD67" s="2" t="s">
        <v>693</v>
      </c>
      <c r="AE67" s="2">
        <v>369</v>
      </c>
      <c r="AF67" s="2" t="s">
        <v>306</v>
      </c>
      <c r="AG67" s="2" t="s">
        <v>694</v>
      </c>
      <c r="AH67" s="2" t="s">
        <v>218</v>
      </c>
      <c r="AI67" s="2" t="s">
        <v>692</v>
      </c>
      <c r="AJ67" s="2" t="s">
        <v>693</v>
      </c>
      <c r="AK67" s="2" t="s">
        <v>694</v>
      </c>
      <c r="AL67" s="2" t="s">
        <v>218</v>
      </c>
      <c r="AM67" s="2" t="s">
        <v>308</v>
      </c>
      <c r="AN67" s="198" t="s">
        <v>695</v>
      </c>
      <c r="AO67" s="2">
        <v>51.72</v>
      </c>
      <c r="AP67" s="2">
        <v>0.156</v>
      </c>
      <c r="AQ67" s="2">
        <v>13</v>
      </c>
      <c r="AR67" s="2">
        <v>0</v>
      </c>
      <c r="AS67" s="2" t="s">
        <v>221</v>
      </c>
      <c r="AT67" s="2" t="s">
        <v>222</v>
      </c>
      <c r="AU67" s="102">
        <v>46283</v>
      </c>
      <c r="AV67" s="2">
        <v>248.39</v>
      </c>
      <c r="AW67" s="2" t="s">
        <v>223</v>
      </c>
      <c r="AX67" s="2" t="s">
        <v>223</v>
      </c>
      <c r="AY67" s="2">
        <v>1715.12</v>
      </c>
      <c r="AZ67" s="2" t="s">
        <v>224</v>
      </c>
      <c r="BA67" s="2" t="s">
        <v>299</v>
      </c>
      <c r="BB67" s="2">
        <v>248.39</v>
      </c>
      <c r="BC67" s="2">
        <v>218.58</v>
      </c>
      <c r="BD67" s="2">
        <v>248.39</v>
      </c>
      <c r="BE67" s="2">
        <v>29.81</v>
      </c>
      <c r="BF67" s="12">
        <v>0.12</v>
      </c>
      <c r="BG67" s="2">
        <v>0</v>
      </c>
      <c r="BH67" s="2">
        <v>51.72</v>
      </c>
      <c r="BI67" s="2">
        <v>181.6</v>
      </c>
      <c r="BJ67" s="2">
        <v>0</v>
      </c>
      <c r="BK67" s="2">
        <v>18</v>
      </c>
      <c r="BL67" s="2">
        <v>0</v>
      </c>
      <c r="BM67" s="2">
        <v>0</v>
      </c>
      <c r="BN67" s="2">
        <v>3.25</v>
      </c>
      <c r="BO67" s="2">
        <v>5.5</v>
      </c>
      <c r="BP67" s="2">
        <v>4.23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6</v>
      </c>
      <c r="CB67" s="2" t="s">
        <v>226</v>
      </c>
      <c r="CC67" s="2" t="s">
        <v>300</v>
      </c>
      <c r="CD67" s="2">
        <v>384.92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49.68</v>
      </c>
      <c r="CV67" s="2" t="s">
        <v>326</v>
      </c>
      <c r="CW67" s="2">
        <v>49.68</v>
      </c>
      <c r="CX67" s="198" t="s">
        <v>327</v>
      </c>
      <c r="CY67" s="2">
        <v>91.44</v>
      </c>
      <c r="CZ67" s="2" t="s">
        <v>301</v>
      </c>
      <c r="DA67" s="104">
        <v>91.44</v>
      </c>
      <c r="DE67" s="2">
        <v>0</v>
      </c>
      <c r="DF67" s="2" t="s">
        <v>232</v>
      </c>
      <c r="DG67" s="2" t="s">
        <v>209</v>
      </c>
      <c r="DH67" s="2" t="s">
        <v>208</v>
      </c>
      <c r="DI67" s="2">
        <v>252895738</v>
      </c>
      <c r="DJ67" s="2" t="s">
        <v>211</v>
      </c>
      <c r="DK67" s="2">
        <v>0</v>
      </c>
      <c r="DL67" s="2" t="s">
        <v>201</v>
      </c>
      <c r="DM67" s="2">
        <v>29.81</v>
      </c>
    </row>
    <row r="68" s="2" customFormat="1" ht="12" spans="1:117">
      <c r="A68" s="2">
        <v>2</v>
      </c>
      <c r="B68" s="2" t="s">
        <v>696</v>
      </c>
      <c r="C68" s="2" t="s">
        <v>199</v>
      </c>
      <c r="D68" s="2" t="s">
        <v>200</v>
      </c>
      <c r="E68" s="2" t="s">
        <v>201</v>
      </c>
      <c r="F68" s="102">
        <v>46259</v>
      </c>
      <c r="G68" s="2" t="s">
        <v>202</v>
      </c>
      <c r="H68" s="2" t="s">
        <v>697</v>
      </c>
      <c r="I68" s="2" t="s">
        <v>204</v>
      </c>
      <c r="J68" s="2" t="s">
        <v>205</v>
      </c>
      <c r="K68" s="2" t="s">
        <v>206</v>
      </c>
      <c r="L68" s="2" t="s">
        <v>207</v>
      </c>
      <c r="M68" s="2">
        <v>892</v>
      </c>
      <c r="N68" s="2" t="s">
        <v>208</v>
      </c>
      <c r="O68" s="2" t="s">
        <v>209</v>
      </c>
      <c r="P68" s="2" t="s">
        <v>210</v>
      </c>
      <c r="Q68" s="2" t="s">
        <v>204</v>
      </c>
      <c r="R68" s="2" t="s">
        <v>205</v>
      </c>
      <c r="S68" s="2" t="s">
        <v>208</v>
      </c>
      <c r="T68" s="2" t="s">
        <v>209</v>
      </c>
      <c r="U68" s="2" t="s">
        <v>204</v>
      </c>
      <c r="V68" s="2" t="s">
        <v>205</v>
      </c>
      <c r="W68" s="2" t="s">
        <v>206</v>
      </c>
      <c r="X68" s="2" t="s">
        <v>207</v>
      </c>
      <c r="Y68" s="2" t="s">
        <v>208</v>
      </c>
      <c r="Z68" s="2" t="s">
        <v>209</v>
      </c>
      <c r="AA68" s="2" t="s">
        <v>211</v>
      </c>
      <c r="AB68" s="2" t="s">
        <v>212</v>
      </c>
      <c r="AC68" s="2" t="s">
        <v>698</v>
      </c>
      <c r="AD68" s="2" t="s">
        <v>699</v>
      </c>
      <c r="AE68" s="2" t="s">
        <v>385</v>
      </c>
      <c r="AF68" s="2" t="s">
        <v>216</v>
      </c>
      <c r="AG68" s="2" t="s">
        <v>386</v>
      </c>
      <c r="AH68" s="2" t="s">
        <v>218</v>
      </c>
      <c r="AI68" s="2" t="s">
        <v>698</v>
      </c>
      <c r="AJ68" s="2" t="s">
        <v>699</v>
      </c>
      <c r="AK68" s="2" t="s">
        <v>386</v>
      </c>
      <c r="AL68" s="2" t="s">
        <v>218</v>
      </c>
      <c r="AM68" s="2" t="s">
        <v>219</v>
      </c>
      <c r="AN68" s="198" t="s">
        <v>700</v>
      </c>
      <c r="AO68" s="2">
        <v>43.24</v>
      </c>
      <c r="AP68" s="2">
        <v>0.156</v>
      </c>
      <c r="AQ68" s="2">
        <v>13</v>
      </c>
      <c r="AR68" s="2">
        <v>0</v>
      </c>
      <c r="AS68" s="2" t="s">
        <v>221</v>
      </c>
      <c r="AT68" s="2" t="s">
        <v>222</v>
      </c>
      <c r="AU68" s="102">
        <v>46283</v>
      </c>
      <c r="AV68" s="2">
        <v>204.03</v>
      </c>
      <c r="AW68" s="2" t="s">
        <v>223</v>
      </c>
      <c r="AX68" s="2" t="s">
        <v>223</v>
      </c>
      <c r="AY68" s="2">
        <v>1505.54</v>
      </c>
      <c r="AZ68" s="2" t="s">
        <v>224</v>
      </c>
      <c r="BA68" s="2" t="s">
        <v>240</v>
      </c>
      <c r="BB68" s="2">
        <v>204.03</v>
      </c>
      <c r="BC68" s="2">
        <v>179.55</v>
      </c>
      <c r="BD68" s="2">
        <v>204.03</v>
      </c>
      <c r="BE68" s="2">
        <v>24.48</v>
      </c>
      <c r="BF68" s="12">
        <v>0.12</v>
      </c>
      <c r="BG68" s="2">
        <v>0</v>
      </c>
      <c r="BH68" s="2">
        <v>43.24</v>
      </c>
      <c r="BI68" s="2">
        <v>143.3</v>
      </c>
      <c r="BJ68" s="2">
        <v>0</v>
      </c>
      <c r="BK68" s="2">
        <v>18</v>
      </c>
      <c r="BL68" s="2">
        <v>0</v>
      </c>
      <c r="BM68" s="2">
        <v>0</v>
      </c>
      <c r="BN68" s="2">
        <v>3.25</v>
      </c>
      <c r="BO68" s="2">
        <v>5.5</v>
      </c>
      <c r="BP68" s="2">
        <v>4.23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5.27</v>
      </c>
      <c r="CB68" s="2" t="s">
        <v>226</v>
      </c>
      <c r="CC68" s="2" t="s">
        <v>241</v>
      </c>
      <c r="CD68" s="2">
        <v>382.8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40.81</v>
      </c>
      <c r="CV68" s="2" t="s">
        <v>326</v>
      </c>
      <c r="CW68" s="2">
        <v>40.81</v>
      </c>
      <c r="CX68" s="198" t="s">
        <v>327</v>
      </c>
      <c r="CY68" s="2">
        <v>71.41</v>
      </c>
      <c r="CZ68" s="2" t="s">
        <v>621</v>
      </c>
      <c r="DA68" s="2">
        <v>71.41</v>
      </c>
      <c r="DB68" s="198" t="s">
        <v>622</v>
      </c>
      <c r="DE68" s="2">
        <v>0</v>
      </c>
      <c r="DF68" s="2" t="s">
        <v>232</v>
      </c>
      <c r="DG68" s="2" t="s">
        <v>209</v>
      </c>
      <c r="DH68" s="2" t="s">
        <v>208</v>
      </c>
      <c r="DI68" s="2">
        <v>252895738</v>
      </c>
      <c r="DJ68" s="2" t="s">
        <v>211</v>
      </c>
      <c r="DK68" s="2">
        <v>0</v>
      </c>
      <c r="DL68" s="2" t="s">
        <v>201</v>
      </c>
      <c r="DM68" s="2">
        <v>24.48</v>
      </c>
    </row>
    <row r="69" s="2" customFormat="1" ht="12" spans="1:117">
      <c r="A69" s="2">
        <v>2</v>
      </c>
      <c r="B69" s="2" t="s">
        <v>701</v>
      </c>
      <c r="C69" s="2" t="s">
        <v>199</v>
      </c>
      <c r="D69" s="2" t="s">
        <v>200</v>
      </c>
      <c r="E69" s="2" t="s">
        <v>201</v>
      </c>
      <c r="F69" s="102">
        <v>46259</v>
      </c>
      <c r="G69" s="2" t="s">
        <v>202</v>
      </c>
      <c r="H69" s="2" t="s">
        <v>702</v>
      </c>
      <c r="I69" s="2" t="s">
        <v>204</v>
      </c>
      <c r="J69" s="2" t="s">
        <v>205</v>
      </c>
      <c r="K69" s="2" t="s">
        <v>206</v>
      </c>
      <c r="L69" s="2" t="s">
        <v>207</v>
      </c>
      <c r="M69" s="2">
        <v>892</v>
      </c>
      <c r="N69" s="2" t="s">
        <v>208</v>
      </c>
      <c r="O69" s="2" t="s">
        <v>209</v>
      </c>
      <c r="P69" s="2" t="s">
        <v>210</v>
      </c>
      <c r="Q69" s="2" t="s">
        <v>204</v>
      </c>
      <c r="R69" s="2" t="s">
        <v>205</v>
      </c>
      <c r="S69" s="2" t="s">
        <v>208</v>
      </c>
      <c r="T69" s="2" t="s">
        <v>209</v>
      </c>
      <c r="U69" s="2" t="s">
        <v>204</v>
      </c>
      <c r="V69" s="2" t="s">
        <v>205</v>
      </c>
      <c r="W69" s="2" t="s">
        <v>206</v>
      </c>
      <c r="X69" s="2" t="s">
        <v>207</v>
      </c>
      <c r="Y69" s="2" t="s">
        <v>208</v>
      </c>
      <c r="Z69" s="2" t="s">
        <v>209</v>
      </c>
      <c r="AA69" s="2" t="s">
        <v>211</v>
      </c>
      <c r="AB69" s="2" t="s">
        <v>212</v>
      </c>
      <c r="AC69" s="2" t="s">
        <v>703</v>
      </c>
      <c r="AD69" s="2" t="s">
        <v>704</v>
      </c>
      <c r="AE69" s="2">
        <v>388</v>
      </c>
      <c r="AF69" s="2" t="s">
        <v>498</v>
      </c>
      <c r="AG69" s="2" t="s">
        <v>705</v>
      </c>
      <c r="AH69" s="2" t="s">
        <v>218</v>
      </c>
      <c r="AI69" s="2" t="s">
        <v>703</v>
      </c>
      <c r="AJ69" s="2" t="s">
        <v>704</v>
      </c>
      <c r="AK69" s="2" t="s">
        <v>705</v>
      </c>
      <c r="AL69" s="2" t="s">
        <v>218</v>
      </c>
      <c r="AM69" s="2" t="s">
        <v>500</v>
      </c>
      <c r="AN69" s="198" t="s">
        <v>706</v>
      </c>
      <c r="AO69" s="2">
        <v>25.5</v>
      </c>
      <c r="AP69" s="2">
        <v>0.144</v>
      </c>
      <c r="AQ69" s="2">
        <v>12</v>
      </c>
      <c r="AR69" s="2">
        <v>0</v>
      </c>
      <c r="AS69" s="2" t="s">
        <v>221</v>
      </c>
      <c r="AT69" s="2" t="s">
        <v>222</v>
      </c>
      <c r="AU69" s="102">
        <v>46283</v>
      </c>
      <c r="AV69" s="2">
        <v>220.64</v>
      </c>
      <c r="AW69" s="2" t="s">
        <v>223</v>
      </c>
      <c r="AX69" s="2" t="s">
        <v>223</v>
      </c>
      <c r="AY69" s="2">
        <v>1586.76</v>
      </c>
      <c r="AZ69" s="2" t="s">
        <v>224</v>
      </c>
      <c r="BA69" s="2" t="s">
        <v>250</v>
      </c>
      <c r="BB69" s="2">
        <v>220.64</v>
      </c>
      <c r="BC69" s="2">
        <v>194.16</v>
      </c>
      <c r="BD69" s="2">
        <v>220.64</v>
      </c>
      <c r="BE69" s="2">
        <v>26.48</v>
      </c>
      <c r="BF69" s="12">
        <v>0.12</v>
      </c>
      <c r="BG69" s="2">
        <v>0</v>
      </c>
      <c r="BH69" s="2">
        <v>36</v>
      </c>
      <c r="BI69" s="2">
        <v>157.63</v>
      </c>
      <c r="BJ69" s="2">
        <v>0</v>
      </c>
      <c r="BK69" s="2">
        <v>18</v>
      </c>
      <c r="BL69" s="2">
        <v>0</v>
      </c>
      <c r="BM69" s="2">
        <v>0</v>
      </c>
      <c r="BN69" s="2">
        <v>3.25</v>
      </c>
      <c r="BO69" s="2">
        <v>5.5</v>
      </c>
      <c r="BP69" s="2">
        <v>4.23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5.55</v>
      </c>
      <c r="CB69" s="2" t="s">
        <v>226</v>
      </c>
      <c r="CC69" s="2" t="s">
        <v>251</v>
      </c>
      <c r="CD69" s="2">
        <v>383.66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44.13</v>
      </c>
      <c r="CV69" s="2" t="s">
        <v>326</v>
      </c>
      <c r="CW69" s="2">
        <v>44.13</v>
      </c>
      <c r="CX69" s="198" t="s">
        <v>327</v>
      </c>
      <c r="CY69" s="2">
        <v>99.29</v>
      </c>
      <c r="CZ69" s="2" t="s">
        <v>707</v>
      </c>
      <c r="DA69" s="2">
        <v>94.8</v>
      </c>
      <c r="DB69" s="2">
        <v>233909</v>
      </c>
      <c r="DE69" s="2">
        <v>0</v>
      </c>
      <c r="DF69" s="2" t="s">
        <v>232</v>
      </c>
      <c r="DG69" s="2" t="s">
        <v>209</v>
      </c>
      <c r="DH69" s="2" t="s">
        <v>208</v>
      </c>
      <c r="DI69" s="2">
        <v>252895738</v>
      </c>
      <c r="DJ69" s="2" t="s">
        <v>211</v>
      </c>
      <c r="DK69" s="2">
        <v>0</v>
      </c>
      <c r="DL69" s="2" t="s">
        <v>201</v>
      </c>
      <c r="DM69" s="2">
        <v>26.48</v>
      </c>
    </row>
    <row r="70" s="2" customFormat="1" ht="12" spans="1:117">
      <c r="A70" s="2">
        <v>2</v>
      </c>
      <c r="B70" s="2" t="s">
        <v>708</v>
      </c>
      <c r="C70" s="2" t="s">
        <v>199</v>
      </c>
      <c r="D70" s="2" t="s">
        <v>200</v>
      </c>
      <c r="E70" s="2" t="s">
        <v>201</v>
      </c>
      <c r="F70" s="102">
        <v>46261</v>
      </c>
      <c r="G70" s="2" t="s">
        <v>202</v>
      </c>
      <c r="H70" s="2" t="s">
        <v>709</v>
      </c>
      <c r="I70" s="2" t="s">
        <v>204</v>
      </c>
      <c r="J70" s="2" t="s">
        <v>205</v>
      </c>
      <c r="K70" s="2" t="s">
        <v>206</v>
      </c>
      <c r="L70" s="2" t="s">
        <v>207</v>
      </c>
      <c r="M70" s="2">
        <v>892</v>
      </c>
      <c r="N70" s="2" t="s">
        <v>208</v>
      </c>
      <c r="O70" s="2" t="s">
        <v>209</v>
      </c>
      <c r="P70" s="2" t="s">
        <v>210</v>
      </c>
      <c r="Q70" s="2" t="s">
        <v>204</v>
      </c>
      <c r="R70" s="2" t="s">
        <v>205</v>
      </c>
      <c r="S70" s="2" t="s">
        <v>208</v>
      </c>
      <c r="T70" s="2" t="s">
        <v>209</v>
      </c>
      <c r="U70" s="2" t="s">
        <v>204</v>
      </c>
      <c r="V70" s="2" t="s">
        <v>205</v>
      </c>
      <c r="W70" s="2" t="s">
        <v>206</v>
      </c>
      <c r="X70" s="2" t="s">
        <v>207</v>
      </c>
      <c r="Y70" s="2" t="s">
        <v>208</v>
      </c>
      <c r="Z70" s="2" t="s">
        <v>209</v>
      </c>
      <c r="AA70" s="2" t="s">
        <v>211</v>
      </c>
      <c r="AB70" s="2" t="s">
        <v>212</v>
      </c>
      <c r="AC70" s="2" t="s">
        <v>213</v>
      </c>
      <c r="AD70" s="2" t="s">
        <v>214</v>
      </c>
      <c r="AE70" s="2" t="s">
        <v>215</v>
      </c>
      <c r="AF70" s="2" t="s">
        <v>216</v>
      </c>
      <c r="AG70" s="2" t="s">
        <v>217</v>
      </c>
      <c r="AH70" s="2" t="s">
        <v>218</v>
      </c>
      <c r="AI70" s="2" t="s">
        <v>213</v>
      </c>
      <c r="AJ70" s="2" t="s">
        <v>214</v>
      </c>
      <c r="AK70" s="2" t="s">
        <v>217</v>
      </c>
      <c r="AL70" s="2" t="s">
        <v>218</v>
      </c>
      <c r="AM70" s="2" t="s">
        <v>219</v>
      </c>
      <c r="AN70" s="198" t="s">
        <v>710</v>
      </c>
      <c r="AO70" s="2">
        <v>49.848</v>
      </c>
      <c r="AP70" s="2">
        <v>0.0001</v>
      </c>
      <c r="AQ70" s="2">
        <v>9</v>
      </c>
      <c r="AR70" s="2">
        <v>0</v>
      </c>
      <c r="AS70" s="2" t="s">
        <v>221</v>
      </c>
      <c r="AT70" s="2" t="s">
        <v>222</v>
      </c>
      <c r="AU70" s="102">
        <v>46283</v>
      </c>
      <c r="AV70" s="2">
        <v>220.3</v>
      </c>
      <c r="AW70" s="2" t="s">
        <v>223</v>
      </c>
      <c r="AX70" s="2" t="s">
        <v>223</v>
      </c>
      <c r="AY70" s="2">
        <v>1500.32</v>
      </c>
      <c r="AZ70" s="2" t="s">
        <v>224</v>
      </c>
      <c r="BA70" s="2" t="s">
        <v>225</v>
      </c>
      <c r="BB70" s="2">
        <v>220.3</v>
      </c>
      <c r="BC70" s="2">
        <v>193.86</v>
      </c>
      <c r="BD70" s="2">
        <v>220.3</v>
      </c>
      <c r="BE70" s="2">
        <v>26.44</v>
      </c>
      <c r="BF70" s="12">
        <v>0.12</v>
      </c>
      <c r="BG70" s="2">
        <v>0</v>
      </c>
      <c r="BH70" s="2">
        <v>49.848</v>
      </c>
      <c r="BI70" s="2">
        <v>157.63</v>
      </c>
      <c r="BJ70" s="2">
        <v>0</v>
      </c>
      <c r="BK70" s="2">
        <v>18</v>
      </c>
      <c r="BL70" s="2">
        <v>0</v>
      </c>
      <c r="BM70" s="2">
        <v>0</v>
      </c>
      <c r="BN70" s="2">
        <v>3.25</v>
      </c>
      <c r="BO70" s="2">
        <v>5.5</v>
      </c>
      <c r="BP70" s="2">
        <v>4.23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5.25</v>
      </c>
      <c r="CB70" s="2" t="s">
        <v>226</v>
      </c>
      <c r="CC70" s="2" t="s">
        <v>227</v>
      </c>
      <c r="CD70" s="2">
        <v>382.73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44.06</v>
      </c>
      <c r="CV70" s="2" t="s">
        <v>326</v>
      </c>
      <c r="CW70" s="2">
        <v>44.06</v>
      </c>
      <c r="CX70" s="198" t="s">
        <v>327</v>
      </c>
      <c r="CY70" s="2">
        <v>77.11</v>
      </c>
      <c r="CZ70" s="2" t="s">
        <v>711</v>
      </c>
      <c r="DA70" s="2">
        <v>77.11</v>
      </c>
      <c r="DB70" s="198" t="s">
        <v>712</v>
      </c>
      <c r="DE70" s="2">
        <v>0</v>
      </c>
      <c r="DF70" s="2" t="s">
        <v>232</v>
      </c>
      <c r="DG70" s="2" t="s">
        <v>209</v>
      </c>
      <c r="DH70" s="2" t="s">
        <v>208</v>
      </c>
      <c r="DI70" s="2">
        <v>252895738</v>
      </c>
      <c r="DJ70" s="2" t="s">
        <v>211</v>
      </c>
      <c r="DK70" s="2">
        <v>0</v>
      </c>
      <c r="DL70" s="2" t="s">
        <v>201</v>
      </c>
      <c r="DM70" s="2">
        <v>26.44</v>
      </c>
    </row>
    <row r="71" s="2" customFormat="1" ht="12" spans="1:117">
      <c r="A71" s="2">
        <v>2</v>
      </c>
      <c r="B71" s="2" t="s">
        <v>713</v>
      </c>
      <c r="C71" s="2" t="s">
        <v>199</v>
      </c>
      <c r="D71" s="2" t="s">
        <v>200</v>
      </c>
      <c r="E71" s="2" t="s">
        <v>201</v>
      </c>
      <c r="F71" s="102">
        <v>46261</v>
      </c>
      <c r="G71" s="2" t="s">
        <v>202</v>
      </c>
      <c r="H71" s="2" t="s">
        <v>714</v>
      </c>
      <c r="I71" s="2" t="s">
        <v>204</v>
      </c>
      <c r="J71" s="2" t="s">
        <v>205</v>
      </c>
      <c r="K71" s="2" t="s">
        <v>206</v>
      </c>
      <c r="L71" s="2" t="s">
        <v>207</v>
      </c>
      <c r="M71" s="2">
        <v>892</v>
      </c>
      <c r="N71" s="2" t="s">
        <v>208</v>
      </c>
      <c r="O71" s="2" t="s">
        <v>209</v>
      </c>
      <c r="P71" s="2" t="s">
        <v>210</v>
      </c>
      <c r="Q71" s="2" t="s">
        <v>204</v>
      </c>
      <c r="R71" s="2" t="s">
        <v>205</v>
      </c>
      <c r="S71" s="2" t="s">
        <v>208</v>
      </c>
      <c r="T71" s="2" t="s">
        <v>209</v>
      </c>
      <c r="U71" s="2" t="s">
        <v>204</v>
      </c>
      <c r="V71" s="2" t="s">
        <v>205</v>
      </c>
      <c r="W71" s="2" t="s">
        <v>206</v>
      </c>
      <c r="X71" s="2" t="s">
        <v>207</v>
      </c>
      <c r="Y71" s="2" t="s">
        <v>208</v>
      </c>
      <c r="Z71" s="2" t="s">
        <v>209</v>
      </c>
      <c r="AA71" s="2" t="s">
        <v>211</v>
      </c>
      <c r="AB71" s="2" t="s">
        <v>212</v>
      </c>
      <c r="AC71" s="2" t="s">
        <v>715</v>
      </c>
      <c r="AD71" s="2" t="s">
        <v>716</v>
      </c>
      <c r="AE71" s="2">
        <v>394</v>
      </c>
      <c r="AF71" s="2" t="s">
        <v>339</v>
      </c>
      <c r="AG71" s="2" t="s">
        <v>435</v>
      </c>
      <c r="AH71" s="2" t="s">
        <v>218</v>
      </c>
      <c r="AI71" s="2" t="s">
        <v>715</v>
      </c>
      <c r="AJ71" s="2" t="s">
        <v>716</v>
      </c>
      <c r="AK71" s="2" t="s">
        <v>435</v>
      </c>
      <c r="AL71" s="2" t="s">
        <v>218</v>
      </c>
      <c r="AM71" s="2" t="s">
        <v>341</v>
      </c>
      <c r="AN71" s="198" t="s">
        <v>717</v>
      </c>
      <c r="AO71" s="2">
        <v>135.42</v>
      </c>
      <c r="AP71" s="2">
        <v>0.0001</v>
      </c>
      <c r="AQ71" s="2">
        <v>27</v>
      </c>
      <c r="AR71" s="2">
        <v>0</v>
      </c>
      <c r="AS71" s="2" t="s">
        <v>221</v>
      </c>
      <c r="AT71" s="2" t="s">
        <v>222</v>
      </c>
      <c r="AU71" s="102">
        <v>46283</v>
      </c>
      <c r="AV71" s="2">
        <v>341.58</v>
      </c>
      <c r="AW71" s="2" t="s">
        <v>223</v>
      </c>
      <c r="AX71" s="2" t="s">
        <v>223</v>
      </c>
      <c r="AY71" s="2">
        <v>3339.87</v>
      </c>
      <c r="AZ71" s="2" t="s">
        <v>224</v>
      </c>
      <c r="BA71" s="2" t="s">
        <v>343</v>
      </c>
      <c r="BB71" s="2">
        <v>341.58</v>
      </c>
      <c r="BC71" s="2">
        <v>300.59</v>
      </c>
      <c r="BD71" s="2">
        <v>341.58</v>
      </c>
      <c r="BE71" s="2">
        <v>40.99</v>
      </c>
      <c r="BF71" s="12">
        <v>0.12</v>
      </c>
      <c r="BG71" s="2">
        <v>0</v>
      </c>
      <c r="BH71" s="2">
        <v>135.42</v>
      </c>
      <c r="BI71" s="2">
        <v>250.66</v>
      </c>
      <c r="BJ71" s="2">
        <v>0</v>
      </c>
      <c r="BK71" s="2">
        <v>18</v>
      </c>
      <c r="BL71" s="2">
        <v>0</v>
      </c>
      <c r="BM71" s="2">
        <v>0</v>
      </c>
      <c r="BN71" s="2">
        <v>5.01</v>
      </c>
      <c r="BO71" s="2">
        <v>11</v>
      </c>
      <c r="BP71" s="2">
        <v>4.23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11.69</v>
      </c>
      <c r="CB71" s="2" t="s">
        <v>226</v>
      </c>
      <c r="CC71" s="2" t="s">
        <v>339</v>
      </c>
      <c r="CD71" s="2">
        <v>408.2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68.32</v>
      </c>
      <c r="CV71" s="2" t="s">
        <v>326</v>
      </c>
      <c r="CW71" s="2">
        <v>68.32</v>
      </c>
      <c r="CX71" s="198" t="s">
        <v>327</v>
      </c>
      <c r="CY71" s="2">
        <v>102.47</v>
      </c>
      <c r="CZ71" s="2" t="s">
        <v>301</v>
      </c>
      <c r="DA71" s="2">
        <f>CY71</f>
        <v>102.47</v>
      </c>
      <c r="DE71" s="2">
        <v>0</v>
      </c>
      <c r="DF71" s="2" t="s">
        <v>232</v>
      </c>
      <c r="DG71" s="2" t="s">
        <v>209</v>
      </c>
      <c r="DH71" s="2" t="s">
        <v>208</v>
      </c>
      <c r="DI71" s="2">
        <v>252895738</v>
      </c>
      <c r="DJ71" s="2" t="s">
        <v>211</v>
      </c>
      <c r="DK71" s="2">
        <v>0</v>
      </c>
      <c r="DL71" s="2" t="s">
        <v>201</v>
      </c>
      <c r="DM71" s="2">
        <v>40.99</v>
      </c>
    </row>
    <row r="72" s="2" customFormat="1" ht="12" spans="1:117">
      <c r="A72" s="2">
        <v>2</v>
      </c>
      <c r="B72" s="2" t="s">
        <v>718</v>
      </c>
      <c r="C72" s="2" t="s">
        <v>199</v>
      </c>
      <c r="D72" s="2" t="s">
        <v>200</v>
      </c>
      <c r="E72" s="2" t="s">
        <v>201</v>
      </c>
      <c r="F72" s="102">
        <v>46262</v>
      </c>
      <c r="G72" s="2" t="s">
        <v>202</v>
      </c>
      <c r="H72" s="2" t="s">
        <v>719</v>
      </c>
      <c r="I72" s="2" t="s">
        <v>204</v>
      </c>
      <c r="J72" s="2" t="s">
        <v>205</v>
      </c>
      <c r="K72" s="2" t="s">
        <v>206</v>
      </c>
      <c r="L72" s="2" t="s">
        <v>207</v>
      </c>
      <c r="M72" s="2">
        <v>892</v>
      </c>
      <c r="N72" s="2" t="s">
        <v>208</v>
      </c>
      <c r="O72" s="2" t="s">
        <v>209</v>
      </c>
      <c r="P72" s="2" t="s">
        <v>210</v>
      </c>
      <c r="Q72" s="2" t="s">
        <v>204</v>
      </c>
      <c r="R72" s="2" t="s">
        <v>205</v>
      </c>
      <c r="S72" s="2" t="s">
        <v>208</v>
      </c>
      <c r="T72" s="2" t="s">
        <v>209</v>
      </c>
      <c r="U72" s="2" t="s">
        <v>204</v>
      </c>
      <c r="V72" s="2" t="s">
        <v>205</v>
      </c>
      <c r="W72" s="2" t="s">
        <v>206</v>
      </c>
      <c r="X72" s="2" t="s">
        <v>207</v>
      </c>
      <c r="Y72" s="2" t="s">
        <v>208</v>
      </c>
      <c r="Z72" s="2" t="s">
        <v>209</v>
      </c>
      <c r="AA72" s="2" t="s">
        <v>211</v>
      </c>
      <c r="AB72" s="2" t="s">
        <v>212</v>
      </c>
      <c r="AC72" s="2" t="s">
        <v>720</v>
      </c>
      <c r="AD72" s="2" t="s">
        <v>716</v>
      </c>
      <c r="AE72" s="2">
        <v>394</v>
      </c>
      <c r="AF72" s="2" t="s">
        <v>339</v>
      </c>
      <c r="AG72" s="2" t="s">
        <v>435</v>
      </c>
      <c r="AH72" s="2" t="s">
        <v>218</v>
      </c>
      <c r="AI72" s="2" t="s">
        <v>720</v>
      </c>
      <c r="AJ72" s="2" t="s">
        <v>716</v>
      </c>
      <c r="AK72" s="2" t="s">
        <v>435</v>
      </c>
      <c r="AL72" s="2" t="s">
        <v>218</v>
      </c>
      <c r="AM72" s="2" t="s">
        <v>341</v>
      </c>
      <c r="AN72" s="198" t="s">
        <v>721</v>
      </c>
      <c r="AO72" s="2">
        <v>56.064</v>
      </c>
      <c r="AP72" s="2">
        <v>0.0001</v>
      </c>
      <c r="AQ72" s="2">
        <v>14</v>
      </c>
      <c r="AR72" s="2">
        <v>0</v>
      </c>
      <c r="AS72" s="2" t="s">
        <v>221</v>
      </c>
      <c r="AT72" s="2" t="s">
        <v>222</v>
      </c>
      <c r="AU72" s="102">
        <v>46283</v>
      </c>
      <c r="AV72" s="2">
        <v>248.17</v>
      </c>
      <c r="AW72" s="2" t="s">
        <v>223</v>
      </c>
      <c r="AX72" s="2" t="s">
        <v>223</v>
      </c>
      <c r="AY72" s="2">
        <v>1659.49</v>
      </c>
      <c r="AZ72" s="2" t="s">
        <v>224</v>
      </c>
      <c r="BA72" s="2" t="s">
        <v>343</v>
      </c>
      <c r="BB72" s="2">
        <v>248.17</v>
      </c>
      <c r="BC72" s="2">
        <v>218.39</v>
      </c>
      <c r="BD72" s="2">
        <v>248.17</v>
      </c>
      <c r="BE72" s="2">
        <v>29.78</v>
      </c>
      <c r="BF72" s="12">
        <v>0.12</v>
      </c>
      <c r="BG72" s="2">
        <v>0</v>
      </c>
      <c r="BH72" s="2">
        <v>56.064</v>
      </c>
      <c r="BI72" s="2">
        <v>181.6</v>
      </c>
      <c r="BJ72" s="2">
        <v>0</v>
      </c>
      <c r="BK72" s="2">
        <v>18</v>
      </c>
      <c r="BL72" s="2">
        <v>0</v>
      </c>
      <c r="BM72" s="2">
        <v>0</v>
      </c>
      <c r="BN72" s="2">
        <v>3.25</v>
      </c>
      <c r="BO72" s="2">
        <v>5.5</v>
      </c>
      <c r="BP72" s="2">
        <v>4.23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5.81</v>
      </c>
      <c r="CB72" s="2" t="s">
        <v>226</v>
      </c>
      <c r="CC72" s="2" t="s">
        <v>339</v>
      </c>
      <c r="CD72" s="2">
        <v>384.34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49.63</v>
      </c>
      <c r="CV72" s="2" t="s">
        <v>326</v>
      </c>
      <c r="CW72" s="2">
        <v>49.63</v>
      </c>
      <c r="CX72" s="198" t="s">
        <v>327</v>
      </c>
      <c r="CY72" s="2">
        <v>74.45</v>
      </c>
      <c r="CZ72" s="2" t="s">
        <v>301</v>
      </c>
      <c r="DA72" s="2">
        <f>CY72</f>
        <v>74.45</v>
      </c>
      <c r="DE72" s="2">
        <v>0</v>
      </c>
      <c r="DF72" s="2" t="s">
        <v>232</v>
      </c>
      <c r="DG72" s="2" t="s">
        <v>209</v>
      </c>
      <c r="DH72" s="2" t="s">
        <v>208</v>
      </c>
      <c r="DI72" s="2">
        <v>252895738</v>
      </c>
      <c r="DJ72" s="2" t="s">
        <v>211</v>
      </c>
      <c r="DK72" s="2">
        <v>0</v>
      </c>
      <c r="DL72" s="2" t="s">
        <v>201</v>
      </c>
      <c r="DM72" s="2">
        <v>29.78</v>
      </c>
    </row>
    <row r="73" s="2" customFormat="1" ht="12" spans="1:117">
      <c r="A73" s="2">
        <v>2</v>
      </c>
      <c r="B73" s="2" t="s">
        <v>722</v>
      </c>
      <c r="C73" s="2" t="s">
        <v>199</v>
      </c>
      <c r="D73" s="2" t="s">
        <v>200</v>
      </c>
      <c r="E73" s="2" t="s">
        <v>201</v>
      </c>
      <c r="F73" s="102">
        <v>46262</v>
      </c>
      <c r="G73" s="2" t="s">
        <v>202</v>
      </c>
      <c r="H73" s="2" t="s">
        <v>723</v>
      </c>
      <c r="I73" s="2" t="s">
        <v>204</v>
      </c>
      <c r="J73" s="2" t="s">
        <v>205</v>
      </c>
      <c r="K73" s="2" t="s">
        <v>206</v>
      </c>
      <c r="L73" s="2" t="s">
        <v>207</v>
      </c>
      <c r="M73" s="2">
        <v>892</v>
      </c>
      <c r="N73" s="2" t="s">
        <v>208</v>
      </c>
      <c r="O73" s="2" t="s">
        <v>209</v>
      </c>
      <c r="P73" s="2" t="s">
        <v>210</v>
      </c>
      <c r="Q73" s="2" t="s">
        <v>204</v>
      </c>
      <c r="R73" s="2" t="s">
        <v>205</v>
      </c>
      <c r="S73" s="2" t="s">
        <v>208</v>
      </c>
      <c r="T73" s="2" t="s">
        <v>209</v>
      </c>
      <c r="U73" s="2" t="s">
        <v>204</v>
      </c>
      <c r="V73" s="2" t="s">
        <v>205</v>
      </c>
      <c r="W73" s="2" t="s">
        <v>206</v>
      </c>
      <c r="X73" s="2" t="s">
        <v>207</v>
      </c>
      <c r="Y73" s="2" t="s">
        <v>208</v>
      </c>
      <c r="Z73" s="2" t="s">
        <v>209</v>
      </c>
      <c r="AA73" s="2" t="s">
        <v>211</v>
      </c>
      <c r="AB73" s="2" t="s">
        <v>212</v>
      </c>
      <c r="AC73" s="2" t="s">
        <v>724</v>
      </c>
      <c r="AD73" s="2" t="s">
        <v>725</v>
      </c>
      <c r="AE73" s="2">
        <v>363</v>
      </c>
      <c r="AF73" s="2" t="s">
        <v>456</v>
      </c>
      <c r="AG73" s="2" t="s">
        <v>457</v>
      </c>
      <c r="AH73" s="2" t="s">
        <v>218</v>
      </c>
      <c r="AI73" s="2" t="s">
        <v>724</v>
      </c>
      <c r="AJ73" s="2" t="s">
        <v>725</v>
      </c>
      <c r="AK73" s="2" t="s">
        <v>457</v>
      </c>
      <c r="AL73" s="2" t="s">
        <v>218</v>
      </c>
      <c r="AM73" s="2" t="s">
        <v>371</v>
      </c>
      <c r="AN73" s="198" t="s">
        <v>726</v>
      </c>
      <c r="AO73" s="2">
        <v>362.62</v>
      </c>
      <c r="AP73" s="2">
        <v>0.0001</v>
      </c>
      <c r="AQ73" s="2">
        <v>1</v>
      </c>
      <c r="AR73" s="2">
        <v>0</v>
      </c>
      <c r="AS73" s="2" t="s">
        <v>221</v>
      </c>
      <c r="AT73" s="2" t="s">
        <v>222</v>
      </c>
      <c r="AU73" s="102">
        <v>46283</v>
      </c>
      <c r="AV73" s="2">
        <v>699.24</v>
      </c>
      <c r="AW73" s="2" t="s">
        <v>223</v>
      </c>
      <c r="AX73" s="2" t="s">
        <v>223</v>
      </c>
      <c r="AY73" s="2">
        <v>10666.9</v>
      </c>
      <c r="AZ73" s="2" t="s">
        <v>224</v>
      </c>
      <c r="BA73" s="2" t="s">
        <v>459</v>
      </c>
      <c r="BB73" s="2">
        <v>699.24</v>
      </c>
      <c r="BC73" s="2">
        <v>615.33</v>
      </c>
      <c r="BD73" s="2">
        <v>699.24</v>
      </c>
      <c r="BE73" s="2">
        <v>83.91</v>
      </c>
      <c r="BF73" s="12">
        <v>0.12</v>
      </c>
      <c r="BG73" s="2">
        <v>0</v>
      </c>
      <c r="BH73" s="2">
        <v>362.62</v>
      </c>
      <c r="BI73" s="2">
        <v>517.77</v>
      </c>
      <c r="BJ73" s="2">
        <v>0</v>
      </c>
      <c r="BK73" s="2">
        <v>18</v>
      </c>
      <c r="BL73" s="2">
        <v>0</v>
      </c>
      <c r="BM73" s="2">
        <v>0</v>
      </c>
      <c r="BN73" s="2">
        <v>16</v>
      </c>
      <c r="BO73" s="2">
        <v>22</v>
      </c>
      <c r="BP73" s="2">
        <v>4.23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37.33</v>
      </c>
      <c r="CB73" s="2" t="s">
        <v>226</v>
      </c>
      <c r="CC73" s="2" t="s">
        <v>456</v>
      </c>
      <c r="CD73" s="2">
        <v>1083.59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139.85</v>
      </c>
      <c r="CV73" s="2" t="s">
        <v>326</v>
      </c>
      <c r="CW73" s="2">
        <v>139.85</v>
      </c>
      <c r="CX73" s="198" t="s">
        <v>327</v>
      </c>
      <c r="CY73" s="2">
        <v>181.31</v>
      </c>
      <c r="CZ73" s="2" t="s">
        <v>301</v>
      </c>
      <c r="DA73" s="2">
        <v>181.31</v>
      </c>
      <c r="DB73" s="199" t="s">
        <v>658</v>
      </c>
      <c r="DE73" s="2">
        <v>0</v>
      </c>
      <c r="DF73" s="2" t="s">
        <v>232</v>
      </c>
      <c r="DG73" s="2" t="s">
        <v>209</v>
      </c>
      <c r="DH73" s="2" t="s">
        <v>208</v>
      </c>
      <c r="DI73" s="2">
        <v>252895738</v>
      </c>
      <c r="DJ73" s="2" t="s">
        <v>211</v>
      </c>
      <c r="DK73" s="2">
        <v>0</v>
      </c>
      <c r="DL73" s="2" t="s">
        <v>201</v>
      </c>
      <c r="DM73" s="2">
        <v>83.91</v>
      </c>
    </row>
    <row r="74" s="2" customFormat="1" ht="12" spans="1:117">
      <c r="A74" s="2">
        <v>2</v>
      </c>
      <c r="B74" s="2" t="s">
        <v>727</v>
      </c>
      <c r="C74" s="2" t="s">
        <v>199</v>
      </c>
      <c r="D74" s="2" t="s">
        <v>200</v>
      </c>
      <c r="E74" s="2" t="s">
        <v>201</v>
      </c>
      <c r="F74" s="102">
        <v>46262</v>
      </c>
      <c r="G74" s="2" t="s">
        <v>202</v>
      </c>
      <c r="H74" s="2" t="s">
        <v>728</v>
      </c>
      <c r="I74" s="2" t="s">
        <v>204</v>
      </c>
      <c r="J74" s="2" t="s">
        <v>205</v>
      </c>
      <c r="K74" s="2" t="s">
        <v>206</v>
      </c>
      <c r="L74" s="2" t="s">
        <v>207</v>
      </c>
      <c r="M74" s="2">
        <v>892</v>
      </c>
      <c r="N74" s="2" t="s">
        <v>208</v>
      </c>
      <c r="O74" s="2" t="s">
        <v>209</v>
      </c>
      <c r="P74" s="2" t="s">
        <v>210</v>
      </c>
      <c r="Q74" s="2" t="s">
        <v>204</v>
      </c>
      <c r="R74" s="2" t="s">
        <v>205</v>
      </c>
      <c r="S74" s="2" t="s">
        <v>208</v>
      </c>
      <c r="T74" s="2" t="s">
        <v>209</v>
      </c>
      <c r="U74" s="2" t="s">
        <v>204</v>
      </c>
      <c r="V74" s="2" t="s">
        <v>205</v>
      </c>
      <c r="W74" s="2" t="s">
        <v>206</v>
      </c>
      <c r="X74" s="2" t="s">
        <v>207</v>
      </c>
      <c r="Y74" s="2" t="s">
        <v>208</v>
      </c>
      <c r="Z74" s="2" t="s">
        <v>209</v>
      </c>
      <c r="AA74" s="2" t="s">
        <v>211</v>
      </c>
      <c r="AB74" s="2" t="s">
        <v>212</v>
      </c>
      <c r="AC74" s="2" t="s">
        <v>729</v>
      </c>
      <c r="AD74" s="2" t="s">
        <v>730</v>
      </c>
      <c r="AE74" s="2">
        <v>352</v>
      </c>
      <c r="AF74" s="2" t="s">
        <v>400</v>
      </c>
      <c r="AG74" s="2" t="s">
        <v>513</v>
      </c>
      <c r="AH74" s="2" t="s">
        <v>218</v>
      </c>
      <c r="AI74" s="2" t="s">
        <v>729</v>
      </c>
      <c r="AJ74" s="2" t="s">
        <v>730</v>
      </c>
      <c r="AK74" s="2" t="s">
        <v>513</v>
      </c>
      <c r="AL74" s="2" t="s">
        <v>218</v>
      </c>
      <c r="AM74" s="2" t="s">
        <v>402</v>
      </c>
      <c r="AN74" s="198" t="s">
        <v>731</v>
      </c>
      <c r="AO74" s="2">
        <v>171.576</v>
      </c>
      <c r="AP74" s="2">
        <v>0.0001</v>
      </c>
      <c r="AQ74" s="2">
        <v>35</v>
      </c>
      <c r="AR74" s="2">
        <v>0</v>
      </c>
      <c r="AS74" s="2" t="s">
        <v>221</v>
      </c>
      <c r="AT74" s="2" t="s">
        <v>222</v>
      </c>
      <c r="AU74" s="102">
        <v>46283</v>
      </c>
      <c r="AV74" s="2">
        <v>411.83</v>
      </c>
      <c r="AW74" s="2" t="s">
        <v>223</v>
      </c>
      <c r="AX74" s="2" t="s">
        <v>223</v>
      </c>
      <c r="AY74" s="2">
        <v>4132.93</v>
      </c>
      <c r="AZ74" s="2" t="s">
        <v>224</v>
      </c>
      <c r="BA74" s="2" t="s">
        <v>444</v>
      </c>
      <c r="BB74" s="2">
        <v>411.83</v>
      </c>
      <c r="BC74" s="2">
        <v>362.41</v>
      </c>
      <c r="BD74" s="2">
        <v>411.83</v>
      </c>
      <c r="BE74" s="2">
        <v>49.42</v>
      </c>
      <c r="BF74" s="12">
        <v>0.12</v>
      </c>
      <c r="BG74" s="2">
        <v>0</v>
      </c>
      <c r="BH74" s="2">
        <v>171.576</v>
      </c>
      <c r="BI74" s="2">
        <v>308.51</v>
      </c>
      <c r="BJ74" s="2">
        <v>0</v>
      </c>
      <c r="BK74" s="2">
        <v>18</v>
      </c>
      <c r="BL74" s="2">
        <v>0</v>
      </c>
      <c r="BM74" s="2">
        <v>0</v>
      </c>
      <c r="BN74" s="2">
        <v>6.2</v>
      </c>
      <c r="BO74" s="2">
        <v>11</v>
      </c>
      <c r="BP74" s="2">
        <v>4.23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14.47</v>
      </c>
      <c r="CB74" s="2" t="s">
        <v>226</v>
      </c>
      <c r="CC74" s="2" t="s">
        <v>445</v>
      </c>
      <c r="CD74" s="2">
        <v>419.68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82.37</v>
      </c>
      <c r="CV74" s="2" t="s">
        <v>326</v>
      </c>
      <c r="CW74" s="2">
        <v>82.37</v>
      </c>
      <c r="CX74" s="198" t="s">
        <v>327</v>
      </c>
      <c r="CY74" s="2">
        <v>190.93</v>
      </c>
      <c r="CZ74" s="2" t="s">
        <v>301</v>
      </c>
      <c r="DA74" s="2">
        <v>209.13</v>
      </c>
      <c r="DB74" s="2">
        <v>133435</v>
      </c>
      <c r="DE74" s="2">
        <v>0</v>
      </c>
      <c r="DF74" s="2" t="s">
        <v>232</v>
      </c>
      <c r="DG74" s="2" t="s">
        <v>209</v>
      </c>
      <c r="DH74" s="2" t="s">
        <v>208</v>
      </c>
      <c r="DI74" s="2">
        <v>252895738</v>
      </c>
      <c r="DJ74" s="2" t="s">
        <v>211</v>
      </c>
      <c r="DK74" s="2">
        <v>0</v>
      </c>
      <c r="DL74" s="2" t="s">
        <v>201</v>
      </c>
      <c r="DM74" s="2">
        <v>49.42</v>
      </c>
    </row>
    <row r="75" s="2" customFormat="1" ht="12" spans="1:117">
      <c r="A75" s="2">
        <v>2</v>
      </c>
      <c r="B75" s="2" t="s">
        <v>732</v>
      </c>
      <c r="C75" s="2" t="s">
        <v>199</v>
      </c>
      <c r="D75" s="2" t="s">
        <v>200</v>
      </c>
      <c r="E75" s="2" t="s">
        <v>201</v>
      </c>
      <c r="F75" s="102">
        <v>46265</v>
      </c>
      <c r="G75" s="2" t="s">
        <v>202</v>
      </c>
      <c r="H75" s="2" t="s">
        <v>733</v>
      </c>
      <c r="I75" s="2" t="s">
        <v>204</v>
      </c>
      <c r="J75" s="2" t="s">
        <v>205</v>
      </c>
      <c r="K75" s="2" t="s">
        <v>206</v>
      </c>
      <c r="L75" s="2" t="s">
        <v>207</v>
      </c>
      <c r="M75" s="2">
        <v>892</v>
      </c>
      <c r="N75" s="2" t="s">
        <v>208</v>
      </c>
      <c r="O75" s="2" t="s">
        <v>209</v>
      </c>
      <c r="P75" s="2" t="s">
        <v>210</v>
      </c>
      <c r="Q75" s="2" t="s">
        <v>204</v>
      </c>
      <c r="R75" s="2" t="s">
        <v>205</v>
      </c>
      <c r="S75" s="2" t="s">
        <v>208</v>
      </c>
      <c r="T75" s="2" t="s">
        <v>209</v>
      </c>
      <c r="U75" s="2" t="s">
        <v>204</v>
      </c>
      <c r="V75" s="2" t="s">
        <v>205</v>
      </c>
      <c r="W75" s="2" t="s">
        <v>206</v>
      </c>
      <c r="X75" s="2" t="s">
        <v>207</v>
      </c>
      <c r="Y75" s="2" t="s">
        <v>208</v>
      </c>
      <c r="Z75" s="2" t="s">
        <v>209</v>
      </c>
      <c r="AA75" s="2" t="s">
        <v>211</v>
      </c>
      <c r="AB75" s="2" t="s">
        <v>212</v>
      </c>
      <c r="AC75" s="2" t="s">
        <v>734</v>
      </c>
      <c r="AD75" s="2" t="s">
        <v>735</v>
      </c>
      <c r="AE75" s="2">
        <v>360</v>
      </c>
      <c r="AF75" s="2" t="s">
        <v>369</v>
      </c>
      <c r="AG75" s="2" t="s">
        <v>370</v>
      </c>
      <c r="AH75" s="2" t="s">
        <v>218</v>
      </c>
      <c r="AI75" s="2" t="s">
        <v>734</v>
      </c>
      <c r="AJ75" s="2" t="s">
        <v>735</v>
      </c>
      <c r="AK75" s="2" t="s">
        <v>370</v>
      </c>
      <c r="AL75" s="2" t="s">
        <v>218</v>
      </c>
      <c r="AM75" s="2" t="s">
        <v>371</v>
      </c>
      <c r="AN75" s="198" t="s">
        <v>736</v>
      </c>
      <c r="AO75" s="2">
        <v>73.122</v>
      </c>
      <c r="AP75" s="2">
        <v>0.0001</v>
      </c>
      <c r="AQ75" s="2">
        <v>15</v>
      </c>
      <c r="AR75" s="2">
        <v>0</v>
      </c>
      <c r="AS75" s="2" t="s">
        <v>221</v>
      </c>
      <c r="AT75" s="2" t="s">
        <v>737</v>
      </c>
      <c r="AV75" s="2">
        <v>0</v>
      </c>
      <c r="AW75" s="2" t="s">
        <v>223</v>
      </c>
      <c r="AX75" s="2" t="s">
        <v>223</v>
      </c>
      <c r="AY75" s="2">
        <v>1561.55</v>
      </c>
      <c r="AZ75" s="2" t="s">
        <v>224</v>
      </c>
      <c r="BA75" s="2" t="s">
        <v>324</v>
      </c>
      <c r="BB75" s="2">
        <v>241.83</v>
      </c>
      <c r="BC75" s="2">
        <v>212.81</v>
      </c>
      <c r="BD75" s="2">
        <v>241.83</v>
      </c>
      <c r="BE75" s="2">
        <v>29.02</v>
      </c>
      <c r="BF75" s="12">
        <v>0.12</v>
      </c>
      <c r="BG75" s="2">
        <v>0</v>
      </c>
      <c r="BH75" s="2">
        <v>73.122</v>
      </c>
      <c r="BI75" s="2">
        <v>176.36</v>
      </c>
      <c r="BJ75" s="2">
        <v>0</v>
      </c>
      <c r="BK75" s="2">
        <v>18</v>
      </c>
      <c r="BL75" s="2">
        <v>0</v>
      </c>
      <c r="BM75" s="2">
        <v>0</v>
      </c>
      <c r="BN75" s="2">
        <v>3.25</v>
      </c>
      <c r="BO75" s="2">
        <v>5.5</v>
      </c>
      <c r="BP75" s="2">
        <v>4.23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5.47</v>
      </c>
      <c r="CB75" s="2" t="s">
        <v>226</v>
      </c>
      <c r="CC75" s="2" t="s">
        <v>325</v>
      </c>
      <c r="CD75" s="2">
        <v>383.37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48.37</v>
      </c>
      <c r="CV75" s="2" t="s">
        <v>326</v>
      </c>
      <c r="CW75" s="2">
        <v>48.37</v>
      </c>
      <c r="CX75" s="198" t="s">
        <v>327</v>
      </c>
      <c r="CY75" s="2">
        <v>29.98</v>
      </c>
      <c r="CZ75" s="2" t="s">
        <v>301</v>
      </c>
      <c r="DA75" s="2">
        <v>29.98</v>
      </c>
      <c r="DB75" s="199" t="s">
        <v>658</v>
      </c>
      <c r="DE75" s="2">
        <v>0</v>
      </c>
      <c r="DF75" s="2" t="s">
        <v>232</v>
      </c>
      <c r="DG75" s="2" t="s">
        <v>209</v>
      </c>
      <c r="DH75" s="2" t="s">
        <v>208</v>
      </c>
      <c r="DI75" s="2">
        <v>252895738</v>
      </c>
      <c r="DJ75" s="2" t="s">
        <v>211</v>
      </c>
      <c r="DK75" s="2">
        <v>0</v>
      </c>
      <c r="DL75" s="2" t="s">
        <v>201</v>
      </c>
      <c r="DM75" s="2">
        <v>29.02</v>
      </c>
    </row>
    <row r="76" s="2" customFormat="1" ht="12" spans="1:117">
      <c r="A76" s="2">
        <v>2</v>
      </c>
      <c r="B76" s="2" t="s">
        <v>738</v>
      </c>
      <c r="C76" s="2" t="s">
        <v>199</v>
      </c>
      <c r="D76" s="2" t="s">
        <v>200</v>
      </c>
      <c r="E76" s="2" t="s">
        <v>201</v>
      </c>
      <c r="F76" s="102">
        <v>46265</v>
      </c>
      <c r="G76" s="2" t="s">
        <v>202</v>
      </c>
      <c r="H76" s="2" t="s">
        <v>739</v>
      </c>
      <c r="I76" s="2" t="s">
        <v>204</v>
      </c>
      <c r="J76" s="2" t="s">
        <v>205</v>
      </c>
      <c r="K76" s="2" t="s">
        <v>206</v>
      </c>
      <c r="L76" s="2" t="s">
        <v>207</v>
      </c>
      <c r="M76" s="2">
        <v>892</v>
      </c>
      <c r="N76" s="2" t="s">
        <v>208</v>
      </c>
      <c r="O76" s="2" t="s">
        <v>209</v>
      </c>
      <c r="P76" s="2" t="s">
        <v>210</v>
      </c>
      <c r="Q76" s="2" t="s">
        <v>204</v>
      </c>
      <c r="R76" s="2" t="s">
        <v>205</v>
      </c>
      <c r="S76" s="2" t="s">
        <v>208</v>
      </c>
      <c r="T76" s="2" t="s">
        <v>209</v>
      </c>
      <c r="U76" s="2" t="s">
        <v>204</v>
      </c>
      <c r="V76" s="2" t="s">
        <v>205</v>
      </c>
      <c r="W76" s="2" t="s">
        <v>206</v>
      </c>
      <c r="X76" s="2" t="s">
        <v>207</v>
      </c>
      <c r="Y76" s="2" t="s">
        <v>208</v>
      </c>
      <c r="Z76" s="2" t="s">
        <v>209</v>
      </c>
      <c r="AA76" s="2" t="s">
        <v>211</v>
      </c>
      <c r="AB76" s="2" t="s">
        <v>212</v>
      </c>
      <c r="AC76" s="2" t="s">
        <v>740</v>
      </c>
      <c r="AD76" s="2" t="s">
        <v>741</v>
      </c>
      <c r="AE76" s="2" t="s">
        <v>279</v>
      </c>
      <c r="AF76" s="2" t="s">
        <v>216</v>
      </c>
      <c r="AG76" s="2" t="s">
        <v>280</v>
      </c>
      <c r="AH76" s="2" t="s">
        <v>218</v>
      </c>
      <c r="AI76" s="2" t="s">
        <v>740</v>
      </c>
      <c r="AJ76" s="2" t="s">
        <v>741</v>
      </c>
      <c r="AK76" s="2" t="s">
        <v>280</v>
      </c>
      <c r="AL76" s="2" t="s">
        <v>218</v>
      </c>
      <c r="AM76" s="2" t="s">
        <v>219</v>
      </c>
      <c r="AN76" s="198" t="s">
        <v>742</v>
      </c>
      <c r="AO76" s="2">
        <v>48.204</v>
      </c>
      <c r="AP76" s="2">
        <v>0.0001</v>
      </c>
      <c r="AQ76" s="2">
        <v>9</v>
      </c>
      <c r="AR76" s="2">
        <v>0</v>
      </c>
      <c r="AS76" s="2" t="s">
        <v>221</v>
      </c>
      <c r="AT76" s="2" t="s">
        <v>737</v>
      </c>
      <c r="AV76" s="2">
        <v>0</v>
      </c>
      <c r="AW76" s="2" t="s">
        <v>223</v>
      </c>
      <c r="AX76" s="2" t="s">
        <v>223</v>
      </c>
      <c r="AY76" s="2">
        <v>1584</v>
      </c>
      <c r="AZ76" s="2" t="s">
        <v>224</v>
      </c>
      <c r="BA76" s="2" t="s">
        <v>282</v>
      </c>
      <c r="BB76" s="2">
        <v>220.63</v>
      </c>
      <c r="BC76" s="2">
        <v>194.15</v>
      </c>
      <c r="BD76" s="2">
        <v>220.63</v>
      </c>
      <c r="BE76" s="2">
        <v>26.48</v>
      </c>
      <c r="BF76" s="12">
        <v>0.12</v>
      </c>
      <c r="BG76" s="2">
        <v>0</v>
      </c>
      <c r="BH76" s="2">
        <v>48.204</v>
      </c>
      <c r="BI76" s="2">
        <v>157.63</v>
      </c>
      <c r="BJ76" s="2">
        <v>0</v>
      </c>
      <c r="BK76" s="2">
        <v>18</v>
      </c>
      <c r="BL76" s="2">
        <v>0</v>
      </c>
      <c r="BM76" s="2">
        <v>0</v>
      </c>
      <c r="BN76" s="2">
        <v>3.25</v>
      </c>
      <c r="BO76" s="2">
        <v>5.5</v>
      </c>
      <c r="BP76" s="2">
        <v>4.23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5.54</v>
      </c>
      <c r="CB76" s="2" t="s">
        <v>226</v>
      </c>
      <c r="CC76" s="2" t="s">
        <v>283</v>
      </c>
      <c r="CD76" s="2">
        <v>383.57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44.13</v>
      </c>
      <c r="CV76" s="2" t="s">
        <v>326</v>
      </c>
      <c r="CW76" s="2">
        <v>44.13</v>
      </c>
      <c r="CX76" s="198" t="s">
        <v>327</v>
      </c>
      <c r="CY76" s="2">
        <v>77.22</v>
      </c>
      <c r="CZ76" s="2" t="s">
        <v>711</v>
      </c>
      <c r="DA76" s="2">
        <v>77.22</v>
      </c>
      <c r="DB76" s="198" t="s">
        <v>712</v>
      </c>
      <c r="DE76" s="2">
        <v>0</v>
      </c>
      <c r="DF76" s="2" t="s">
        <v>232</v>
      </c>
      <c r="DG76" s="2" t="s">
        <v>209</v>
      </c>
      <c r="DH76" s="2" t="s">
        <v>208</v>
      </c>
      <c r="DI76" s="2">
        <v>252895738</v>
      </c>
      <c r="DJ76" s="2" t="s">
        <v>211</v>
      </c>
      <c r="DK76" s="2">
        <v>0</v>
      </c>
      <c r="DL76" s="2" t="s">
        <v>201</v>
      </c>
      <c r="DM76" s="2">
        <v>26.48</v>
      </c>
    </row>
    <row r="77" s="2" customFormat="1" ht="12" spans="1:117">
      <c r="A77" s="2">
        <v>2</v>
      </c>
      <c r="B77" s="2" t="s">
        <v>743</v>
      </c>
      <c r="C77" s="2" t="s">
        <v>199</v>
      </c>
      <c r="D77" s="2" t="s">
        <v>200</v>
      </c>
      <c r="E77" s="2" t="s">
        <v>201</v>
      </c>
      <c r="F77" s="102">
        <v>46265</v>
      </c>
      <c r="G77" s="2" t="s">
        <v>202</v>
      </c>
      <c r="H77" s="2" t="s">
        <v>744</v>
      </c>
      <c r="I77" s="2" t="s">
        <v>204</v>
      </c>
      <c r="J77" s="2" t="s">
        <v>205</v>
      </c>
      <c r="K77" s="2" t="s">
        <v>206</v>
      </c>
      <c r="L77" s="2" t="s">
        <v>207</v>
      </c>
      <c r="M77" s="2">
        <v>892</v>
      </c>
      <c r="N77" s="2" t="s">
        <v>208</v>
      </c>
      <c r="O77" s="2" t="s">
        <v>209</v>
      </c>
      <c r="P77" s="2" t="s">
        <v>210</v>
      </c>
      <c r="Q77" s="2" t="s">
        <v>204</v>
      </c>
      <c r="R77" s="2" t="s">
        <v>205</v>
      </c>
      <c r="S77" s="2" t="s">
        <v>208</v>
      </c>
      <c r="T77" s="2" t="s">
        <v>209</v>
      </c>
      <c r="U77" s="2" t="s">
        <v>204</v>
      </c>
      <c r="V77" s="2" t="s">
        <v>205</v>
      </c>
      <c r="W77" s="2" t="s">
        <v>206</v>
      </c>
      <c r="X77" s="2" t="s">
        <v>207</v>
      </c>
      <c r="Y77" s="2" t="s">
        <v>208</v>
      </c>
      <c r="Z77" s="2" t="s">
        <v>209</v>
      </c>
      <c r="AA77" s="2" t="s">
        <v>211</v>
      </c>
      <c r="AB77" s="2" t="s">
        <v>212</v>
      </c>
      <c r="AC77" s="2" t="s">
        <v>745</v>
      </c>
      <c r="AD77" s="2" t="s">
        <v>746</v>
      </c>
      <c r="AE77" s="2">
        <v>367</v>
      </c>
      <c r="AF77" s="2" t="s">
        <v>325</v>
      </c>
      <c r="AG77" s="2" t="s">
        <v>747</v>
      </c>
      <c r="AH77" s="2" t="s">
        <v>218</v>
      </c>
      <c r="AI77" s="2" t="s">
        <v>745</v>
      </c>
      <c r="AJ77" s="2" t="s">
        <v>746</v>
      </c>
      <c r="AK77" s="2" t="s">
        <v>747</v>
      </c>
      <c r="AL77" s="2" t="s">
        <v>218</v>
      </c>
      <c r="AM77" s="2" t="s">
        <v>371</v>
      </c>
      <c r="AN77" s="198" t="s">
        <v>748</v>
      </c>
      <c r="AO77" s="2">
        <v>60</v>
      </c>
      <c r="AP77" s="2">
        <v>0.0001</v>
      </c>
      <c r="AQ77" s="2">
        <v>4</v>
      </c>
      <c r="AR77" s="2">
        <v>0</v>
      </c>
      <c r="AS77" s="2" t="s">
        <v>221</v>
      </c>
      <c r="AT77" s="2" t="s">
        <v>737</v>
      </c>
      <c r="AV77" s="2">
        <v>0</v>
      </c>
      <c r="AW77" s="2" t="s">
        <v>223</v>
      </c>
      <c r="AX77" s="2" t="s">
        <v>223</v>
      </c>
      <c r="AY77" s="2">
        <v>1697.81</v>
      </c>
      <c r="AZ77" s="2" t="s">
        <v>224</v>
      </c>
      <c r="BA77" s="2" t="s">
        <v>324</v>
      </c>
      <c r="BB77" s="2">
        <v>547.73</v>
      </c>
      <c r="BC77" s="2">
        <v>482</v>
      </c>
      <c r="BD77" s="2">
        <v>547.73</v>
      </c>
      <c r="BE77" s="2">
        <v>65.73</v>
      </c>
      <c r="BF77" s="12">
        <v>0.12</v>
      </c>
      <c r="BG77" s="2">
        <v>0</v>
      </c>
      <c r="BH77" s="2">
        <v>60</v>
      </c>
      <c r="BI77" s="2">
        <v>165.08</v>
      </c>
      <c r="BJ77" s="2">
        <v>0</v>
      </c>
      <c r="BK77" s="2">
        <v>18</v>
      </c>
      <c r="BL77" s="2">
        <v>0</v>
      </c>
      <c r="BM77" s="2">
        <v>0</v>
      </c>
      <c r="BN77" s="2">
        <v>3.25</v>
      </c>
      <c r="BO77" s="2">
        <v>5.5</v>
      </c>
      <c r="BP77" s="2">
        <v>4.23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280</v>
      </c>
      <c r="BY77" s="2">
        <v>0</v>
      </c>
      <c r="BZ77" s="2">
        <v>0</v>
      </c>
      <c r="CA77" s="2">
        <v>5.94</v>
      </c>
      <c r="CB77" s="2" t="s">
        <v>226</v>
      </c>
      <c r="CC77" s="2" t="s">
        <v>325</v>
      </c>
      <c r="CD77" s="2">
        <v>384.75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109.55</v>
      </c>
      <c r="CV77" s="2" t="s">
        <v>326</v>
      </c>
      <c r="CW77" s="2">
        <v>109.55</v>
      </c>
      <c r="CX77" s="198" t="s">
        <v>327</v>
      </c>
      <c r="CY77" s="2">
        <v>242</v>
      </c>
      <c r="CZ77" s="2" t="s">
        <v>301</v>
      </c>
      <c r="DA77" s="2">
        <v>242</v>
      </c>
      <c r="DB77" s="2" t="s">
        <v>749</v>
      </c>
      <c r="DE77" s="2">
        <v>0</v>
      </c>
      <c r="DF77" s="2" t="s">
        <v>232</v>
      </c>
      <c r="DG77" s="2" t="s">
        <v>209</v>
      </c>
      <c r="DH77" s="2" t="s">
        <v>208</v>
      </c>
      <c r="DI77" s="2">
        <v>252895738</v>
      </c>
      <c r="DJ77" s="2" t="s">
        <v>211</v>
      </c>
      <c r="DK77" s="2">
        <v>0</v>
      </c>
      <c r="DL77" s="2" t="s">
        <v>201</v>
      </c>
      <c r="DM77" s="2">
        <v>65.73</v>
      </c>
    </row>
    <row r="78" s="2" customFormat="1" ht="12" spans="1:117">
      <c r="A78" s="2">
        <v>2</v>
      </c>
      <c r="B78" s="2" t="s">
        <v>750</v>
      </c>
      <c r="C78" s="2" t="s">
        <v>199</v>
      </c>
      <c r="D78" s="2" t="s">
        <v>200</v>
      </c>
      <c r="E78" s="2" t="s">
        <v>201</v>
      </c>
      <c r="F78" s="102">
        <v>46265</v>
      </c>
      <c r="G78" s="2" t="s">
        <v>202</v>
      </c>
      <c r="H78" s="2" t="s">
        <v>751</v>
      </c>
      <c r="I78" s="2" t="s">
        <v>204</v>
      </c>
      <c r="J78" s="2" t="s">
        <v>205</v>
      </c>
      <c r="K78" s="2" t="s">
        <v>206</v>
      </c>
      <c r="L78" s="2" t="s">
        <v>207</v>
      </c>
      <c r="M78" s="2">
        <v>892</v>
      </c>
      <c r="N78" s="2" t="s">
        <v>208</v>
      </c>
      <c r="O78" s="2" t="s">
        <v>209</v>
      </c>
      <c r="P78" s="2" t="s">
        <v>210</v>
      </c>
      <c r="Q78" s="2" t="s">
        <v>204</v>
      </c>
      <c r="R78" s="2" t="s">
        <v>205</v>
      </c>
      <c r="S78" s="2" t="s">
        <v>208</v>
      </c>
      <c r="T78" s="2" t="s">
        <v>209</v>
      </c>
      <c r="U78" s="2" t="s">
        <v>204</v>
      </c>
      <c r="V78" s="2" t="s">
        <v>205</v>
      </c>
      <c r="W78" s="2" t="s">
        <v>206</v>
      </c>
      <c r="X78" s="2" t="s">
        <v>207</v>
      </c>
      <c r="Y78" s="2" t="s">
        <v>208</v>
      </c>
      <c r="Z78" s="2" t="s">
        <v>209</v>
      </c>
      <c r="AA78" s="2" t="s">
        <v>211</v>
      </c>
      <c r="AB78" s="2" t="s">
        <v>212</v>
      </c>
      <c r="AC78" s="2" t="s">
        <v>752</v>
      </c>
      <c r="AD78" s="2" t="s">
        <v>753</v>
      </c>
      <c r="AE78" s="2">
        <v>352</v>
      </c>
      <c r="AF78" s="2" t="s">
        <v>400</v>
      </c>
      <c r="AG78" s="2" t="s">
        <v>513</v>
      </c>
      <c r="AH78" s="2" t="s">
        <v>218</v>
      </c>
      <c r="AI78" s="2" t="s">
        <v>752</v>
      </c>
      <c r="AJ78" s="2" t="s">
        <v>753</v>
      </c>
      <c r="AK78" s="2" t="s">
        <v>513</v>
      </c>
      <c r="AL78" s="2" t="s">
        <v>218</v>
      </c>
      <c r="AM78" s="2" t="s">
        <v>402</v>
      </c>
      <c r="AN78" s="198" t="s">
        <v>754</v>
      </c>
      <c r="AO78" s="2">
        <v>83.23</v>
      </c>
      <c r="AP78" s="2">
        <v>0.0001</v>
      </c>
      <c r="AQ78" s="2">
        <v>20</v>
      </c>
      <c r="AR78" s="2">
        <v>0</v>
      </c>
      <c r="AS78" s="2" t="s">
        <v>221</v>
      </c>
      <c r="AT78" s="2" t="s">
        <v>737</v>
      </c>
      <c r="AV78" s="2">
        <v>0</v>
      </c>
      <c r="AW78" s="2" t="s">
        <v>223</v>
      </c>
      <c r="AX78" s="2" t="s">
        <v>223</v>
      </c>
      <c r="AY78" s="2">
        <v>2600.23</v>
      </c>
      <c r="AZ78" s="2" t="s">
        <v>224</v>
      </c>
      <c r="BA78" s="2" t="s">
        <v>444</v>
      </c>
      <c r="BB78" s="2">
        <v>266.73</v>
      </c>
      <c r="BC78" s="2">
        <v>234.72</v>
      </c>
      <c r="BD78" s="2">
        <v>266.73</v>
      </c>
      <c r="BE78" s="2">
        <v>32.01</v>
      </c>
      <c r="BF78" s="12">
        <v>0.12</v>
      </c>
      <c r="BG78" s="2">
        <v>0</v>
      </c>
      <c r="BH78" s="2">
        <v>83.23</v>
      </c>
      <c r="BI78" s="2">
        <v>193.99</v>
      </c>
      <c r="BJ78" s="2">
        <v>0</v>
      </c>
      <c r="BK78" s="2">
        <v>18</v>
      </c>
      <c r="BL78" s="2">
        <v>0</v>
      </c>
      <c r="BM78" s="2">
        <v>0</v>
      </c>
      <c r="BN78" s="2">
        <v>3.9</v>
      </c>
      <c r="BO78" s="2">
        <v>5.5</v>
      </c>
      <c r="BP78" s="2">
        <v>4.23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9.1</v>
      </c>
      <c r="CB78" s="2" t="s">
        <v>226</v>
      </c>
      <c r="CC78" s="2" t="s">
        <v>445</v>
      </c>
      <c r="CD78" s="2">
        <v>397.45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53.35</v>
      </c>
      <c r="CV78" s="2" t="s">
        <v>326</v>
      </c>
      <c r="CW78" s="2">
        <v>53.35</v>
      </c>
      <c r="CX78" s="198" t="s">
        <v>327</v>
      </c>
      <c r="CY78" s="2">
        <v>123.78</v>
      </c>
      <c r="CZ78" s="2" t="s">
        <v>301</v>
      </c>
      <c r="DA78" s="2">
        <v>138.93</v>
      </c>
      <c r="DB78" s="2">
        <v>133435</v>
      </c>
      <c r="DE78" s="2">
        <v>0</v>
      </c>
      <c r="DF78" s="2" t="s">
        <v>232</v>
      </c>
      <c r="DG78" s="2" t="s">
        <v>209</v>
      </c>
      <c r="DH78" s="2" t="s">
        <v>208</v>
      </c>
      <c r="DI78" s="2">
        <v>252895738</v>
      </c>
      <c r="DJ78" s="2" t="s">
        <v>211</v>
      </c>
      <c r="DK78" s="2">
        <v>0</v>
      </c>
      <c r="DL78" s="2" t="s">
        <v>201</v>
      </c>
      <c r="DM78" s="2">
        <v>32.01</v>
      </c>
    </row>
    <row r="79" s="2" customFormat="1" ht="12" spans="1:117">
      <c r="A79" s="2">
        <v>2</v>
      </c>
      <c r="B79" s="2" t="s">
        <v>755</v>
      </c>
      <c r="C79" s="2" t="s">
        <v>199</v>
      </c>
      <c r="D79" s="2" t="s">
        <v>200</v>
      </c>
      <c r="E79" s="2" t="s">
        <v>201</v>
      </c>
      <c r="F79" s="102">
        <v>46265</v>
      </c>
      <c r="G79" s="2" t="s">
        <v>202</v>
      </c>
      <c r="H79" s="2" t="s">
        <v>756</v>
      </c>
      <c r="I79" s="2" t="s">
        <v>204</v>
      </c>
      <c r="J79" s="2" t="s">
        <v>205</v>
      </c>
      <c r="K79" s="2" t="s">
        <v>206</v>
      </c>
      <c r="L79" s="2" t="s">
        <v>207</v>
      </c>
      <c r="M79" s="2">
        <v>892</v>
      </c>
      <c r="N79" s="2" t="s">
        <v>208</v>
      </c>
      <c r="O79" s="2" t="s">
        <v>209</v>
      </c>
      <c r="P79" s="2" t="s">
        <v>210</v>
      </c>
      <c r="Q79" s="2" t="s">
        <v>204</v>
      </c>
      <c r="R79" s="2" t="s">
        <v>205</v>
      </c>
      <c r="S79" s="2" t="s">
        <v>208</v>
      </c>
      <c r="T79" s="2" t="s">
        <v>209</v>
      </c>
      <c r="U79" s="2" t="s">
        <v>204</v>
      </c>
      <c r="V79" s="2" t="s">
        <v>205</v>
      </c>
      <c r="W79" s="2" t="s">
        <v>206</v>
      </c>
      <c r="X79" s="2" t="s">
        <v>207</v>
      </c>
      <c r="Y79" s="2" t="s">
        <v>208</v>
      </c>
      <c r="Z79" s="2" t="s">
        <v>209</v>
      </c>
      <c r="AA79" s="2" t="s">
        <v>211</v>
      </c>
      <c r="AB79" s="2" t="s">
        <v>212</v>
      </c>
      <c r="AC79" s="2" t="s">
        <v>757</v>
      </c>
      <c r="AD79" s="2" t="s">
        <v>758</v>
      </c>
      <c r="AE79" s="2">
        <v>382</v>
      </c>
      <c r="AF79" s="2" t="s">
        <v>759</v>
      </c>
      <c r="AG79" s="2" t="s">
        <v>760</v>
      </c>
      <c r="AH79" s="2" t="s">
        <v>218</v>
      </c>
      <c r="AI79" s="2" t="s">
        <v>757</v>
      </c>
      <c r="AJ79" s="2" t="s">
        <v>758</v>
      </c>
      <c r="AK79" s="2" t="s">
        <v>760</v>
      </c>
      <c r="AL79" s="2" t="s">
        <v>218</v>
      </c>
      <c r="AM79" s="2" t="s">
        <v>500</v>
      </c>
      <c r="AN79" s="198" t="s">
        <v>761</v>
      </c>
      <c r="AO79" s="2">
        <v>124.6</v>
      </c>
      <c r="AP79" s="2">
        <v>0.0001</v>
      </c>
      <c r="AQ79" s="2">
        <v>18</v>
      </c>
      <c r="AR79" s="2">
        <v>0</v>
      </c>
      <c r="AS79" s="2" t="s">
        <v>221</v>
      </c>
      <c r="AT79" s="2" t="s">
        <v>737</v>
      </c>
      <c r="AV79" s="2">
        <v>0</v>
      </c>
      <c r="AW79" s="2" t="s">
        <v>223</v>
      </c>
      <c r="AX79" s="2" t="s">
        <v>223</v>
      </c>
      <c r="AY79" s="2">
        <v>3012.52</v>
      </c>
      <c r="AZ79" s="2" t="s">
        <v>224</v>
      </c>
      <c r="BA79" s="2" t="s">
        <v>250</v>
      </c>
      <c r="BB79" s="2">
        <v>320.05</v>
      </c>
      <c r="BC79" s="2">
        <v>281.64</v>
      </c>
      <c r="BD79" s="2">
        <v>320.05</v>
      </c>
      <c r="BE79" s="2">
        <v>38.41</v>
      </c>
      <c r="BF79" s="12">
        <v>0.12</v>
      </c>
      <c r="BG79" s="2">
        <v>0</v>
      </c>
      <c r="BH79" s="2">
        <v>124.6</v>
      </c>
      <c r="BI79" s="2">
        <v>233.35</v>
      </c>
      <c r="BJ79" s="2">
        <v>0</v>
      </c>
      <c r="BK79" s="2">
        <v>18</v>
      </c>
      <c r="BL79" s="2">
        <v>0</v>
      </c>
      <c r="BM79" s="2">
        <v>0</v>
      </c>
      <c r="BN79" s="2">
        <v>4.52</v>
      </c>
      <c r="BO79" s="2">
        <v>11</v>
      </c>
      <c r="BP79" s="2">
        <v>4.23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10.54</v>
      </c>
      <c r="CB79" s="2" t="s">
        <v>226</v>
      </c>
      <c r="CC79" s="2" t="s">
        <v>251</v>
      </c>
      <c r="CD79" s="2">
        <v>403.44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64.01</v>
      </c>
      <c r="CV79" s="2" t="s">
        <v>326</v>
      </c>
      <c r="CW79" s="2">
        <v>64.01</v>
      </c>
      <c r="CX79" s="198" t="s">
        <v>327</v>
      </c>
      <c r="CY79" s="2">
        <v>128.02</v>
      </c>
      <c r="CZ79" s="2" t="s">
        <v>707</v>
      </c>
      <c r="DA79" s="2">
        <v>122.24</v>
      </c>
      <c r="DB79" s="2">
        <v>233909</v>
      </c>
      <c r="DE79" s="2">
        <v>0</v>
      </c>
      <c r="DF79" s="2" t="s">
        <v>232</v>
      </c>
      <c r="DG79" s="2" t="s">
        <v>209</v>
      </c>
      <c r="DH79" s="2" t="s">
        <v>208</v>
      </c>
      <c r="DI79" s="2">
        <v>252895738</v>
      </c>
      <c r="DJ79" s="2" t="s">
        <v>211</v>
      </c>
      <c r="DK79" s="2">
        <v>0</v>
      </c>
      <c r="DL79" s="2" t="s">
        <v>201</v>
      </c>
      <c r="DM79" s="2">
        <v>38.41</v>
      </c>
    </row>
    <row r="80" s="2" customFormat="1" ht="12" spans="1:117">
      <c r="A80" s="2">
        <v>2</v>
      </c>
      <c r="B80" s="2" t="s">
        <v>762</v>
      </c>
      <c r="C80" s="2" t="s">
        <v>199</v>
      </c>
      <c r="D80" s="2" t="s">
        <v>200</v>
      </c>
      <c r="E80" s="2" t="s">
        <v>201</v>
      </c>
      <c r="F80" s="102">
        <v>46265</v>
      </c>
      <c r="G80" s="2" t="s">
        <v>202</v>
      </c>
      <c r="H80" s="2" t="s">
        <v>763</v>
      </c>
      <c r="I80" s="2" t="s">
        <v>204</v>
      </c>
      <c r="J80" s="2" t="s">
        <v>205</v>
      </c>
      <c r="K80" s="2" t="s">
        <v>206</v>
      </c>
      <c r="L80" s="2" t="s">
        <v>207</v>
      </c>
      <c r="M80" s="2">
        <v>892</v>
      </c>
      <c r="N80" s="2" t="s">
        <v>208</v>
      </c>
      <c r="O80" s="2" t="s">
        <v>209</v>
      </c>
      <c r="P80" s="2" t="s">
        <v>210</v>
      </c>
      <c r="Q80" s="2" t="s">
        <v>204</v>
      </c>
      <c r="R80" s="2" t="s">
        <v>205</v>
      </c>
      <c r="S80" s="2" t="s">
        <v>208</v>
      </c>
      <c r="T80" s="2" t="s">
        <v>209</v>
      </c>
      <c r="U80" s="2" t="s">
        <v>204</v>
      </c>
      <c r="V80" s="2" t="s">
        <v>205</v>
      </c>
      <c r="W80" s="2" t="s">
        <v>206</v>
      </c>
      <c r="X80" s="2" t="s">
        <v>207</v>
      </c>
      <c r="Y80" s="2" t="s">
        <v>208</v>
      </c>
      <c r="Z80" s="2" t="s">
        <v>209</v>
      </c>
      <c r="AA80" s="2" t="s">
        <v>211</v>
      </c>
      <c r="AB80" s="2" t="s">
        <v>212</v>
      </c>
      <c r="AC80" s="2" t="s">
        <v>764</v>
      </c>
      <c r="AD80" s="2" t="s">
        <v>765</v>
      </c>
      <c r="AE80" s="2">
        <v>396</v>
      </c>
      <c r="AF80" s="2" t="s">
        <v>400</v>
      </c>
      <c r="AG80" s="2" t="s">
        <v>766</v>
      </c>
      <c r="AH80" s="2" t="s">
        <v>218</v>
      </c>
      <c r="AI80" s="2" t="s">
        <v>764</v>
      </c>
      <c r="AJ80" s="2" t="s">
        <v>765</v>
      </c>
      <c r="AK80" s="2" t="s">
        <v>766</v>
      </c>
      <c r="AL80" s="2" t="s">
        <v>218</v>
      </c>
      <c r="AM80" s="2" t="s">
        <v>402</v>
      </c>
      <c r="AN80" s="198" t="s">
        <v>767</v>
      </c>
      <c r="AO80" s="2">
        <v>82.362</v>
      </c>
      <c r="AP80" s="2">
        <v>0.0001</v>
      </c>
      <c r="AQ80" s="2">
        <v>27</v>
      </c>
      <c r="AR80" s="2">
        <v>0</v>
      </c>
      <c r="AS80" s="2" t="s">
        <v>221</v>
      </c>
      <c r="AT80" s="2" t="s">
        <v>737</v>
      </c>
      <c r="AV80" s="2">
        <v>0</v>
      </c>
      <c r="AW80" s="2" t="s">
        <v>223</v>
      </c>
      <c r="AX80" s="2" t="s">
        <v>223</v>
      </c>
      <c r="AY80" s="2">
        <v>2981.45</v>
      </c>
      <c r="AZ80" s="2" t="s">
        <v>224</v>
      </c>
      <c r="BA80" s="2" t="s">
        <v>444</v>
      </c>
      <c r="BB80" s="2">
        <v>268.9</v>
      </c>
      <c r="BC80" s="2">
        <v>236.63</v>
      </c>
      <c r="BD80" s="2">
        <v>268.9</v>
      </c>
      <c r="BE80" s="2">
        <v>32.27</v>
      </c>
      <c r="BF80" s="12">
        <v>0.12</v>
      </c>
      <c r="BG80" s="2">
        <v>0</v>
      </c>
      <c r="BH80" s="2">
        <v>82.362</v>
      </c>
      <c r="BI80" s="2">
        <v>193.99</v>
      </c>
      <c r="BJ80" s="2">
        <v>0</v>
      </c>
      <c r="BK80" s="2">
        <v>18</v>
      </c>
      <c r="BL80" s="2">
        <v>0</v>
      </c>
      <c r="BM80" s="2">
        <v>0</v>
      </c>
      <c r="BN80" s="2">
        <v>4.47</v>
      </c>
      <c r="BO80" s="2">
        <v>5.5</v>
      </c>
      <c r="BP80" s="2">
        <v>4.23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10.44</v>
      </c>
      <c r="CB80" s="2" t="s">
        <v>226</v>
      </c>
      <c r="CC80" s="2" t="s">
        <v>445</v>
      </c>
      <c r="CD80" s="2">
        <v>402.97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53.78</v>
      </c>
      <c r="CV80" s="2" t="s">
        <v>326</v>
      </c>
      <c r="CW80" s="2">
        <v>53.78</v>
      </c>
      <c r="CX80" s="198" t="s">
        <v>327</v>
      </c>
      <c r="CY80" s="2">
        <v>123.78</v>
      </c>
      <c r="CZ80" s="2" t="s">
        <v>301</v>
      </c>
      <c r="DA80" s="2">
        <v>138.93</v>
      </c>
      <c r="DB80" s="2">
        <v>133435</v>
      </c>
      <c r="DE80" s="2">
        <v>0</v>
      </c>
      <c r="DF80" s="2" t="s">
        <v>232</v>
      </c>
      <c r="DG80" s="2" t="s">
        <v>209</v>
      </c>
      <c r="DH80" s="2" t="s">
        <v>208</v>
      </c>
      <c r="DI80" s="2">
        <v>252895738</v>
      </c>
      <c r="DJ80" s="2" t="s">
        <v>211</v>
      </c>
      <c r="DK80" s="2">
        <v>0</v>
      </c>
      <c r="DL80" s="2" t="s">
        <v>201</v>
      </c>
      <c r="DM80" s="2">
        <v>32.27</v>
      </c>
    </row>
    <row r="81" s="2" customFormat="1" ht="12" spans="1:117">
      <c r="A81" s="2">
        <v>2</v>
      </c>
      <c r="B81" s="2" t="s">
        <v>768</v>
      </c>
      <c r="C81" s="2" t="s">
        <v>199</v>
      </c>
      <c r="D81" s="2" t="s">
        <v>200</v>
      </c>
      <c r="E81" s="2" t="s">
        <v>201</v>
      </c>
      <c r="F81" s="102">
        <v>46265</v>
      </c>
      <c r="G81" s="2" t="s">
        <v>202</v>
      </c>
      <c r="H81" s="2" t="s">
        <v>769</v>
      </c>
      <c r="I81" s="2" t="s">
        <v>204</v>
      </c>
      <c r="J81" s="2" t="s">
        <v>205</v>
      </c>
      <c r="K81" s="2" t="s">
        <v>206</v>
      </c>
      <c r="L81" s="2" t="s">
        <v>207</v>
      </c>
      <c r="M81" s="2">
        <v>892</v>
      </c>
      <c r="N81" s="2" t="s">
        <v>208</v>
      </c>
      <c r="O81" s="2" t="s">
        <v>209</v>
      </c>
      <c r="P81" s="2" t="s">
        <v>210</v>
      </c>
      <c r="Q81" s="2" t="s">
        <v>204</v>
      </c>
      <c r="R81" s="2" t="s">
        <v>205</v>
      </c>
      <c r="S81" s="2" t="s">
        <v>208</v>
      </c>
      <c r="T81" s="2" t="s">
        <v>209</v>
      </c>
      <c r="U81" s="2" t="s">
        <v>204</v>
      </c>
      <c r="V81" s="2" t="s">
        <v>205</v>
      </c>
      <c r="W81" s="2" t="s">
        <v>206</v>
      </c>
      <c r="X81" s="2" t="s">
        <v>207</v>
      </c>
      <c r="Y81" s="2" t="s">
        <v>208</v>
      </c>
      <c r="Z81" s="2" t="s">
        <v>209</v>
      </c>
      <c r="AA81" s="2" t="s">
        <v>211</v>
      </c>
      <c r="AB81" s="2" t="s">
        <v>212</v>
      </c>
      <c r="AC81" s="2" t="s">
        <v>770</v>
      </c>
      <c r="AD81" s="2" t="s">
        <v>771</v>
      </c>
      <c r="AE81" s="2" t="s">
        <v>332</v>
      </c>
      <c r="AF81" s="2" t="s">
        <v>216</v>
      </c>
      <c r="AG81" s="2" t="s">
        <v>333</v>
      </c>
      <c r="AH81" s="2" t="s">
        <v>218</v>
      </c>
      <c r="AI81" s="2" t="s">
        <v>770</v>
      </c>
      <c r="AJ81" s="2" t="s">
        <v>771</v>
      </c>
      <c r="AK81" s="2" t="s">
        <v>333</v>
      </c>
      <c r="AL81" s="2" t="s">
        <v>218</v>
      </c>
      <c r="AM81" s="2" t="s">
        <v>219</v>
      </c>
      <c r="AN81" s="198" t="s">
        <v>772</v>
      </c>
      <c r="AO81" s="2">
        <v>115.937</v>
      </c>
      <c r="AP81" s="2">
        <v>0.0001</v>
      </c>
      <c r="AQ81" s="2">
        <v>43</v>
      </c>
      <c r="AR81" s="2">
        <v>0</v>
      </c>
      <c r="AS81" s="2" t="s">
        <v>221</v>
      </c>
      <c r="AT81" s="2" t="s">
        <v>737</v>
      </c>
      <c r="AV81" s="2">
        <v>0</v>
      </c>
      <c r="AW81" s="2" t="s">
        <v>223</v>
      </c>
      <c r="AX81" s="2" t="s">
        <v>223</v>
      </c>
      <c r="AY81" s="2">
        <v>3319.45</v>
      </c>
      <c r="AZ81" s="2" t="s">
        <v>224</v>
      </c>
      <c r="BA81" s="2" t="s">
        <v>240</v>
      </c>
      <c r="BB81" s="2">
        <v>280.58</v>
      </c>
      <c r="BC81" s="2">
        <v>246.91</v>
      </c>
      <c r="BD81" s="2">
        <v>280.58</v>
      </c>
      <c r="BE81" s="2">
        <v>33.67</v>
      </c>
      <c r="BF81" s="12">
        <v>0.12</v>
      </c>
      <c r="BG81" s="2">
        <v>0</v>
      </c>
      <c r="BH81" s="2">
        <v>115.937</v>
      </c>
      <c r="BI81" s="2">
        <v>197.08</v>
      </c>
      <c r="BJ81" s="2">
        <v>0</v>
      </c>
      <c r="BK81" s="2">
        <v>18</v>
      </c>
      <c r="BL81" s="2">
        <v>0</v>
      </c>
      <c r="BM81" s="2">
        <v>0</v>
      </c>
      <c r="BN81" s="2">
        <v>4.98</v>
      </c>
      <c r="BO81" s="2">
        <v>11</v>
      </c>
      <c r="BP81" s="2">
        <v>4.23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11.62</v>
      </c>
      <c r="CB81" s="2" t="s">
        <v>226</v>
      </c>
      <c r="CC81" s="2" t="s">
        <v>241</v>
      </c>
      <c r="CD81" s="2">
        <v>407.88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56.12</v>
      </c>
      <c r="CV81" s="2" t="s">
        <v>326</v>
      </c>
      <c r="CW81" s="2">
        <v>56.12</v>
      </c>
      <c r="CX81" s="198" t="s">
        <v>327</v>
      </c>
      <c r="CY81" s="2">
        <v>98.2</v>
      </c>
      <c r="CZ81" s="2" t="s">
        <v>711</v>
      </c>
      <c r="DA81" s="2">
        <v>98.2</v>
      </c>
      <c r="DB81" s="198" t="s">
        <v>712</v>
      </c>
      <c r="DE81" s="2">
        <v>0</v>
      </c>
      <c r="DF81" s="2" t="s">
        <v>232</v>
      </c>
      <c r="DG81" s="2" t="s">
        <v>209</v>
      </c>
      <c r="DH81" s="2" t="s">
        <v>208</v>
      </c>
      <c r="DI81" s="2">
        <v>252895738</v>
      </c>
      <c r="DJ81" s="2" t="s">
        <v>211</v>
      </c>
      <c r="DK81" s="2">
        <v>0</v>
      </c>
      <c r="DL81" s="2" t="s">
        <v>201</v>
      </c>
      <c r="DM81" s="2">
        <v>33.67</v>
      </c>
    </row>
    <row r="82" s="2" customFormat="1" ht="12" spans="1:117">
      <c r="A82" s="2">
        <v>2</v>
      </c>
      <c r="B82" s="2" t="s">
        <v>773</v>
      </c>
      <c r="C82" s="2" t="s">
        <v>199</v>
      </c>
      <c r="D82" s="2" t="s">
        <v>200</v>
      </c>
      <c r="E82" s="2" t="s">
        <v>201</v>
      </c>
      <c r="F82" s="102">
        <v>46265</v>
      </c>
      <c r="G82" s="2" t="s">
        <v>202</v>
      </c>
      <c r="H82" s="2" t="s">
        <v>774</v>
      </c>
      <c r="I82" s="2" t="s">
        <v>204</v>
      </c>
      <c r="J82" s="2" t="s">
        <v>205</v>
      </c>
      <c r="K82" s="2" t="s">
        <v>206</v>
      </c>
      <c r="L82" s="2" t="s">
        <v>207</v>
      </c>
      <c r="M82" s="2">
        <v>892</v>
      </c>
      <c r="N82" s="2" t="s">
        <v>208</v>
      </c>
      <c r="O82" s="2" t="s">
        <v>209</v>
      </c>
      <c r="P82" s="2" t="s">
        <v>210</v>
      </c>
      <c r="Q82" s="2" t="s">
        <v>204</v>
      </c>
      <c r="R82" s="2" t="s">
        <v>205</v>
      </c>
      <c r="S82" s="2" t="s">
        <v>208</v>
      </c>
      <c r="T82" s="2" t="s">
        <v>209</v>
      </c>
      <c r="U82" s="2" t="s">
        <v>204</v>
      </c>
      <c r="V82" s="2" t="s">
        <v>205</v>
      </c>
      <c r="W82" s="2" t="s">
        <v>206</v>
      </c>
      <c r="X82" s="2" t="s">
        <v>207</v>
      </c>
      <c r="Y82" s="2" t="s">
        <v>208</v>
      </c>
      <c r="Z82" s="2" t="s">
        <v>209</v>
      </c>
      <c r="AA82" s="2" t="s">
        <v>211</v>
      </c>
      <c r="AB82" s="2" t="s">
        <v>212</v>
      </c>
      <c r="AC82" s="2" t="s">
        <v>684</v>
      </c>
      <c r="AD82" s="2" t="s">
        <v>685</v>
      </c>
      <c r="AE82" s="2" t="s">
        <v>332</v>
      </c>
      <c r="AF82" s="2" t="s">
        <v>216</v>
      </c>
      <c r="AG82" s="2" t="s">
        <v>333</v>
      </c>
      <c r="AH82" s="2" t="s">
        <v>218</v>
      </c>
      <c r="AI82" s="2" t="s">
        <v>684</v>
      </c>
      <c r="AJ82" s="2" t="s">
        <v>685</v>
      </c>
      <c r="AK82" s="2" t="s">
        <v>333</v>
      </c>
      <c r="AL82" s="2" t="s">
        <v>218</v>
      </c>
      <c r="AM82" s="2" t="s">
        <v>219</v>
      </c>
      <c r="AN82" s="198" t="s">
        <v>775</v>
      </c>
      <c r="AO82" s="2">
        <v>1</v>
      </c>
      <c r="AP82" s="2">
        <v>0.0001</v>
      </c>
      <c r="AQ82" s="2">
        <v>1</v>
      </c>
      <c r="AR82" s="2">
        <v>0</v>
      </c>
      <c r="AS82" s="2" t="s">
        <v>221</v>
      </c>
      <c r="AT82" s="2" t="s">
        <v>737</v>
      </c>
      <c r="AV82" s="2">
        <v>0</v>
      </c>
      <c r="AW82" s="2" t="s">
        <v>223</v>
      </c>
      <c r="AX82" s="2" t="s">
        <v>223</v>
      </c>
      <c r="AY82" s="2">
        <v>17.01</v>
      </c>
      <c r="AZ82" s="2" t="s">
        <v>224</v>
      </c>
      <c r="BA82" s="2" t="s">
        <v>240</v>
      </c>
      <c r="BB82" s="2">
        <v>165.55</v>
      </c>
      <c r="BC82" s="2">
        <v>145.68</v>
      </c>
      <c r="BD82" s="2">
        <v>165.55</v>
      </c>
      <c r="BE82" s="2">
        <v>19.87</v>
      </c>
      <c r="BF82" s="12">
        <v>0.12</v>
      </c>
      <c r="BG82" s="2">
        <v>0</v>
      </c>
      <c r="BH82" s="2">
        <v>1</v>
      </c>
      <c r="BI82" s="2">
        <v>114.64</v>
      </c>
      <c r="BJ82" s="2">
        <v>0</v>
      </c>
      <c r="BK82" s="2">
        <v>18</v>
      </c>
      <c r="BL82" s="2">
        <v>0</v>
      </c>
      <c r="BM82" s="2">
        <v>0</v>
      </c>
      <c r="BN82" s="2">
        <v>3.25</v>
      </c>
      <c r="BO82" s="2">
        <v>5.5</v>
      </c>
      <c r="BP82" s="2">
        <v>4.23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0.06</v>
      </c>
      <c r="CB82" s="2" t="s">
        <v>226</v>
      </c>
      <c r="CC82" s="2" t="s">
        <v>241</v>
      </c>
      <c r="CD82" s="2">
        <v>367.97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33.11</v>
      </c>
      <c r="CV82" s="2" t="s">
        <v>326</v>
      </c>
      <c r="CW82" s="2">
        <v>33.11</v>
      </c>
      <c r="CX82" s="198" t="s">
        <v>327</v>
      </c>
      <c r="CY82" s="2">
        <v>57.94</v>
      </c>
      <c r="CZ82" s="2" t="s">
        <v>711</v>
      </c>
      <c r="DA82" s="2">
        <v>57.94</v>
      </c>
      <c r="DB82" s="198" t="s">
        <v>712</v>
      </c>
      <c r="DE82" s="2">
        <v>0</v>
      </c>
      <c r="DF82" s="2" t="s">
        <v>232</v>
      </c>
      <c r="DG82" s="2" t="s">
        <v>209</v>
      </c>
      <c r="DH82" s="2" t="s">
        <v>208</v>
      </c>
      <c r="DI82" s="2">
        <v>252895738</v>
      </c>
      <c r="DJ82" s="2" t="s">
        <v>211</v>
      </c>
      <c r="DK82" s="2">
        <v>0</v>
      </c>
      <c r="DL82" s="2" t="s">
        <v>201</v>
      </c>
      <c r="DM82" s="2">
        <v>19.87</v>
      </c>
    </row>
    <row r="83" s="2" customFormat="1" ht="12" spans="1:117">
      <c r="A83" s="2">
        <v>9</v>
      </c>
    </row>
  </sheetData>
  <autoFilter xmlns:etc="http://www.wps.cn/officeDocument/2017/etCustomData" ref="A1:DB83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0"/>
  <sheetViews>
    <sheetView showGridLines="0" zoomScale="70" zoomScaleNormal="70" topLeftCell="A2" workbookViewId="0">
      <selection activeCell="B23" sqref="B23"/>
    </sheetView>
  </sheetViews>
  <sheetFormatPr defaultColWidth="9.66666666666667" defaultRowHeight="14.4"/>
  <cols>
    <col min="1" max="1" width="3.80555555555556" customWidth="1"/>
    <col min="3" max="3" width="9.77777777777778" hidden="1" customWidth="1"/>
    <col min="4" max="4" width="14.6666666666667" hidden="1" customWidth="1"/>
    <col min="6" max="6" width="9.66666666666667" hidden="1" customWidth="1"/>
    <col min="7" max="7" width="14.6666666666667" hidden="1" customWidth="1"/>
    <col min="9" max="9" width="9.77777777777778" hidden="1" customWidth="1"/>
    <col min="10" max="10" width="14.6666666666667" hidden="1" customWidth="1"/>
    <col min="12" max="12" width="9.66666666666667" hidden="1" customWidth="1"/>
    <col min="13" max="13" width="13.5555555555556" hidden="1" customWidth="1"/>
    <col min="15" max="15" width="9.66666666666667" hidden="1" customWidth="1"/>
    <col min="16" max="16" width="14.6666666666667" hidden="1" customWidth="1"/>
    <col min="18" max="21" width="9.66666666666667" hidden="1" customWidth="1"/>
    <col min="22" max="22" width="14.6666666666667" hidden="1" customWidth="1"/>
    <col min="24" max="24" width="9.66666666666667" hidden="1" customWidth="1"/>
    <col min="25" max="25" width="13.5555555555556" hidden="1" customWidth="1"/>
    <col min="27" max="27" width="9.66666666666667" hidden="1" customWidth="1"/>
    <col min="28" max="28" width="14.6666666666667" hidden="1" customWidth="1"/>
    <col min="30" max="30" width="9.66666666666667" hidden="1" customWidth="1"/>
    <col min="31" max="31" width="14.6666666666667" hidden="1" customWidth="1"/>
    <col min="33" max="33" width="9.66666666666667" hidden="1" customWidth="1"/>
    <col min="34" max="34" width="13.5555555555556" hidden="1" customWidth="1"/>
    <col min="35" max="35" width="9.66666666666667" customWidth="1"/>
    <col min="36" max="37" width="9.66666666666667" hidden="1" customWidth="1"/>
    <col min="38" max="38" width="9.66666666666667" customWidth="1"/>
    <col min="39" max="39" width="9.66666666666667" hidden="1" customWidth="1"/>
    <col min="40" max="40" width="14.6666666666667" hidden="1" customWidth="1"/>
    <col min="41" max="41" width="9.66666666666667" hidden="1" customWidth="1"/>
    <col min="42" max="42" width="9.66666666666667" customWidth="1"/>
  </cols>
  <sheetData>
    <row r="1" customFormat="1" spans="1:48">
      <c r="F1" s="61" t="s">
        <v>776</v>
      </c>
      <c r="G1" s="61"/>
      <c r="H1" s="61"/>
      <c r="I1" s="61"/>
      <c r="J1" s="61"/>
      <c r="K1" s="61"/>
      <c r="L1" s="61"/>
      <c r="M1" s="61"/>
      <c r="N1" s="61"/>
      <c r="O1" s="61"/>
    </row>
    <row r="2" customFormat="1" spans="1:48">
      <c r="F2" s="61"/>
      <c r="G2" s="61"/>
      <c r="H2" s="61"/>
      <c r="I2" s="61"/>
      <c r="J2" s="61"/>
      <c r="K2" s="61"/>
      <c r="L2" s="61"/>
      <c r="M2" s="61"/>
      <c r="N2" s="61"/>
      <c r="O2" s="61"/>
      <c r="AQ2" s="62" t="s">
        <v>777</v>
      </c>
      <c r="AR2" s="63"/>
      <c r="AS2" s="64"/>
      <c r="AT2" s="64"/>
      <c r="AU2" s="64"/>
      <c r="AV2" s="64"/>
    </row>
    <row r="3" customFormat="1" ht="23.4" spans="1:48">
      <c r="C3" s="65" t="s">
        <v>778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6" t="s">
        <v>261</v>
      </c>
      <c r="P3" s="66"/>
      <c r="Q3" s="66"/>
      <c r="R3" s="66"/>
      <c r="S3" s="66"/>
      <c r="T3" s="66"/>
      <c r="U3" s="66"/>
      <c r="V3" s="66"/>
      <c r="W3" s="66"/>
      <c r="X3" s="65" t="s">
        <v>779</v>
      </c>
      <c r="Y3" s="65"/>
      <c r="Z3" s="65"/>
      <c r="AA3" s="65"/>
      <c r="AB3" s="65"/>
      <c r="AC3" s="65"/>
      <c r="AD3" s="66" t="s">
        <v>272</v>
      </c>
      <c r="AE3" s="66"/>
      <c r="AF3" s="66"/>
      <c r="AG3" s="65" t="s">
        <v>780</v>
      </c>
      <c r="AH3" s="65"/>
      <c r="AI3" s="65"/>
      <c r="AJ3" s="65"/>
      <c r="AK3" s="65"/>
      <c r="AL3" s="65"/>
      <c r="AM3" s="66" t="s">
        <v>781</v>
      </c>
      <c r="AN3" s="66"/>
      <c r="AO3" s="66"/>
      <c r="AQ3" s="67" t="s">
        <v>782</v>
      </c>
      <c r="AR3" s="67" t="s">
        <v>778</v>
      </c>
      <c r="AS3" s="67" t="s">
        <v>261</v>
      </c>
      <c r="AT3" s="67" t="s">
        <v>272</v>
      </c>
      <c r="AU3" s="67" t="s">
        <v>779</v>
      </c>
      <c r="AV3" s="67" t="s">
        <v>780</v>
      </c>
    </row>
    <row r="4" customFormat="1" ht="15.6" spans="1:48">
      <c r="B4" s="68" t="s">
        <v>783</v>
      </c>
      <c r="C4" s="69" t="s">
        <v>784</v>
      </c>
      <c r="D4" s="69"/>
      <c r="E4" s="69"/>
      <c r="F4" s="70" t="s">
        <v>785</v>
      </c>
      <c r="G4" s="71"/>
      <c r="H4" s="72"/>
      <c r="I4" s="69" t="s">
        <v>786</v>
      </c>
      <c r="J4" s="69"/>
      <c r="K4" s="69"/>
      <c r="L4" s="70" t="s">
        <v>787</v>
      </c>
      <c r="M4" s="71"/>
      <c r="N4" s="72"/>
      <c r="O4" s="69" t="s">
        <v>788</v>
      </c>
      <c r="P4" s="69"/>
      <c r="Q4" s="69"/>
      <c r="R4" s="73" t="s">
        <v>789</v>
      </c>
      <c r="S4" s="73"/>
      <c r="T4" s="73"/>
      <c r="U4" s="69" t="s">
        <v>790</v>
      </c>
      <c r="V4" s="69"/>
      <c r="W4" s="69"/>
      <c r="X4" s="73" t="s">
        <v>791</v>
      </c>
      <c r="Y4" s="73"/>
      <c r="Z4" s="73"/>
      <c r="AA4" s="69" t="s">
        <v>792</v>
      </c>
      <c r="AB4" s="69"/>
      <c r="AC4" s="69"/>
      <c r="AD4" s="73" t="s">
        <v>793</v>
      </c>
      <c r="AE4" s="73"/>
      <c r="AF4" s="73"/>
      <c r="AG4" s="69" t="s">
        <v>794</v>
      </c>
      <c r="AH4" s="69"/>
      <c r="AI4" s="69"/>
      <c r="AJ4" s="74" t="s">
        <v>795</v>
      </c>
      <c r="AK4" s="74"/>
      <c r="AL4" s="74"/>
      <c r="AM4" s="73" t="s">
        <v>796</v>
      </c>
      <c r="AN4" s="73"/>
      <c r="AO4" s="73"/>
      <c r="AQ4" s="75" t="s">
        <v>797</v>
      </c>
      <c r="AR4" s="76">
        <v>0.17</v>
      </c>
      <c r="AS4" s="76">
        <v>0.11</v>
      </c>
      <c r="AT4" s="76">
        <v>0.055</v>
      </c>
      <c r="AU4" s="76">
        <v>0.2</v>
      </c>
      <c r="AV4" s="76">
        <v>0.09</v>
      </c>
    </row>
    <row r="5" spans="1:48">
      <c r="A5" s="77"/>
      <c r="B5" s="78" t="s">
        <v>782</v>
      </c>
      <c r="C5" s="79" t="s">
        <v>798</v>
      </c>
      <c r="D5" s="79" t="s">
        <v>799</v>
      </c>
      <c r="E5" s="79" t="s">
        <v>800</v>
      </c>
      <c r="F5" s="80" t="s">
        <v>798</v>
      </c>
      <c r="G5" s="80" t="s">
        <v>799</v>
      </c>
      <c r="H5" s="80" t="s">
        <v>800</v>
      </c>
      <c r="I5" s="79" t="s">
        <v>798</v>
      </c>
      <c r="J5" s="79" t="s">
        <v>799</v>
      </c>
      <c r="K5" s="79" t="s">
        <v>800</v>
      </c>
      <c r="L5" s="80" t="s">
        <v>798</v>
      </c>
      <c r="M5" s="80" t="s">
        <v>799</v>
      </c>
      <c r="N5" s="80" t="s">
        <v>800</v>
      </c>
      <c r="O5" s="79" t="s">
        <v>798</v>
      </c>
      <c r="P5" s="79" t="s">
        <v>799</v>
      </c>
      <c r="Q5" s="79" t="s">
        <v>800</v>
      </c>
      <c r="R5" s="80" t="s">
        <v>798</v>
      </c>
      <c r="S5" s="80" t="s">
        <v>799</v>
      </c>
      <c r="T5" s="80" t="s">
        <v>800</v>
      </c>
      <c r="U5" s="79" t="s">
        <v>798</v>
      </c>
      <c r="V5" s="79" t="s">
        <v>799</v>
      </c>
      <c r="W5" s="79" t="s">
        <v>800</v>
      </c>
      <c r="X5" s="80" t="s">
        <v>798</v>
      </c>
      <c r="Y5" s="80" t="s">
        <v>799</v>
      </c>
      <c r="Z5" s="80" t="s">
        <v>800</v>
      </c>
      <c r="AA5" s="79" t="s">
        <v>798</v>
      </c>
      <c r="AB5" s="79" t="s">
        <v>799</v>
      </c>
      <c r="AC5" s="79" t="s">
        <v>800</v>
      </c>
      <c r="AD5" s="80" t="s">
        <v>798</v>
      </c>
      <c r="AE5" s="80" t="s">
        <v>799</v>
      </c>
      <c r="AF5" s="80" t="s">
        <v>800</v>
      </c>
      <c r="AG5" s="79" t="s">
        <v>798</v>
      </c>
      <c r="AH5" s="79" t="s">
        <v>799</v>
      </c>
      <c r="AI5" s="79" t="s">
        <v>800</v>
      </c>
      <c r="AJ5" s="81" t="s">
        <v>798</v>
      </c>
      <c r="AK5" s="81" t="s">
        <v>799</v>
      </c>
      <c r="AL5" s="81" t="s">
        <v>800</v>
      </c>
      <c r="AM5" s="80" t="s">
        <v>798</v>
      </c>
      <c r="AN5" s="80" t="s">
        <v>799</v>
      </c>
      <c r="AO5" s="80" t="s">
        <v>800</v>
      </c>
      <c r="AP5" s="77"/>
      <c r="AQ5" s="75" t="s">
        <v>801</v>
      </c>
      <c r="AR5" s="76">
        <v>0.16</v>
      </c>
      <c r="AS5" s="76">
        <v>0.14</v>
      </c>
      <c r="AT5" s="76">
        <v>0.055</v>
      </c>
      <c r="AU5" s="76">
        <v>0.23</v>
      </c>
      <c r="AV5" s="76">
        <v>0.08</v>
      </c>
    </row>
    <row r="6" customFormat="1" spans="1:48">
      <c r="B6" s="82" t="s">
        <v>797</v>
      </c>
      <c r="C6" s="83">
        <v>943041.57</v>
      </c>
      <c r="D6" s="84">
        <v>165597.64</v>
      </c>
      <c r="E6" s="85">
        <f t="shared" ref="E6:E18" si="0">IF(C6="","",D6/C6)</f>
        <v>0.175599512543228</v>
      </c>
      <c r="F6" s="83">
        <v>260795.93</v>
      </c>
      <c r="G6" s="84">
        <v>49443.62</v>
      </c>
      <c r="H6" s="85">
        <f t="shared" ref="H6:H18" si="1">IF(F6="","",G6/F6)</f>
        <v>0.189587391183597</v>
      </c>
      <c r="I6" s="83">
        <v>904113.01</v>
      </c>
      <c r="J6" s="84">
        <v>152229.76</v>
      </c>
      <c r="K6" s="85">
        <f t="shared" ref="K6:K18" si="2">IF(I6="","",J6/I6)</f>
        <v>0.168374703511898</v>
      </c>
      <c r="L6" s="83">
        <v>121714.08</v>
      </c>
      <c r="M6" s="84">
        <v>32829.5</v>
      </c>
      <c r="N6" s="85">
        <f t="shared" ref="N6:N18" si="3">IF(L6="","",M6/L6)</f>
        <v>0.269726394842733</v>
      </c>
      <c r="O6" s="83">
        <v>256231.97</v>
      </c>
      <c r="P6" s="84">
        <v>61074.06</v>
      </c>
      <c r="Q6" s="85">
        <v>0.2</v>
      </c>
      <c r="R6" s="83"/>
      <c r="S6" s="84"/>
      <c r="T6" s="85" t="str">
        <f>IF(R6="","",S6/R6)</f>
        <v/>
      </c>
      <c r="U6" s="83">
        <v>315160.69</v>
      </c>
      <c r="V6" s="84">
        <v>55389.65</v>
      </c>
      <c r="W6" s="85">
        <v>0.2</v>
      </c>
      <c r="X6" s="83">
        <v>90195.27</v>
      </c>
      <c r="Y6" s="84">
        <v>28889.88</v>
      </c>
      <c r="Z6" s="85">
        <f t="shared" ref="Z6:Z18" si="4">IF(X6="","",Y6/X6)</f>
        <v>0.320303714374379</v>
      </c>
      <c r="AA6" s="83">
        <v>269194.81</v>
      </c>
      <c r="AB6" s="84">
        <v>67310.36</v>
      </c>
      <c r="AC6" s="85">
        <f t="shared" ref="AC6:AC18" si="5">IF(AA6="","",AB6/AA6)</f>
        <v>0.250043305069663</v>
      </c>
      <c r="AD6" s="83">
        <v>239413.79</v>
      </c>
      <c r="AE6" s="84">
        <v>60648.36</v>
      </c>
      <c r="AF6" s="85">
        <f t="shared" ref="AF6:AF18" si="6">IF(AD6="","",AE6/AD6)</f>
        <v>0.253320245254043</v>
      </c>
      <c r="AG6" s="83">
        <v>323868</v>
      </c>
      <c r="AH6" s="84">
        <v>48990.32</v>
      </c>
      <c r="AI6" s="85">
        <f t="shared" ref="AI6:AI18" si="7">IF(AG6="","",AH6/AG6)</f>
        <v>0.151266318376623</v>
      </c>
      <c r="AJ6" s="83">
        <v>0</v>
      </c>
      <c r="AK6" s="84">
        <v>0</v>
      </c>
      <c r="AL6" s="85" t="e">
        <f>IF(AJ6="","",AK6/AJ6)</f>
        <v>#DIV/0!</v>
      </c>
      <c r="AM6" s="83">
        <v>351216</v>
      </c>
      <c r="AN6" s="84">
        <v>100603</v>
      </c>
      <c r="AO6" s="85">
        <f>IF(AM6="","",AN6/AM6)</f>
        <v>0.286441961641839</v>
      </c>
      <c r="AQ6" s="75" t="s">
        <v>802</v>
      </c>
      <c r="AR6" s="76">
        <v>0.19</v>
      </c>
      <c r="AS6" s="76">
        <v>0.13</v>
      </c>
      <c r="AT6" s="76">
        <v>0.06</v>
      </c>
      <c r="AU6" s="76">
        <v>0.23</v>
      </c>
      <c r="AV6" s="76">
        <v>0.09</v>
      </c>
    </row>
    <row r="7" customFormat="1" spans="1:48">
      <c r="B7" s="82" t="s">
        <v>801</v>
      </c>
      <c r="C7" s="83">
        <v>958064.79</v>
      </c>
      <c r="D7" s="84">
        <v>185546.49</v>
      </c>
      <c r="E7" s="85">
        <f t="shared" si="0"/>
        <v>0.193667998173693</v>
      </c>
      <c r="F7" s="83">
        <v>401190.58</v>
      </c>
      <c r="G7" s="84">
        <v>71129.59</v>
      </c>
      <c r="H7" s="85">
        <f t="shared" si="1"/>
        <v>0.177296261542332</v>
      </c>
      <c r="I7" s="83">
        <v>973715.19</v>
      </c>
      <c r="J7" s="84">
        <v>153837.17</v>
      </c>
      <c r="K7" s="85">
        <f t="shared" si="2"/>
        <v>0.157989904624986</v>
      </c>
      <c r="L7" s="83">
        <v>97902.15</v>
      </c>
      <c r="M7" s="84">
        <v>28065.2</v>
      </c>
      <c r="N7" s="85">
        <f t="shared" si="3"/>
        <v>0.286665818881404</v>
      </c>
      <c r="O7" s="83">
        <v>223433</v>
      </c>
      <c r="P7" s="84">
        <v>41479.91</v>
      </c>
      <c r="Q7" s="85">
        <v>0.18</v>
      </c>
      <c r="R7" s="83"/>
      <c r="S7" s="84"/>
      <c r="T7" s="85" t="str">
        <f>IF(R7="","",S7/R7)</f>
        <v/>
      </c>
      <c r="U7" s="83">
        <v>262321</v>
      </c>
      <c r="V7" s="84">
        <v>48135.61</v>
      </c>
      <c r="W7" s="85">
        <f>IF(U7="","",V7/U7)</f>
        <v>0.183498881141807</v>
      </c>
      <c r="X7" s="83">
        <v>74697.19</v>
      </c>
      <c r="Y7" s="84">
        <v>25496.58</v>
      </c>
      <c r="Z7" s="85">
        <f t="shared" si="4"/>
        <v>0.341332518666365</v>
      </c>
      <c r="AA7" s="83">
        <v>281103.51</v>
      </c>
      <c r="AB7" s="84">
        <v>63667.34</v>
      </c>
      <c r="AC7" s="85">
        <f t="shared" si="5"/>
        <v>0.226490732897643</v>
      </c>
      <c r="AD7" s="83">
        <v>240728.88</v>
      </c>
      <c r="AE7" s="84">
        <v>59760.59</v>
      </c>
      <c r="AF7" s="85">
        <f t="shared" si="6"/>
        <v>0.248248527555148</v>
      </c>
      <c r="AG7" s="83">
        <v>384684</v>
      </c>
      <c r="AH7" s="84">
        <v>50080.64</v>
      </c>
      <c r="AI7" s="85">
        <f t="shared" si="7"/>
        <v>0.130186438739329</v>
      </c>
      <c r="AJ7" s="83">
        <v>0</v>
      </c>
      <c r="AK7" s="84">
        <v>0</v>
      </c>
      <c r="AL7" s="85" t="e">
        <f>IF(AJ7="","",AK7/AJ7)</f>
        <v>#DIV/0!</v>
      </c>
      <c r="AM7" s="83">
        <v>268179</v>
      </c>
      <c r="AN7" s="84">
        <v>87200</v>
      </c>
      <c r="AO7" s="85">
        <f>IF(AM7="","",AN7/AM7)</f>
        <v>0.325155959266013</v>
      </c>
      <c r="AQ7" s="75" t="s">
        <v>803</v>
      </c>
      <c r="AR7" s="76">
        <v>0.15</v>
      </c>
      <c r="AS7" s="76">
        <v>0.13</v>
      </c>
      <c r="AT7" s="76">
        <v>0.06</v>
      </c>
      <c r="AU7" s="76">
        <v>0.26</v>
      </c>
      <c r="AV7" s="76">
        <v>0</v>
      </c>
    </row>
    <row r="8" customFormat="1" spans="1:48">
      <c r="B8" s="82" t="s">
        <v>802</v>
      </c>
      <c r="C8" s="83"/>
      <c r="D8" s="84"/>
      <c r="E8" s="85">
        <v>0.17</v>
      </c>
      <c r="F8" s="83"/>
      <c r="G8" s="84"/>
      <c r="H8" s="85">
        <v>0.19</v>
      </c>
      <c r="I8" s="83"/>
      <c r="J8" s="84"/>
      <c r="K8" s="85">
        <v>0.18</v>
      </c>
      <c r="L8" s="83"/>
      <c r="M8" s="84"/>
      <c r="N8" s="85">
        <v>0.3</v>
      </c>
      <c r="O8" s="83"/>
      <c r="P8" s="84"/>
      <c r="Q8" s="85">
        <v>0.17</v>
      </c>
      <c r="R8" s="83"/>
      <c r="S8" s="84"/>
      <c r="T8" s="85"/>
      <c r="U8" s="83"/>
      <c r="V8" s="84"/>
      <c r="W8" s="85">
        <v>0.18</v>
      </c>
      <c r="X8" s="83"/>
      <c r="Y8" s="84"/>
      <c r="Z8" s="85">
        <v>0.29</v>
      </c>
      <c r="AA8" s="83"/>
      <c r="AB8" s="84"/>
      <c r="AC8" s="85">
        <v>0.22</v>
      </c>
      <c r="AD8" s="83"/>
      <c r="AE8" s="84"/>
      <c r="AF8" s="85">
        <v>0.24</v>
      </c>
      <c r="AG8" s="83"/>
      <c r="AH8" s="84"/>
      <c r="AI8" s="85">
        <v>0</v>
      </c>
      <c r="AJ8" s="83"/>
      <c r="AK8" s="84"/>
      <c r="AL8" s="85">
        <v>0</v>
      </c>
      <c r="AM8" s="83"/>
      <c r="AN8" s="84"/>
      <c r="AO8" s="85"/>
      <c r="AQ8" s="75" t="s">
        <v>804</v>
      </c>
      <c r="AR8" s="76">
        <v>0.2</v>
      </c>
      <c r="AS8" s="76">
        <v>0.12</v>
      </c>
      <c r="AT8" s="76">
        <v>0.05</v>
      </c>
      <c r="AU8" s="76">
        <v>0.25</v>
      </c>
      <c r="AV8" s="76">
        <v>0.11</v>
      </c>
    </row>
    <row r="9" customFormat="1" spans="1:48">
      <c r="B9" s="82" t="s">
        <v>803</v>
      </c>
      <c r="C9" s="83"/>
      <c r="D9" s="84"/>
      <c r="E9" s="85">
        <v>0.19</v>
      </c>
      <c r="F9" s="83"/>
      <c r="G9" s="84"/>
      <c r="H9" s="85">
        <v>0.2</v>
      </c>
      <c r="I9" s="83"/>
      <c r="J9" s="84"/>
      <c r="K9" s="85">
        <v>0.18</v>
      </c>
      <c r="L9" s="83"/>
      <c r="M9" s="84"/>
      <c r="N9" s="85">
        <v>0.24</v>
      </c>
      <c r="O9" s="83"/>
      <c r="P9" s="84"/>
      <c r="Q9" s="85">
        <v>0.21</v>
      </c>
      <c r="R9" s="83"/>
      <c r="S9" s="84"/>
      <c r="T9" s="85"/>
      <c r="U9" s="83"/>
      <c r="V9" s="84"/>
      <c r="W9" s="85">
        <v>0.2</v>
      </c>
      <c r="X9" s="83"/>
      <c r="Y9" s="84"/>
      <c r="Z9" s="85">
        <v>0.29</v>
      </c>
      <c r="AA9" s="83"/>
      <c r="AB9" s="84"/>
      <c r="AC9" s="85">
        <v>0.23</v>
      </c>
      <c r="AD9" s="83"/>
      <c r="AE9" s="84"/>
      <c r="AF9" s="85">
        <v>0.25</v>
      </c>
      <c r="AG9" s="83"/>
      <c r="AH9" s="84"/>
      <c r="AI9" s="85">
        <v>0</v>
      </c>
      <c r="AJ9" s="83"/>
      <c r="AK9" s="84"/>
      <c r="AL9" s="85">
        <v>0</v>
      </c>
      <c r="AM9" s="83"/>
      <c r="AN9" s="84"/>
      <c r="AO9" s="85"/>
      <c r="AQ9" s="75" t="s">
        <v>805</v>
      </c>
      <c r="AR9" s="76">
        <v>0</v>
      </c>
      <c r="AS9" s="76">
        <v>0.14</v>
      </c>
      <c r="AT9" s="76">
        <v>0.055</v>
      </c>
      <c r="AU9" s="76">
        <v>0.28</v>
      </c>
      <c r="AV9" s="76">
        <v>0.09</v>
      </c>
    </row>
    <row r="10" customFormat="1" spans="1:48">
      <c r="B10" s="82" t="s">
        <v>804</v>
      </c>
      <c r="C10" s="83"/>
      <c r="D10" s="84"/>
      <c r="E10" s="85">
        <v>0.18</v>
      </c>
      <c r="F10" s="83"/>
      <c r="G10" s="84"/>
      <c r="H10" s="85">
        <v>0.18</v>
      </c>
      <c r="I10" s="83"/>
      <c r="J10" s="84"/>
      <c r="K10" s="85">
        <v>0.18</v>
      </c>
      <c r="L10" s="83"/>
      <c r="M10" s="84"/>
      <c r="N10" s="85">
        <v>0.28</v>
      </c>
      <c r="O10" s="83"/>
      <c r="P10" s="84"/>
      <c r="Q10" s="85">
        <v>0.18</v>
      </c>
      <c r="R10" s="83"/>
      <c r="S10" s="84"/>
      <c r="T10" s="85"/>
      <c r="U10" s="83"/>
      <c r="V10" s="84"/>
      <c r="W10" s="85">
        <v>0.19</v>
      </c>
      <c r="X10" s="83"/>
      <c r="Y10" s="84"/>
      <c r="Z10" s="85">
        <v>0.28</v>
      </c>
      <c r="AA10" s="83"/>
      <c r="AB10" s="84"/>
      <c r="AC10" s="85">
        <v>0.19</v>
      </c>
      <c r="AD10" s="83"/>
      <c r="AE10" s="84"/>
      <c r="AF10" s="85">
        <v>0.23</v>
      </c>
      <c r="AG10" s="83"/>
      <c r="AH10" s="84"/>
      <c r="AI10" s="85">
        <v>0</v>
      </c>
      <c r="AJ10" s="83"/>
      <c r="AK10" s="84"/>
      <c r="AL10" s="85">
        <v>0</v>
      </c>
      <c r="AM10" s="83"/>
      <c r="AN10" s="84"/>
      <c r="AO10" s="85"/>
      <c r="AQ10" s="75" t="s">
        <v>806</v>
      </c>
      <c r="AR10" s="76">
        <v>0.19</v>
      </c>
      <c r="AS10" s="76">
        <v>0</v>
      </c>
      <c r="AT10" s="76">
        <v>0.06</v>
      </c>
      <c r="AU10" s="76">
        <v>0.22</v>
      </c>
      <c r="AV10" s="76">
        <v>0.09</v>
      </c>
    </row>
    <row r="11" customFormat="1" spans="1:48">
      <c r="B11" s="82" t="s">
        <v>805</v>
      </c>
      <c r="C11" s="83"/>
      <c r="D11" s="84"/>
      <c r="E11" s="85">
        <v>0.18</v>
      </c>
      <c r="F11" s="83"/>
      <c r="G11" s="84"/>
      <c r="H11" s="85">
        <v>0.19</v>
      </c>
      <c r="I11" s="83"/>
      <c r="J11" s="84"/>
      <c r="K11" s="85">
        <v>0.18</v>
      </c>
      <c r="L11" s="83"/>
      <c r="M11" s="84"/>
      <c r="N11" s="85">
        <v>0.31</v>
      </c>
      <c r="O11" s="83"/>
      <c r="P11" s="84"/>
      <c r="Q11" s="85">
        <v>0.25</v>
      </c>
      <c r="R11" s="83"/>
      <c r="S11" s="84"/>
      <c r="T11" s="85"/>
      <c r="U11" s="83"/>
      <c r="V11" s="84"/>
      <c r="W11" s="85">
        <v>0.22</v>
      </c>
      <c r="X11" s="83"/>
      <c r="Y11" s="84"/>
      <c r="Z11" s="85">
        <v>0.21</v>
      </c>
      <c r="AA11" s="83"/>
      <c r="AB11" s="84"/>
      <c r="AC11" s="85">
        <v>0.18</v>
      </c>
      <c r="AD11" s="83"/>
      <c r="AE11" s="84"/>
      <c r="AF11" s="85">
        <v>0.25</v>
      </c>
      <c r="AG11" s="83"/>
      <c r="AH11" s="84"/>
      <c r="AI11" s="85">
        <v>0</v>
      </c>
      <c r="AJ11" s="83"/>
      <c r="AK11" s="84"/>
      <c r="AL11" s="85">
        <v>0</v>
      </c>
      <c r="AM11" s="83"/>
      <c r="AN11" s="84"/>
      <c r="AO11" s="85"/>
      <c r="AQ11" s="75" t="s">
        <v>807</v>
      </c>
      <c r="AR11" s="86"/>
      <c r="AS11" s="86"/>
      <c r="AT11" s="86"/>
      <c r="AU11" s="86"/>
      <c r="AV11" s="86"/>
    </row>
    <row r="12" customFormat="1" spans="1:48">
      <c r="B12" s="82" t="s">
        <v>806</v>
      </c>
      <c r="C12" s="83"/>
      <c r="D12" s="84"/>
      <c r="E12" s="85">
        <v>0.18</v>
      </c>
      <c r="F12" s="83"/>
      <c r="G12" s="84"/>
      <c r="H12" s="85">
        <v>0.18</v>
      </c>
      <c r="I12" s="83"/>
      <c r="J12" s="84"/>
      <c r="K12" s="85">
        <v>0.18</v>
      </c>
      <c r="L12" s="83"/>
      <c r="M12" s="84"/>
      <c r="N12" s="85">
        <v>0.34</v>
      </c>
      <c r="O12" s="83"/>
      <c r="P12" s="84"/>
      <c r="Q12" s="85">
        <v>0.22</v>
      </c>
      <c r="R12" s="83"/>
      <c r="S12" s="84"/>
      <c r="T12" s="85"/>
      <c r="U12" s="83"/>
      <c r="V12" s="84"/>
      <c r="W12" s="85">
        <v>0.21</v>
      </c>
      <c r="X12" s="83"/>
      <c r="Y12" s="84"/>
      <c r="Z12" s="85">
        <v>0.28</v>
      </c>
      <c r="AA12" s="83"/>
      <c r="AB12" s="84"/>
      <c r="AC12" s="85">
        <v>0.19</v>
      </c>
      <c r="AD12" s="83"/>
      <c r="AE12" s="84"/>
      <c r="AF12" s="85">
        <v>0.22</v>
      </c>
      <c r="AG12" s="83"/>
      <c r="AH12" s="84"/>
      <c r="AI12" s="85">
        <v>0</v>
      </c>
      <c r="AJ12" s="83"/>
      <c r="AK12" s="84"/>
      <c r="AL12" s="85">
        <v>0</v>
      </c>
      <c r="AM12" s="83"/>
      <c r="AN12" s="84"/>
      <c r="AO12" s="85"/>
      <c r="AQ12" s="75" t="s">
        <v>272</v>
      </c>
      <c r="AR12" s="86"/>
      <c r="AS12" s="86"/>
      <c r="AT12" s="86"/>
      <c r="AU12" s="86"/>
      <c r="AV12" s="86"/>
    </row>
    <row r="13" customFormat="1" spans="1:48">
      <c r="B13" s="82" t="s">
        <v>807</v>
      </c>
      <c r="C13" s="83"/>
      <c r="D13" s="84"/>
      <c r="E13" s="85" t="str">
        <f t="shared" si="0"/>
        <v/>
      </c>
      <c r="F13" s="83"/>
      <c r="G13" s="84"/>
      <c r="H13" s="85" t="str">
        <f t="shared" si="1"/>
        <v/>
      </c>
      <c r="I13" s="83"/>
      <c r="J13" s="84"/>
      <c r="K13" s="85" t="str">
        <f t="shared" si="2"/>
        <v/>
      </c>
      <c r="L13" s="83"/>
      <c r="M13" s="84"/>
      <c r="N13" s="85" t="str">
        <f t="shared" si="3"/>
        <v/>
      </c>
      <c r="O13" s="83"/>
      <c r="P13" s="84"/>
      <c r="Q13" s="85" t="str">
        <f t="shared" ref="Q11:Q18" si="8">IF(O13="","",P13/O13)</f>
        <v/>
      </c>
      <c r="R13" s="83"/>
      <c r="S13" s="84"/>
      <c r="T13" s="85" t="str">
        <f t="shared" ref="T13:T18" si="9">IF(R13="","",S13/R13)</f>
        <v/>
      </c>
      <c r="U13" s="83"/>
      <c r="V13" s="84"/>
      <c r="W13" s="85"/>
      <c r="X13" s="83"/>
      <c r="Y13" s="84"/>
      <c r="Z13" s="85" t="str">
        <f t="shared" si="4"/>
        <v/>
      </c>
      <c r="AA13" s="83"/>
      <c r="AB13" s="84"/>
      <c r="AC13" s="85" t="str">
        <f t="shared" si="5"/>
        <v/>
      </c>
      <c r="AD13" s="83"/>
      <c r="AE13" s="84"/>
      <c r="AF13" s="85" t="str">
        <f t="shared" si="6"/>
        <v/>
      </c>
      <c r="AG13" s="83"/>
      <c r="AH13" s="84"/>
      <c r="AI13" s="85" t="str">
        <f t="shared" si="7"/>
        <v/>
      </c>
      <c r="AJ13" s="83"/>
      <c r="AK13" s="84"/>
      <c r="AL13" s="85">
        <v>0</v>
      </c>
      <c r="AM13" s="83"/>
      <c r="AN13" s="84"/>
      <c r="AO13" s="85" t="str">
        <f t="shared" ref="AO13:AO18" si="10">IF(AM13="","",AN13/AM13)</f>
        <v/>
      </c>
      <c r="AQ13" s="75" t="s">
        <v>808</v>
      </c>
      <c r="AR13" s="86"/>
      <c r="AS13" s="86"/>
      <c r="AT13" s="86"/>
      <c r="AU13" s="86"/>
      <c r="AV13" s="86"/>
    </row>
    <row r="14" customFormat="1" spans="1:48">
      <c r="B14" s="82" t="s">
        <v>272</v>
      </c>
      <c r="C14" s="83"/>
      <c r="D14" s="84"/>
      <c r="E14" s="85" t="str">
        <f t="shared" si="0"/>
        <v/>
      </c>
      <c r="F14" s="83"/>
      <c r="G14" s="84"/>
      <c r="H14" s="85" t="str">
        <f t="shared" si="1"/>
        <v/>
      </c>
      <c r="I14" s="83"/>
      <c r="J14" s="84"/>
      <c r="K14" s="85" t="str">
        <f t="shared" si="2"/>
        <v/>
      </c>
      <c r="L14" s="83"/>
      <c r="M14" s="84"/>
      <c r="N14" s="85" t="str">
        <f t="shared" si="3"/>
        <v/>
      </c>
      <c r="O14" s="83"/>
      <c r="P14" s="84"/>
      <c r="Q14" s="85" t="str">
        <f t="shared" si="8"/>
        <v/>
      </c>
      <c r="R14" s="83"/>
      <c r="S14" s="84"/>
      <c r="T14" s="85" t="str">
        <f t="shared" si="9"/>
        <v/>
      </c>
      <c r="U14" s="83"/>
      <c r="V14" s="84"/>
      <c r="W14" s="85"/>
      <c r="X14" s="83"/>
      <c r="Y14" s="84"/>
      <c r="Z14" s="85" t="str">
        <f t="shared" si="4"/>
        <v/>
      </c>
      <c r="AA14" s="83"/>
      <c r="AB14" s="84"/>
      <c r="AC14" s="85" t="str">
        <f t="shared" si="5"/>
        <v/>
      </c>
      <c r="AD14" s="83"/>
      <c r="AE14" s="84"/>
      <c r="AF14" s="85" t="str">
        <f t="shared" si="6"/>
        <v/>
      </c>
      <c r="AG14" s="83"/>
      <c r="AH14" s="84"/>
      <c r="AI14" s="85" t="str">
        <f t="shared" si="7"/>
        <v/>
      </c>
      <c r="AJ14" s="83"/>
      <c r="AK14" s="84"/>
      <c r="AL14" s="85" t="str">
        <f t="shared" ref="AL14:AL18" si="11">IF(AJ14="","",AK14/AJ14)</f>
        <v/>
      </c>
      <c r="AM14" s="83"/>
      <c r="AN14" s="84"/>
      <c r="AO14" s="85" t="str">
        <f t="shared" si="10"/>
        <v/>
      </c>
      <c r="AQ14" s="75" t="s">
        <v>809</v>
      </c>
      <c r="AR14" s="86"/>
      <c r="AS14" s="86"/>
      <c r="AT14" s="86"/>
      <c r="AU14" s="86"/>
      <c r="AV14" s="86"/>
    </row>
    <row r="15" customFormat="1" spans="1:48">
      <c r="B15" s="82" t="s">
        <v>808</v>
      </c>
      <c r="C15" s="83"/>
      <c r="D15" s="84"/>
      <c r="E15" s="85" t="str">
        <f t="shared" si="0"/>
        <v/>
      </c>
      <c r="F15" s="83"/>
      <c r="G15" s="84"/>
      <c r="H15" s="85" t="str">
        <f t="shared" si="1"/>
        <v/>
      </c>
      <c r="I15" s="83"/>
      <c r="J15" s="84"/>
      <c r="K15" s="85" t="str">
        <f t="shared" si="2"/>
        <v/>
      </c>
      <c r="L15" s="83"/>
      <c r="M15" s="84"/>
      <c r="N15" s="85" t="str">
        <f t="shared" si="3"/>
        <v/>
      </c>
      <c r="O15" s="83"/>
      <c r="P15" s="84"/>
      <c r="Q15" s="85" t="str">
        <f t="shared" si="8"/>
        <v/>
      </c>
      <c r="R15" s="83"/>
      <c r="S15" s="84"/>
      <c r="T15" s="85" t="str">
        <f t="shared" si="9"/>
        <v/>
      </c>
      <c r="U15" s="83"/>
      <c r="V15" s="84"/>
      <c r="W15" s="85"/>
      <c r="X15" s="83"/>
      <c r="Y15" s="84"/>
      <c r="Z15" s="85" t="str">
        <f t="shared" si="4"/>
        <v/>
      </c>
      <c r="AA15" s="83"/>
      <c r="AB15" s="84"/>
      <c r="AC15" s="85" t="str">
        <f t="shared" si="5"/>
        <v/>
      </c>
      <c r="AD15" s="83"/>
      <c r="AE15" s="84"/>
      <c r="AF15" s="85" t="str">
        <f t="shared" si="6"/>
        <v/>
      </c>
      <c r="AG15" s="83"/>
      <c r="AH15" s="84"/>
      <c r="AI15" s="85" t="str">
        <f t="shared" si="7"/>
        <v/>
      </c>
      <c r="AJ15" s="83"/>
      <c r="AK15" s="84"/>
      <c r="AL15" s="85" t="str">
        <f t="shared" si="11"/>
        <v/>
      </c>
      <c r="AM15" s="83"/>
      <c r="AN15" s="84"/>
      <c r="AO15" s="85" t="str">
        <f t="shared" si="10"/>
        <v/>
      </c>
      <c r="AQ15" s="75" t="s">
        <v>810</v>
      </c>
      <c r="AR15" s="86"/>
      <c r="AS15" s="86"/>
      <c r="AT15" s="86"/>
      <c r="AU15" s="86"/>
      <c r="AV15" s="86"/>
    </row>
    <row r="16" customFormat="1" spans="1:48">
      <c r="B16" s="82" t="s">
        <v>809</v>
      </c>
      <c r="C16" s="83"/>
      <c r="D16" s="84"/>
      <c r="E16" s="85" t="str">
        <f t="shared" si="0"/>
        <v/>
      </c>
      <c r="F16" s="83"/>
      <c r="G16" s="84"/>
      <c r="H16" s="85" t="str">
        <f t="shared" si="1"/>
        <v/>
      </c>
      <c r="I16" s="83"/>
      <c r="J16" s="84"/>
      <c r="K16" s="85" t="str">
        <f t="shared" si="2"/>
        <v/>
      </c>
      <c r="L16" s="83"/>
      <c r="M16" s="84"/>
      <c r="N16" s="85" t="str">
        <f t="shared" si="3"/>
        <v/>
      </c>
      <c r="O16" s="83"/>
      <c r="P16" s="84"/>
      <c r="Q16" s="85" t="str">
        <f t="shared" si="8"/>
        <v/>
      </c>
      <c r="R16" s="83"/>
      <c r="S16" s="84"/>
      <c r="T16" s="85" t="str">
        <f t="shared" si="9"/>
        <v/>
      </c>
      <c r="U16" s="83"/>
      <c r="V16" s="84"/>
      <c r="W16" s="85" t="str">
        <f t="shared" ref="W16:W18" si="12">IF(U16="","",V16/U16)</f>
        <v/>
      </c>
      <c r="X16" s="83"/>
      <c r="Y16" s="84"/>
      <c r="Z16" s="85" t="str">
        <f t="shared" si="4"/>
        <v/>
      </c>
      <c r="AA16" s="83"/>
      <c r="AB16" s="84"/>
      <c r="AC16" s="85" t="str">
        <f t="shared" si="5"/>
        <v/>
      </c>
      <c r="AD16" s="83"/>
      <c r="AE16" s="84"/>
      <c r="AF16" s="85" t="str">
        <f t="shared" si="6"/>
        <v/>
      </c>
      <c r="AG16" s="83"/>
      <c r="AH16" s="84"/>
      <c r="AI16" s="85" t="str">
        <f t="shared" si="7"/>
        <v/>
      </c>
      <c r="AJ16" s="83"/>
      <c r="AK16" s="84"/>
      <c r="AL16" s="85" t="str">
        <f t="shared" si="11"/>
        <v/>
      </c>
      <c r="AM16" s="83"/>
      <c r="AN16" s="84"/>
      <c r="AO16" s="85" t="str">
        <f t="shared" si="10"/>
        <v/>
      </c>
      <c r="AQ16" s="75" t="s">
        <v>20</v>
      </c>
      <c r="AR16" s="87">
        <f t="shared" ref="AR16:AV16" si="13">AVERAGE(AR4:AR15)</f>
        <v>0.151428571428571</v>
      </c>
      <c r="AS16" s="87">
        <f t="shared" si="13"/>
        <v>0.11</v>
      </c>
      <c r="AT16" s="87">
        <f t="shared" si="13"/>
        <v>0.0564285714285714</v>
      </c>
      <c r="AU16" s="87">
        <f t="shared" si="13"/>
        <v>0.238571428571429</v>
      </c>
      <c r="AV16" s="87">
        <f t="shared" si="13"/>
        <v>0.0785714285714286</v>
      </c>
    </row>
    <row r="17" customFormat="1" spans="2:41">
      <c r="B17" s="82" t="s">
        <v>810</v>
      </c>
      <c r="C17" s="83"/>
      <c r="D17" s="84"/>
      <c r="E17" s="85" t="str">
        <f t="shared" si="0"/>
        <v/>
      </c>
      <c r="F17" s="83"/>
      <c r="G17" s="84"/>
      <c r="H17" s="85" t="str">
        <f t="shared" si="1"/>
        <v/>
      </c>
      <c r="I17" s="83"/>
      <c r="J17" s="84"/>
      <c r="K17" s="85" t="str">
        <f t="shared" si="2"/>
        <v/>
      </c>
      <c r="L17" s="83"/>
      <c r="M17" s="84"/>
      <c r="N17" s="85" t="str">
        <f t="shared" si="3"/>
        <v/>
      </c>
      <c r="O17" s="83"/>
      <c r="P17" s="84"/>
      <c r="Q17" s="85" t="str">
        <f t="shared" si="8"/>
        <v/>
      </c>
      <c r="R17" s="83"/>
      <c r="S17" s="84"/>
      <c r="T17" s="85" t="str">
        <f t="shared" si="9"/>
        <v/>
      </c>
      <c r="U17" s="83"/>
      <c r="V17" s="84"/>
      <c r="W17" s="85" t="str">
        <f t="shared" si="12"/>
        <v/>
      </c>
      <c r="X17" s="83"/>
      <c r="Y17" s="84"/>
      <c r="Z17" s="85" t="str">
        <f t="shared" si="4"/>
        <v/>
      </c>
      <c r="AA17" s="83"/>
      <c r="AB17" s="84"/>
      <c r="AC17" s="85" t="str">
        <f t="shared" si="5"/>
        <v/>
      </c>
      <c r="AD17" s="83"/>
      <c r="AE17" s="84"/>
      <c r="AF17" s="85" t="str">
        <f t="shared" si="6"/>
        <v/>
      </c>
      <c r="AG17" s="83"/>
      <c r="AH17" s="84"/>
      <c r="AI17" s="85" t="str">
        <f t="shared" si="7"/>
        <v/>
      </c>
      <c r="AJ17" s="83"/>
      <c r="AK17" s="84"/>
      <c r="AL17" s="85" t="str">
        <f t="shared" si="11"/>
        <v/>
      </c>
      <c r="AM17" s="83"/>
      <c r="AN17" s="84"/>
      <c r="AO17" s="85" t="str">
        <f t="shared" si="10"/>
        <v/>
      </c>
    </row>
    <row r="18" customFormat="1" spans="2:41">
      <c r="B18" s="82" t="s">
        <v>20</v>
      </c>
      <c r="C18" s="83">
        <f t="shared" ref="C18:G18" si="14">SUM(C6:C17)</f>
        <v>1901106.36</v>
      </c>
      <c r="D18" s="84">
        <f t="shared" si="14"/>
        <v>351144.13</v>
      </c>
      <c r="E18" s="85">
        <f t="shared" si="0"/>
        <v>0.184705147164938</v>
      </c>
      <c r="F18" s="83">
        <f t="shared" si="14"/>
        <v>661986.51</v>
      </c>
      <c r="G18" s="84">
        <f t="shared" si="14"/>
        <v>120573.21</v>
      </c>
      <c r="H18" s="85">
        <f t="shared" si="1"/>
        <v>0.182138469860964</v>
      </c>
      <c r="I18" s="83">
        <f t="shared" ref="I18:M18" si="15">SUM(I6:I17)</f>
        <v>1877828.2</v>
      </c>
      <c r="J18" s="84">
        <f t="shared" si="15"/>
        <v>306066.93</v>
      </c>
      <c r="K18" s="85">
        <f t="shared" si="2"/>
        <v>0.162989846461993</v>
      </c>
      <c r="L18" s="83">
        <f t="shared" si="15"/>
        <v>219616.23</v>
      </c>
      <c r="M18" s="84">
        <f t="shared" si="15"/>
        <v>60894.7</v>
      </c>
      <c r="N18" s="85">
        <f t="shared" si="3"/>
        <v>0.277277776783619</v>
      </c>
      <c r="O18" s="83">
        <f t="shared" ref="O18:S18" si="16">SUM(O6:O17)</f>
        <v>479664.97</v>
      </c>
      <c r="P18" s="84">
        <f t="shared" si="16"/>
        <v>102553.97</v>
      </c>
      <c r="Q18" s="85">
        <f t="shared" si="8"/>
        <v>0.21380333443987</v>
      </c>
      <c r="R18" s="83">
        <f t="shared" si="16"/>
        <v>0</v>
      </c>
      <c r="S18" s="84">
        <f t="shared" si="16"/>
        <v>0</v>
      </c>
      <c r="T18" s="85" t="e">
        <f t="shared" si="9"/>
        <v>#DIV/0!</v>
      </c>
      <c r="U18" s="83">
        <f t="shared" ref="U18:Y18" si="17">SUM(U6:U17)</f>
        <v>577481.69</v>
      </c>
      <c r="V18" s="84">
        <f t="shared" si="17"/>
        <v>103525.26</v>
      </c>
      <c r="W18" s="85">
        <f t="shared" si="12"/>
        <v>0.179270203354846</v>
      </c>
      <c r="X18" s="83">
        <f t="shared" si="17"/>
        <v>164892.46</v>
      </c>
      <c r="Y18" s="84">
        <f t="shared" si="17"/>
        <v>54386.46</v>
      </c>
      <c r="Z18" s="85">
        <f t="shared" si="4"/>
        <v>0.329829878212745</v>
      </c>
      <c r="AA18" s="83">
        <f t="shared" ref="AA18:AE18" si="18">SUM(AA6:AA17)</f>
        <v>550298.32</v>
      </c>
      <c r="AB18" s="84">
        <f t="shared" si="18"/>
        <v>130977.7</v>
      </c>
      <c r="AC18" s="85">
        <f t="shared" si="5"/>
        <v>0.238012174923594</v>
      </c>
      <c r="AD18" s="83">
        <f t="shared" si="18"/>
        <v>480142.67</v>
      </c>
      <c r="AE18" s="84">
        <f t="shared" si="18"/>
        <v>120408.95</v>
      </c>
      <c r="AF18" s="85">
        <f t="shared" si="6"/>
        <v>0.25077744079692</v>
      </c>
      <c r="AG18" s="83">
        <f t="shared" ref="AG18:AK18" si="19">SUM(AG6:AG17)</f>
        <v>708552</v>
      </c>
      <c r="AH18" s="84">
        <f t="shared" si="19"/>
        <v>99070.96</v>
      </c>
      <c r="AI18" s="85">
        <f t="shared" si="7"/>
        <v>0.139821720918154</v>
      </c>
      <c r="AJ18" s="83">
        <f t="shared" si="19"/>
        <v>0</v>
      </c>
      <c r="AK18" s="84">
        <f t="shared" si="19"/>
        <v>0</v>
      </c>
      <c r="AL18" s="85" t="e">
        <f t="shared" si="11"/>
        <v>#DIV/0!</v>
      </c>
      <c r="AM18" s="83">
        <f>SUM(AM6:AM17)</f>
        <v>619395</v>
      </c>
      <c r="AN18" s="84">
        <f>SUM(AN6:AN17)</f>
        <v>187803</v>
      </c>
      <c r="AO18" s="85">
        <f t="shared" si="10"/>
        <v>0.303203932869978</v>
      </c>
    </row>
    <row r="19" customFormat="1" spans="2:41">
      <c r="C19" s="88"/>
      <c r="D19" s="88"/>
      <c r="N19" s="89">
        <v>-0.3</v>
      </c>
    </row>
    <row r="20" customFormat="1" spans="2:41">
      <c r="I20" s="64"/>
      <c r="J20" s="64"/>
    </row>
    <row r="21" customFormat="1" spans="2:41">
      <c r="F21" s="88"/>
      <c r="G21" s="88"/>
      <c r="L21" s="64"/>
      <c r="M21" s="64"/>
      <c r="AA21" s="90"/>
      <c r="AB21" s="91"/>
      <c r="AC21" s="91"/>
    </row>
    <row r="22" customFormat="1" spans="2:41">
      <c r="B22" t="s">
        <v>811</v>
      </c>
      <c r="F22" s="64"/>
      <c r="G22" s="64"/>
      <c r="AA22" s="90"/>
      <c r="AB22" s="91"/>
      <c r="AC22" s="91"/>
    </row>
    <row r="23" customFormat="1" spans="2:41">
      <c r="B23" t="s">
        <v>812</v>
      </c>
      <c r="C23" s="64"/>
      <c r="D23" s="64"/>
      <c r="J23" s="88"/>
      <c r="K23" s="88"/>
      <c r="AA23" s="90"/>
      <c r="AB23" s="91"/>
      <c r="AC23" s="91"/>
    </row>
    <row r="24" customFormat="1" spans="2:41">
      <c r="X24" s="92"/>
      <c r="Y24" s="93"/>
      <c r="AA24" s="90"/>
      <c r="AB24" s="94"/>
      <c r="AC24" s="95"/>
    </row>
    <row r="25" customFormat="1" spans="2:41">
      <c r="L25" s="88"/>
      <c r="M25" s="88"/>
      <c r="AA25" s="90"/>
      <c r="AB25" s="91"/>
      <c r="AC25" s="91"/>
      <c r="AF25" s="94"/>
      <c r="AG25" s="94"/>
    </row>
    <row r="26" customFormat="1" spans="2:41">
      <c r="H26" s="64"/>
      <c r="O26" s="64"/>
      <c r="Z26" s="92"/>
      <c r="AA26" s="93"/>
      <c r="AB26" s="91"/>
      <c r="AC26" s="91"/>
    </row>
    <row r="27" customFormat="1" spans="2:41">
      <c r="O27" s="96" t="s">
        <v>780</v>
      </c>
      <c r="W27" s="97"/>
      <c r="X27" s="97"/>
      <c r="AA27" s="90"/>
      <c r="AB27" s="91"/>
      <c r="AC27" s="91"/>
    </row>
    <row r="28" customFormat="1" spans="2:41">
      <c r="H28" s="98"/>
      <c r="O28" s="99">
        <v>0.09</v>
      </c>
      <c r="P28" s="93"/>
      <c r="AA28" s="90"/>
      <c r="AB28" s="91"/>
      <c r="AC28" s="91"/>
    </row>
    <row r="29" customFormat="1" spans="2:41">
      <c r="H29" s="98"/>
      <c r="O29" s="99">
        <v>0.08</v>
      </c>
      <c r="W29" s="90"/>
      <c r="X29" s="91"/>
      <c r="Y29" s="91"/>
    </row>
    <row r="30" customFormat="1" spans="2:41">
      <c r="H30" s="98"/>
      <c r="O30" s="99">
        <v>0.09</v>
      </c>
      <c r="W30" s="90"/>
      <c r="X30" s="91"/>
      <c r="Y30" s="91"/>
    </row>
    <row r="31" customFormat="1" spans="2:41">
      <c r="H31" s="98"/>
      <c r="O31" s="99"/>
      <c r="W31" s="90"/>
      <c r="X31" s="91"/>
      <c r="Y31" s="91"/>
    </row>
    <row r="32" customFormat="1" spans="2:41">
      <c r="H32" s="98"/>
      <c r="O32" s="99"/>
      <c r="W32" s="90"/>
      <c r="X32" s="91"/>
      <c r="Y32" s="91"/>
    </row>
    <row r="33" customFormat="1" spans="15:25">
      <c r="O33" s="99"/>
      <c r="W33" s="90"/>
      <c r="X33" s="91"/>
      <c r="Y33" s="91"/>
    </row>
    <row r="34" customFormat="1" spans="15:25">
      <c r="O34" s="99"/>
    </row>
    <row r="35" customFormat="1" spans="15:25">
      <c r="O35" s="99"/>
    </row>
    <row r="36" customFormat="1" spans="15:25">
      <c r="O36" s="99"/>
    </row>
    <row r="37" customFormat="1" spans="15:25">
      <c r="O37" s="99"/>
    </row>
    <row r="38" customFormat="1" spans="15:25">
      <c r="O38" s="99"/>
    </row>
    <row r="39" customFormat="1" spans="15:25">
      <c r="O39" s="99"/>
    </row>
    <row r="40" customFormat="1" spans="15:25">
      <c r="O40" s="99"/>
    </row>
  </sheetData>
  <mergeCells count="21">
    <mergeCell ref="AQ2:AR2"/>
    <mergeCell ref="C3:N3"/>
    <mergeCell ref="O3:W3"/>
    <mergeCell ref="X3:AC3"/>
    <mergeCell ref="AD3:AF3"/>
    <mergeCell ref="AG3:AL3"/>
    <mergeCell ref="AM3:AO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F1:O2"/>
  </mergeCells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047716"/>
  <sheetViews>
    <sheetView tabSelected="1" zoomScale="60" zoomScaleNormal="60" workbookViewId="0">
      <selection activeCell="Y100" sqref="Y100"/>
    </sheetView>
  </sheetViews>
  <sheetFormatPr defaultColWidth="8.88888888888889" defaultRowHeight="12"/>
  <cols>
    <col min="1" max="1" width="9.27777777777778" style="5" customWidth="1"/>
    <col min="2" max="2" width="7.03703703703704" style="5" customWidth="1"/>
    <col min="3" max="3" width="7.40740740740741" style="5" customWidth="1"/>
    <col min="4" max="4" width="7.92592592592593" style="6" customWidth="1"/>
    <col min="5" max="5" width="3.96296296296296" style="6" customWidth="1"/>
    <col min="6" max="6" width="6.66666666666667" style="6" customWidth="1"/>
    <col min="7" max="7" width="3.64814814814815" style="6" customWidth="1"/>
    <col min="8" max="8" width="9.51851851851852" style="6" customWidth="1"/>
    <col min="9" max="9" width="8.88888888888889" style="6" customWidth="1"/>
    <col min="10" max="10" width="10.3055555555556" style="7" customWidth="1"/>
    <col min="11" max="11" width="9.66666666666667" style="8" customWidth="1"/>
    <col min="12" max="12" width="7.77777777777778" style="9" customWidth="1"/>
    <col min="13" max="13" width="9.19444444444444" style="10" customWidth="1"/>
    <col min="14" max="14" width="8.09259259259259" style="11" customWidth="1"/>
    <col min="15" max="15" width="8.40740740740741" style="2" customWidth="1"/>
    <col min="16" max="16" width="8.72222222222222" style="2" customWidth="1"/>
    <col min="17" max="17" width="9.33333333333333" style="2" customWidth="1"/>
    <col min="18" max="18" width="9.2037037037037" style="2" customWidth="1"/>
    <col min="19" max="19" width="8.73148148148148" style="2" customWidth="1"/>
    <col min="20" max="20" width="9.68518518518519" style="2" customWidth="1"/>
    <col min="21" max="21" width="9.36111111111111" style="12" customWidth="1"/>
    <col min="22" max="22" width="9.52777777777778" style="2" customWidth="1"/>
    <col min="23" max="23" width="6.22222222222222" style="2" customWidth="1"/>
    <col min="24" max="24" width="9.67592592592593" style="2" customWidth="1"/>
    <col min="25" max="25" width="7.44444444444444" style="2" customWidth="1"/>
    <col min="26" max="26" width="11.5833333333333" style="2" customWidth="1"/>
    <col min="27" max="27" width="8.09259259259259" style="2" customWidth="1"/>
    <col min="28" max="29" width="9.66666666666667" style="2"/>
    <col min="30" max="30" width="10.6203703703704" style="2" customWidth="1"/>
    <col min="31" max="31" width="7" style="2" customWidth="1"/>
    <col min="32" max="32" width="8.40740740740741" style="3" customWidth="1"/>
    <col min="33" max="33" width="4.91666666666667" style="2" customWidth="1"/>
    <col min="34" max="34" width="9.55555555555556" style="2" customWidth="1"/>
    <col min="35" max="35" width="9.66666666666667" style="2" customWidth="1"/>
    <col min="36" max="36" width="10" style="2" customWidth="1"/>
    <col min="37" max="37" width="8.36111111111111" style="2" customWidth="1"/>
    <col min="38" max="38" width="10.712962962963" style="2" customWidth="1"/>
    <col min="39" max="39" width="9.5462962962963" style="2" customWidth="1"/>
    <col min="40" max="40" width="7.18518518518519" style="2" customWidth="1"/>
    <col min="41" max="16384" width="8.88888888888889" style="2"/>
  </cols>
  <sheetData>
    <row r="1" s="2" customFormat="1" ht="48" spans="1:40">
      <c r="A1" s="13" t="s">
        <v>813</v>
      </c>
      <c r="B1" s="13" t="s">
        <v>814</v>
      </c>
      <c r="C1" s="13" t="s">
        <v>815</v>
      </c>
      <c r="D1" s="14" t="s">
        <v>816</v>
      </c>
      <c r="E1" s="14" t="s">
        <v>817</v>
      </c>
      <c r="F1" s="14" t="s">
        <v>818</v>
      </c>
      <c r="G1" s="14" t="s">
        <v>817</v>
      </c>
      <c r="H1" s="14" t="s">
        <v>819</v>
      </c>
      <c r="I1" s="14" t="s">
        <v>820</v>
      </c>
      <c r="J1" s="15" t="s">
        <v>821</v>
      </c>
      <c r="K1" s="16" t="s">
        <v>822</v>
      </c>
      <c r="L1" s="17" t="s">
        <v>798</v>
      </c>
      <c r="M1" s="18" t="s">
        <v>8</v>
      </c>
      <c r="N1" s="19" t="s">
        <v>823</v>
      </c>
      <c r="O1" s="20" t="s">
        <v>824</v>
      </c>
      <c r="P1" s="20" t="s">
        <v>825</v>
      </c>
      <c r="Q1" s="20" t="s">
        <v>826</v>
      </c>
      <c r="R1" s="20" t="s">
        <v>827</v>
      </c>
      <c r="S1" s="21" t="s">
        <v>828</v>
      </c>
      <c r="T1" s="20" t="s">
        <v>829</v>
      </c>
      <c r="U1" s="22" t="s">
        <v>830</v>
      </c>
      <c r="V1" s="21" t="s">
        <v>831</v>
      </c>
      <c r="W1" s="21" t="s">
        <v>57</v>
      </c>
      <c r="X1" s="21" t="s">
        <v>36</v>
      </c>
      <c r="Y1" s="21" t="s">
        <v>832</v>
      </c>
      <c r="Z1" s="21" t="s">
        <v>39</v>
      </c>
      <c r="AA1" s="21" t="s">
        <v>832</v>
      </c>
      <c r="AB1" s="21" t="s">
        <v>833</v>
      </c>
      <c r="AC1" s="21" t="s">
        <v>834</v>
      </c>
      <c r="AD1" s="23" t="s">
        <v>835</v>
      </c>
      <c r="AE1" s="24" t="s">
        <v>836</v>
      </c>
      <c r="AF1" s="21" t="s">
        <v>35</v>
      </c>
      <c r="AG1" s="21" t="s">
        <v>837</v>
      </c>
      <c r="AH1" s="21" t="s">
        <v>838</v>
      </c>
      <c r="AI1" s="23" t="s">
        <v>839</v>
      </c>
      <c r="AJ1" s="20" t="s">
        <v>840</v>
      </c>
      <c r="AK1" s="24" t="s">
        <v>836</v>
      </c>
      <c r="AL1" s="23" t="s">
        <v>841</v>
      </c>
      <c r="AM1" s="20" t="s">
        <v>842</v>
      </c>
      <c r="AN1" s="23" t="s">
        <v>843</v>
      </c>
    </row>
    <row r="2" s="3" customFormat="1" spans="1:40">
      <c r="A2" s="25" cm="1">
        <f t="array" ref="A2:A82">'BASE DADOS'!F2:F82</f>
        <v>46237</v>
      </c>
      <c r="B2" s="25" t="str" cm="1">
        <f t="array" ref="B2:B82">'BASE DADOS'!C2:C82</f>
        <v>NORMAL</v>
      </c>
      <c r="C2" s="25" t="str" cm="1">
        <f t="array" ref="C2:C82">'BASE DADOS'!G2:G82</f>
        <v>MMM1H28</v>
      </c>
      <c r="D2" s="25" t="str" cm="1">
        <f t="array" ref="D2:D82">'BASE DADOS'!E2:E82</f>
        <v>JOI</v>
      </c>
      <c r="E2" s="25" t="str" cm="1">
        <f t="array" ref="E2:E82">'BASE DADOS'!O2:O82</f>
        <v>SC</v>
      </c>
      <c r="F2" s="25" t="str" cm="1">
        <f t="array" ref="F2:F82">'BASE DADOS'!AM2:AM82</f>
        <v>DCC</v>
      </c>
      <c r="G2" s="25" t="str" cm="1">
        <f t="array" ref="G2:G82">'BASE DADOS'!AL2:AL82</f>
        <v>MG</v>
      </c>
      <c r="H2" s="25" t="str" cm="1">
        <f t="array" ref="H2:H82">'BASE DADOS'!V2:V82</f>
        <v>BRASCOLA LTDA -</v>
      </c>
      <c r="I2" s="200" t="str" cm="1">
        <f t="array" ref="I2:I82">'BASE DADOS'!AN2:AN82</f>
        <v>000330234</v>
      </c>
      <c r="J2" s="26" cm="1">
        <f t="array" ref="J2:J82">'BASE DADOS'!AY2:AY82</f>
        <v>1536.74</v>
      </c>
      <c r="K2" s="27" cm="1">
        <f t="array" ref="K2:K82">'BASE DADOS'!AQ2:AQ82</f>
        <v>10</v>
      </c>
      <c r="L2" s="28" cm="1">
        <f t="array" ref="L2:L82">'BASE DADOS'!BH2:BH82</f>
        <v>55.36</v>
      </c>
      <c r="M2" s="29" cm="1">
        <f t="array" ref="M2:M82">'BASE DADOS'!BB2:BB82</f>
        <v>247.68</v>
      </c>
      <c r="N2" s="30" cm="1">
        <f t="array" ref="N2:N82">'BASE DADOS'!BF2:BF82</f>
        <v>0.12</v>
      </c>
      <c r="O2" s="31" cm="1">
        <f t="array" ref="O2:O82">'BASE DADOS'!CW2:CW82</f>
        <v>49.54</v>
      </c>
      <c r="P2" s="32">
        <f t="shared" ref="P2:P65" si="0">L2*0.34</f>
        <v>18.8224</v>
      </c>
      <c r="Q2" s="32">
        <f>L2*0.18</f>
        <v>9.9648</v>
      </c>
      <c r="R2" s="33"/>
      <c r="S2" s="33"/>
      <c r="T2" s="34" cm="1">
        <f t="array" ref="T2:T82">'BASE DADOS'!DA2:DA82</f>
        <v>86.69</v>
      </c>
      <c r="U2" s="35">
        <f t="shared" ref="U2:U7" si="1">T2/M2</f>
        <v>0.3500080749354</v>
      </c>
      <c r="V2" s="36">
        <f t="shared" ref="V2:V26" si="2">O2+P2+Q2+R2+S2+T2</f>
        <v>165.0172</v>
      </c>
      <c r="W2" s="37">
        <f t="shared" ref="W2:W13" si="3">V2/M2</f>
        <v>0.66625161498708</v>
      </c>
      <c r="X2" s="38">
        <f>(L2*'RESULTADO DIRETO'!N$27)/6*3</f>
        <v>5.78682539347352</v>
      </c>
      <c r="Y2" s="37">
        <f t="shared" ref="Y2:Y13" si="4">X2/M2</f>
        <v>0.0233641206131844</v>
      </c>
      <c r="Z2" s="38">
        <f>(L2*'RESULTADO DIRETO'!N$15)/6*3</f>
        <v>5.27101969406491</v>
      </c>
      <c r="AA2" s="37">
        <f t="shared" ref="AA2:AA13" si="5">Z2/M2</f>
        <v>0.021281571762213</v>
      </c>
      <c r="AB2" s="38">
        <f t="shared" ref="AB2:AB13" si="6">(J2*0.01%)*7.38%+(J2*0.01%)</f>
        <v>0.1650151412</v>
      </c>
      <c r="AC2" s="38">
        <f t="shared" ref="AC2:AC13" si="7">(J2*0.01%)*7.38%+(J2*0.01%)</f>
        <v>0.1650151412</v>
      </c>
      <c r="AD2" s="36">
        <f>V2+X2+Z2+AB2+AC2</f>
        <v>176.405075369938</v>
      </c>
      <c r="AE2" s="39">
        <f t="shared" ref="AE2:AE13" si="8">AD2/M2</f>
        <v>0.712229793967775</v>
      </c>
      <c r="AF2" s="38">
        <f>M2*N2</f>
        <v>29.7216</v>
      </c>
      <c r="AG2" s="38"/>
      <c r="AH2" s="38">
        <f t="shared" ref="AH2:AH13" si="9">M2*0.052</f>
        <v>12.87936</v>
      </c>
      <c r="AI2" s="36">
        <f t="shared" ref="AI2:AI13" si="10">AF2+AG2+AH2</f>
        <v>42.60096</v>
      </c>
      <c r="AJ2" s="40">
        <f t="shared" ref="AJ2:AJ13" si="11">AD2+AI2</f>
        <v>219.006035369938</v>
      </c>
      <c r="AK2" s="41">
        <f t="shared" ref="AK2:AK13" si="12">AJ2/M2</f>
        <v>0.884229793967775</v>
      </c>
      <c r="AL2" s="40">
        <f t="shared" ref="AL2:AL13" si="13">M2-AJ2</f>
        <v>28.6739646300616</v>
      </c>
      <c r="AM2" s="42">
        <f t="shared" ref="AM2:AM13" si="14">AL2/M2</f>
        <v>0.115770206032225</v>
      </c>
      <c r="AN2" s="40">
        <f t="shared" ref="AN2:AN13" si="15">M2/L2</f>
        <v>4.47398843930636</v>
      </c>
    </row>
    <row r="3" s="3" customFormat="1" spans="1:40">
      <c r="A3" s="25">
        <v>46237</v>
      </c>
      <c r="B3" s="25" t="str">
        <v>NORMAL</v>
      </c>
      <c r="C3" s="25" t="str">
        <v>MMM1H28</v>
      </c>
      <c r="D3" s="43" t="str">
        <v>JOI</v>
      </c>
      <c r="E3" s="43" t="str">
        <v>SC</v>
      </c>
      <c r="F3" s="43" t="str">
        <v>DCC</v>
      </c>
      <c r="G3" s="43" t="str">
        <v>MG</v>
      </c>
      <c r="H3" s="43" t="str">
        <v>BRASCOLA LTDA -</v>
      </c>
      <c r="I3" s="201" t="str">
        <v>000330250</v>
      </c>
      <c r="J3" s="44">
        <v>1596.25</v>
      </c>
      <c r="K3" s="27">
        <v>13</v>
      </c>
      <c r="L3" s="28">
        <v>44.036</v>
      </c>
      <c r="M3" s="45">
        <v>204.4</v>
      </c>
      <c r="N3" s="30">
        <v>0.12</v>
      </c>
      <c r="O3" s="31">
        <v>40.88</v>
      </c>
      <c r="P3" s="32">
        <f t="shared" si="0"/>
        <v>14.97224</v>
      </c>
      <c r="Q3" s="32">
        <f>L3*0.18</f>
        <v>7.92648</v>
      </c>
      <c r="R3" s="33"/>
      <c r="S3" s="33"/>
      <c r="T3" s="34">
        <v>71.54</v>
      </c>
      <c r="U3" s="35">
        <f t="shared" si="1"/>
        <v>0.35</v>
      </c>
      <c r="V3" s="36">
        <f t="shared" si="2"/>
        <v>135.31872</v>
      </c>
      <c r="W3" s="37">
        <f t="shared" si="3"/>
        <v>0.662028962818004</v>
      </c>
      <c r="X3" s="38">
        <f>(L3*'RESULTADO DIRETO'!N$27)/6*3</f>
        <v>4.60311855178829</v>
      </c>
      <c r="Y3" s="37">
        <f t="shared" si="4"/>
        <v>0.0225201494705885</v>
      </c>
      <c r="Z3" s="38">
        <f>(L3*'RESULTADO DIRETO'!N$15)/6*3</f>
        <v>4.19282195173126</v>
      </c>
      <c r="AA3" s="37">
        <f t="shared" si="5"/>
        <v>0.0205128275525013</v>
      </c>
      <c r="AB3" s="38">
        <f t="shared" si="6"/>
        <v>0.171405325</v>
      </c>
      <c r="AC3" s="38">
        <f t="shared" si="7"/>
        <v>0.171405325</v>
      </c>
      <c r="AD3" s="36">
        <f t="shared" ref="AD2:AD13" si="16">V3+X3+Z3+AB3+AC3</f>
        <v>144.45747115352</v>
      </c>
      <c r="AE3" s="39">
        <f t="shared" si="8"/>
        <v>0.706739095663012</v>
      </c>
      <c r="AF3" s="38">
        <f t="shared" ref="AF2:AF13" si="17">M3*N3</f>
        <v>24.528</v>
      </c>
      <c r="AG3" s="38"/>
      <c r="AH3" s="38">
        <f t="shared" si="9"/>
        <v>10.6288</v>
      </c>
      <c r="AI3" s="36">
        <f t="shared" si="10"/>
        <v>35.1568</v>
      </c>
      <c r="AJ3" s="40">
        <f t="shared" si="11"/>
        <v>179.61427115352</v>
      </c>
      <c r="AK3" s="41">
        <f t="shared" si="12"/>
        <v>0.878739095663011</v>
      </c>
      <c r="AL3" s="40">
        <f t="shared" si="13"/>
        <v>24.7857288464805</v>
      </c>
      <c r="AM3" s="42">
        <f t="shared" si="14"/>
        <v>0.121260904336989</v>
      </c>
      <c r="AN3" s="40">
        <f t="shared" si="15"/>
        <v>4.64165682623308</v>
      </c>
    </row>
    <row r="4" s="3" customFormat="1" spans="1:40">
      <c r="A4" s="25">
        <v>46237</v>
      </c>
      <c r="B4" s="25" t="str">
        <v>NORMAL</v>
      </c>
      <c r="C4" s="25" t="str">
        <v>MMM1H28</v>
      </c>
      <c r="D4" s="43" t="str">
        <v>JOI</v>
      </c>
      <c r="E4" s="43" t="str">
        <v>SC</v>
      </c>
      <c r="F4" s="43" t="str">
        <v>STJ</v>
      </c>
      <c r="G4" s="43" t="str">
        <v>MG</v>
      </c>
      <c r="H4" s="43" t="str">
        <v>BRASCOLA LTDA -</v>
      </c>
      <c r="I4" s="201" t="str">
        <v>000330273</v>
      </c>
      <c r="J4" s="44">
        <v>2369.18</v>
      </c>
      <c r="K4" s="27">
        <v>18</v>
      </c>
      <c r="L4" s="28">
        <v>64.212</v>
      </c>
      <c r="M4" s="45">
        <v>251.33</v>
      </c>
      <c r="N4" s="30">
        <v>0.12</v>
      </c>
      <c r="O4" s="31">
        <v>50.27</v>
      </c>
      <c r="P4" s="32">
        <f t="shared" si="0"/>
        <v>21.83208</v>
      </c>
      <c r="Q4" s="46">
        <f t="shared" ref="Q4:Q8" si="18">L4*0.18</f>
        <v>11.55816</v>
      </c>
      <c r="R4" s="46">
        <v>0</v>
      </c>
      <c r="S4" s="33"/>
      <c r="T4" s="34">
        <v>51</v>
      </c>
      <c r="U4" s="35">
        <f t="shared" si="1"/>
        <v>0.202920463136116</v>
      </c>
      <c r="V4" s="36">
        <f t="shared" si="2"/>
        <v>134.66024</v>
      </c>
      <c r="W4" s="37">
        <f t="shared" si="3"/>
        <v>0.535790554251383</v>
      </c>
      <c r="X4" s="38">
        <f>(L4*'RESULTADO DIRETO'!N$27)/6*4</f>
        <v>8.94950944522451</v>
      </c>
      <c r="Y4" s="37">
        <f t="shared" si="4"/>
        <v>0.0356086000287451</v>
      </c>
      <c r="Z4" s="38">
        <f>(L4*'RESULTADO DIRETO'!N$15)/6*4</f>
        <v>8.151799532642</v>
      </c>
      <c r="AA4" s="37">
        <f t="shared" si="5"/>
        <v>0.0324346458148331</v>
      </c>
      <c r="AB4" s="38">
        <f t="shared" si="6"/>
        <v>0.2544025484</v>
      </c>
      <c r="AC4" s="38">
        <f t="shared" si="7"/>
        <v>0.2544025484</v>
      </c>
      <c r="AD4" s="36">
        <f t="shared" si="16"/>
        <v>152.270354074667</v>
      </c>
      <c r="AE4" s="39">
        <f t="shared" si="8"/>
        <v>0.605858250406503</v>
      </c>
      <c r="AF4" s="38">
        <f t="shared" si="17"/>
        <v>30.1596</v>
      </c>
      <c r="AG4" s="38"/>
      <c r="AH4" s="38">
        <f t="shared" si="9"/>
        <v>13.06916</v>
      </c>
      <c r="AI4" s="36">
        <f t="shared" si="10"/>
        <v>43.22876</v>
      </c>
      <c r="AJ4" s="40">
        <f t="shared" si="11"/>
        <v>195.499114074667</v>
      </c>
      <c r="AK4" s="41">
        <f t="shared" si="12"/>
        <v>0.777858250406503</v>
      </c>
      <c r="AL4" s="40">
        <f t="shared" si="13"/>
        <v>55.8308859253335</v>
      </c>
      <c r="AM4" s="42">
        <f t="shared" si="14"/>
        <v>0.222141749593497</v>
      </c>
      <c r="AN4" s="40">
        <f t="shared" si="15"/>
        <v>3.91406590668411</v>
      </c>
    </row>
    <row r="5" s="3" customFormat="1" spans="1:40">
      <c r="A5" s="25">
        <v>46237</v>
      </c>
      <c r="B5" s="25" t="str">
        <v>NORMAL</v>
      </c>
      <c r="C5" s="25" t="str">
        <v>MMM1H28</v>
      </c>
      <c r="D5" s="43" t="str">
        <v>JOI</v>
      </c>
      <c r="E5" s="43" t="str">
        <v>SC</v>
      </c>
      <c r="F5" s="43" t="str">
        <v>BHZ</v>
      </c>
      <c r="G5" s="43" t="str">
        <v>MG</v>
      </c>
      <c r="H5" s="43" t="str">
        <v>BRASCOLA LTDA -</v>
      </c>
      <c r="I5" s="201" t="str">
        <v>000330178</v>
      </c>
      <c r="J5" s="44">
        <v>4577.16</v>
      </c>
      <c r="K5" s="27">
        <v>28</v>
      </c>
      <c r="L5" s="28">
        <v>205.52</v>
      </c>
      <c r="M5" s="45">
        <v>394</v>
      </c>
      <c r="N5" s="30">
        <v>0.12</v>
      </c>
      <c r="O5" s="31">
        <v>78.8</v>
      </c>
      <c r="P5" s="32">
        <f t="shared" si="0"/>
        <v>69.8768</v>
      </c>
      <c r="Q5" s="46">
        <f t="shared" si="18"/>
        <v>36.9936</v>
      </c>
      <c r="R5" s="46">
        <f>L5*0.14</f>
        <v>28.7728</v>
      </c>
      <c r="S5" s="33"/>
      <c r="T5" s="47">
        <v>0</v>
      </c>
      <c r="U5" s="35">
        <f t="shared" si="1"/>
        <v>0</v>
      </c>
      <c r="V5" s="36">
        <f t="shared" si="2"/>
        <v>214.4432</v>
      </c>
      <c r="W5" s="37">
        <f t="shared" si="3"/>
        <v>0.544272081218274</v>
      </c>
      <c r="X5" s="38">
        <f>(L5*'RESULTADO DIRETO'!N$27)/6*4</f>
        <v>28.6442282000645</v>
      </c>
      <c r="Y5" s="37">
        <f t="shared" si="4"/>
        <v>0.0727010868021941</v>
      </c>
      <c r="Z5" s="38">
        <f>(L5*'RESULTADO DIRETO'!N$15)/6*4</f>
        <v>26.0910396802558</v>
      </c>
      <c r="AA5" s="37">
        <f t="shared" si="5"/>
        <v>0.0662209128940502</v>
      </c>
      <c r="AB5" s="38">
        <f t="shared" si="6"/>
        <v>0.4914954408</v>
      </c>
      <c r="AC5" s="38">
        <f t="shared" si="7"/>
        <v>0.4914954408</v>
      </c>
      <c r="AD5" s="36">
        <f t="shared" si="16"/>
        <v>270.16145876192</v>
      </c>
      <c r="AE5" s="39">
        <f t="shared" si="8"/>
        <v>0.68568898162924</v>
      </c>
      <c r="AF5" s="38">
        <f t="shared" si="17"/>
        <v>47.28</v>
      </c>
      <c r="AG5" s="38"/>
      <c r="AH5" s="38">
        <f t="shared" si="9"/>
        <v>20.488</v>
      </c>
      <c r="AI5" s="36">
        <f t="shared" si="10"/>
        <v>67.768</v>
      </c>
      <c r="AJ5" s="40">
        <f t="shared" si="11"/>
        <v>337.92945876192</v>
      </c>
      <c r="AK5" s="41">
        <f t="shared" si="12"/>
        <v>0.85768898162924</v>
      </c>
      <c r="AL5" s="40">
        <f t="shared" si="13"/>
        <v>56.0705412380796</v>
      </c>
      <c r="AM5" s="42">
        <f t="shared" si="14"/>
        <v>0.14231101837076</v>
      </c>
      <c r="AN5" s="40">
        <f t="shared" si="15"/>
        <v>1.91708836123005</v>
      </c>
    </row>
    <row r="6" s="3" customFormat="1" spans="1:40">
      <c r="A6" s="25">
        <v>46237</v>
      </c>
      <c r="B6" s="25" t="str">
        <v>NORMAL</v>
      </c>
      <c r="C6" s="25" t="str">
        <v>MMM1H28</v>
      </c>
      <c r="D6" s="43" t="str">
        <v>JOI</v>
      </c>
      <c r="E6" s="43" t="str">
        <v>SC</v>
      </c>
      <c r="F6" s="43" t="str">
        <v>SET</v>
      </c>
      <c r="G6" s="43" t="str">
        <v>MG</v>
      </c>
      <c r="H6" s="43" t="str">
        <v>BRASCOLA LTDA -</v>
      </c>
      <c r="I6" s="201" t="str">
        <v>000330177</v>
      </c>
      <c r="J6" s="44">
        <v>1699.8</v>
      </c>
      <c r="K6" s="27">
        <v>9</v>
      </c>
      <c r="L6" s="28">
        <v>65.852</v>
      </c>
      <c r="M6" s="45">
        <v>192.06</v>
      </c>
      <c r="N6" s="30">
        <v>0.12</v>
      </c>
      <c r="O6" s="31">
        <v>38.41</v>
      </c>
      <c r="P6" s="32">
        <f t="shared" si="0"/>
        <v>22.38968</v>
      </c>
      <c r="Q6" s="48">
        <f t="shared" si="18"/>
        <v>11.85336</v>
      </c>
      <c r="R6" s="49">
        <f>L6*0.06</f>
        <v>3.95112</v>
      </c>
      <c r="S6" s="33"/>
      <c r="T6" s="49">
        <v>0</v>
      </c>
      <c r="U6" s="35">
        <f t="shared" si="1"/>
        <v>0</v>
      </c>
      <c r="V6" s="36">
        <f t="shared" si="2"/>
        <v>76.60416</v>
      </c>
      <c r="W6" s="37">
        <f t="shared" si="3"/>
        <v>0.398855357700719</v>
      </c>
      <c r="X6" s="38">
        <f>(L6*'RESULTADO DIRETO'!N$27)/6*4</f>
        <v>9.17808347329042</v>
      </c>
      <c r="Y6" s="37">
        <f t="shared" si="4"/>
        <v>0.0477875844699074</v>
      </c>
      <c r="Z6" s="38">
        <f>(L6*'RESULTADO DIRETO'!N$15)/6*4</f>
        <v>8.35999973250391</v>
      </c>
      <c r="AA6" s="37">
        <f t="shared" si="5"/>
        <v>0.0435280627538473</v>
      </c>
      <c r="AB6" s="38">
        <f t="shared" si="6"/>
        <v>0.182524524</v>
      </c>
      <c r="AC6" s="38">
        <f t="shared" si="7"/>
        <v>0.182524524</v>
      </c>
      <c r="AD6" s="36">
        <f t="shared" si="16"/>
        <v>94.5072922537943</v>
      </c>
      <c r="AE6" s="39">
        <f t="shared" si="8"/>
        <v>0.492071708079737</v>
      </c>
      <c r="AF6" s="38">
        <f t="shared" si="17"/>
        <v>23.0472</v>
      </c>
      <c r="AG6" s="38"/>
      <c r="AH6" s="38">
        <f t="shared" si="9"/>
        <v>9.98712</v>
      </c>
      <c r="AI6" s="36">
        <f t="shared" si="10"/>
        <v>33.03432</v>
      </c>
      <c r="AJ6" s="40">
        <f t="shared" si="11"/>
        <v>127.541612253794</v>
      </c>
      <c r="AK6" s="41">
        <f t="shared" si="12"/>
        <v>0.664071708079737</v>
      </c>
      <c r="AL6" s="40">
        <f t="shared" si="13"/>
        <v>64.5183877462057</v>
      </c>
      <c r="AM6" s="42">
        <f t="shared" si="14"/>
        <v>0.335928291920263</v>
      </c>
      <c r="AN6" s="40">
        <f t="shared" si="15"/>
        <v>2.9165401202697</v>
      </c>
    </row>
    <row r="7" s="3" customFormat="1" spans="1:40">
      <c r="A7" s="25">
        <v>46237</v>
      </c>
      <c r="B7" s="25" t="str">
        <v>NORMAL</v>
      </c>
      <c r="C7" s="25" t="str">
        <v>MMM1H28</v>
      </c>
      <c r="D7" s="43" t="str">
        <v>JOI</v>
      </c>
      <c r="E7" s="43" t="str">
        <v>SC</v>
      </c>
      <c r="F7" s="43" t="str">
        <v>DCC</v>
      </c>
      <c r="G7" s="43" t="str">
        <v>MG</v>
      </c>
      <c r="H7" s="43" t="str">
        <v>BRASCOLA LTDA -</v>
      </c>
      <c r="I7" s="201" t="str">
        <v>000330175</v>
      </c>
      <c r="J7" s="44">
        <v>2951.4</v>
      </c>
      <c r="K7" s="27">
        <v>21</v>
      </c>
      <c r="L7" s="28">
        <v>107.628</v>
      </c>
      <c r="M7" s="45">
        <v>288.84</v>
      </c>
      <c r="N7" s="30">
        <v>0.12</v>
      </c>
      <c r="O7" s="31">
        <v>57.77</v>
      </c>
      <c r="P7" s="32">
        <f t="shared" si="0"/>
        <v>36.59352</v>
      </c>
      <c r="Q7" s="32">
        <f t="shared" si="18"/>
        <v>19.37304</v>
      </c>
      <c r="R7" s="33"/>
      <c r="S7" s="33"/>
      <c r="T7" s="34">
        <v>101.09</v>
      </c>
      <c r="U7" s="35">
        <f t="shared" ref="U7:U31" si="19">T7/M7</f>
        <v>0.349986151502562</v>
      </c>
      <c r="V7" s="36">
        <f t="shared" si="2"/>
        <v>214.82656</v>
      </c>
      <c r="W7" s="37">
        <f t="shared" si="3"/>
        <v>0.743756266445091</v>
      </c>
      <c r="X7" s="38">
        <f>(L7*'RESULTADO DIRETO'!N$27)/6*3</f>
        <v>11.2504415362855</v>
      </c>
      <c r="Y7" s="37">
        <f t="shared" si="4"/>
        <v>0.0389504276979835</v>
      </c>
      <c r="Z7" s="38">
        <f>(L7*'RESULTADO DIRETO'!N$15)/6*3</f>
        <v>10.2476392274714</v>
      </c>
      <c r="AA7" s="37">
        <f t="shared" si="5"/>
        <v>0.0354786013968683</v>
      </c>
      <c r="AB7" s="38">
        <f t="shared" si="6"/>
        <v>0.316921332</v>
      </c>
      <c r="AC7" s="38">
        <f t="shared" si="7"/>
        <v>0.316921332</v>
      </c>
      <c r="AD7" s="36">
        <f t="shared" si="16"/>
        <v>236.958483427757</v>
      </c>
      <c r="AE7" s="39">
        <f t="shared" si="8"/>
        <v>0.820379737667072</v>
      </c>
      <c r="AF7" s="38">
        <f t="shared" si="17"/>
        <v>34.6608</v>
      </c>
      <c r="AG7" s="38"/>
      <c r="AH7" s="38">
        <f t="shared" si="9"/>
        <v>15.01968</v>
      </c>
      <c r="AI7" s="36">
        <f t="shared" si="10"/>
        <v>49.68048</v>
      </c>
      <c r="AJ7" s="40">
        <f t="shared" si="11"/>
        <v>286.638963427757</v>
      </c>
      <c r="AK7" s="41">
        <f t="shared" si="12"/>
        <v>0.992379737667072</v>
      </c>
      <c r="AL7" s="40">
        <f t="shared" si="13"/>
        <v>2.20103657224303</v>
      </c>
      <c r="AM7" s="42">
        <f t="shared" si="14"/>
        <v>0.00762026233292836</v>
      </c>
      <c r="AN7" s="40">
        <f t="shared" si="15"/>
        <v>2.68368825956071</v>
      </c>
    </row>
    <row r="8" s="3" customFormat="1" spans="1:40">
      <c r="A8" s="25">
        <v>46237</v>
      </c>
      <c r="B8" s="25" t="str">
        <v>NORMAL</v>
      </c>
      <c r="C8" s="25" t="str">
        <v>MMM1H28</v>
      </c>
      <c r="D8" s="43" t="str">
        <v>JOI</v>
      </c>
      <c r="E8" s="43" t="str">
        <v>SC</v>
      </c>
      <c r="F8" s="43" t="str">
        <v>DCC</v>
      </c>
      <c r="G8" s="43" t="str">
        <v>MG</v>
      </c>
      <c r="H8" s="43" t="str">
        <v>BRASCOLA LTDA -</v>
      </c>
      <c r="I8" s="201" t="str">
        <v>000330170</v>
      </c>
      <c r="J8" s="44">
        <v>7938.11</v>
      </c>
      <c r="K8" s="27">
        <v>48</v>
      </c>
      <c r="L8" s="28">
        <v>327.948</v>
      </c>
      <c r="M8" s="45">
        <v>632.51</v>
      </c>
      <c r="N8" s="30">
        <v>0.12</v>
      </c>
      <c r="O8" s="31">
        <v>126.5</v>
      </c>
      <c r="P8" s="32">
        <f t="shared" si="0"/>
        <v>111.50232</v>
      </c>
      <c r="Q8" s="32">
        <f t="shared" si="18"/>
        <v>59.03064</v>
      </c>
      <c r="R8" s="33"/>
      <c r="S8" s="33"/>
      <c r="T8" s="34">
        <v>221.38</v>
      </c>
      <c r="U8" s="35">
        <f t="shared" si="19"/>
        <v>0.350002371504008</v>
      </c>
      <c r="V8" s="36">
        <f t="shared" si="2"/>
        <v>518.41296</v>
      </c>
      <c r="W8" s="37">
        <f t="shared" si="3"/>
        <v>0.819612274904745</v>
      </c>
      <c r="X8" s="38">
        <f>(L8*'RESULTADO DIRETO'!N$27)/6*3</f>
        <v>34.2806686079995</v>
      </c>
      <c r="Y8" s="37">
        <f t="shared" si="4"/>
        <v>0.0541978286635777</v>
      </c>
      <c r="Z8" s="38">
        <f>(L8*'RESULTADO DIRETO'!N$15)/6*3</f>
        <v>31.2250788769725</v>
      </c>
      <c r="AA8" s="37">
        <f t="shared" si="5"/>
        <v>0.0493669331346106</v>
      </c>
      <c r="AB8" s="38">
        <f t="shared" si="6"/>
        <v>0.8523942518</v>
      </c>
      <c r="AC8" s="38">
        <f t="shared" si="7"/>
        <v>0.8523942518</v>
      </c>
      <c r="AD8" s="36">
        <f t="shared" si="16"/>
        <v>585.623495988572</v>
      </c>
      <c r="AE8" s="39">
        <f t="shared" si="8"/>
        <v>0.925872311882139</v>
      </c>
      <c r="AF8" s="38">
        <f t="shared" si="17"/>
        <v>75.9012</v>
      </c>
      <c r="AG8" s="38"/>
      <c r="AH8" s="38">
        <f t="shared" si="9"/>
        <v>32.89052</v>
      </c>
      <c r="AI8" s="36">
        <f t="shared" si="10"/>
        <v>108.79172</v>
      </c>
      <c r="AJ8" s="40">
        <f t="shared" si="11"/>
        <v>694.415215988572</v>
      </c>
      <c r="AK8" s="41">
        <f t="shared" si="12"/>
        <v>1.09787231188214</v>
      </c>
      <c r="AL8" s="40">
        <f t="shared" si="13"/>
        <v>-61.9052159885719</v>
      </c>
      <c r="AM8" s="42">
        <f t="shared" si="14"/>
        <v>-0.0978723118821392</v>
      </c>
      <c r="AN8" s="40">
        <f t="shared" si="15"/>
        <v>1.9286899142547</v>
      </c>
    </row>
    <row r="9" s="3" customFormat="1" spans="1:40">
      <c r="A9" s="25">
        <v>46237</v>
      </c>
      <c r="B9" s="25" t="str">
        <v>NORMAL</v>
      </c>
      <c r="C9" s="25" t="str">
        <v>MMM1H28</v>
      </c>
      <c r="D9" s="43" t="str">
        <v>JOI</v>
      </c>
      <c r="E9" s="43" t="str">
        <v>SC</v>
      </c>
      <c r="F9" s="43" t="str">
        <v>DDB</v>
      </c>
      <c r="G9" s="43" t="str">
        <v>MG</v>
      </c>
      <c r="H9" s="43" t="str">
        <v>BRASCOLA LTDA -</v>
      </c>
      <c r="I9" s="201" t="str">
        <v>000330186</v>
      </c>
      <c r="J9" s="44">
        <v>59.58</v>
      </c>
      <c r="K9" s="27">
        <v>1</v>
      </c>
      <c r="L9" s="28">
        <v>1</v>
      </c>
      <c r="M9" s="45">
        <v>178.75</v>
      </c>
      <c r="N9" s="30">
        <v>0.12</v>
      </c>
      <c r="O9" s="31">
        <v>35.75</v>
      </c>
      <c r="P9" s="32">
        <f t="shared" si="0"/>
        <v>0.34</v>
      </c>
      <c r="Q9" s="48">
        <f t="shared" ref="Q9:Q13" si="20">L9*0.18</f>
        <v>0.18</v>
      </c>
      <c r="R9" s="49">
        <f>L9*0.06</f>
        <v>0.06</v>
      </c>
      <c r="S9" s="33"/>
      <c r="T9" s="34">
        <v>54</v>
      </c>
      <c r="U9" s="35">
        <f t="shared" si="19"/>
        <v>0.302097902097902</v>
      </c>
      <c r="V9" s="36">
        <f t="shared" si="2"/>
        <v>90.33</v>
      </c>
      <c r="W9" s="37">
        <f t="shared" si="3"/>
        <v>0.505342657342657</v>
      </c>
      <c r="X9" s="38">
        <f>(L9*'RESULTADO DIRETO'!N$27)/6*4</f>
        <v>0.139374407357262</v>
      </c>
      <c r="Y9" s="37">
        <f t="shared" si="4"/>
        <v>0.000779716964236431</v>
      </c>
      <c r="Z9" s="38">
        <f>(L9*'RESULTADO DIRETO'!N$15)/6*4</f>
        <v>0.126951341379213</v>
      </c>
      <c r="AA9" s="37">
        <f t="shared" si="5"/>
        <v>0.000710217294429162</v>
      </c>
      <c r="AB9" s="38">
        <f t="shared" si="6"/>
        <v>0.0063977004</v>
      </c>
      <c r="AC9" s="38">
        <f t="shared" si="7"/>
        <v>0.0063977004</v>
      </c>
      <c r="AD9" s="36">
        <f t="shared" si="16"/>
        <v>90.6091211495365</v>
      </c>
      <c r="AE9" s="39">
        <f t="shared" si="8"/>
        <v>0.506904174263141</v>
      </c>
      <c r="AF9" s="38">
        <f t="shared" si="17"/>
        <v>21.45</v>
      </c>
      <c r="AG9" s="38"/>
      <c r="AH9" s="38">
        <f t="shared" si="9"/>
        <v>9.295</v>
      </c>
      <c r="AI9" s="36">
        <f t="shared" si="10"/>
        <v>30.745</v>
      </c>
      <c r="AJ9" s="40">
        <f t="shared" si="11"/>
        <v>121.354121149536</v>
      </c>
      <c r="AK9" s="41">
        <f t="shared" si="12"/>
        <v>0.678904174263141</v>
      </c>
      <c r="AL9" s="40">
        <f t="shared" si="13"/>
        <v>57.3958788504635</v>
      </c>
      <c r="AM9" s="42">
        <f t="shared" si="14"/>
        <v>0.321095825736859</v>
      </c>
      <c r="AN9" s="40">
        <f t="shared" si="15"/>
        <v>178.75</v>
      </c>
    </row>
    <row r="10" s="3" customFormat="1" spans="1:40">
      <c r="A10" s="25">
        <v>46237</v>
      </c>
      <c r="B10" s="25" t="str">
        <v>NORMAL</v>
      </c>
      <c r="C10" s="25" t="str">
        <v>MMM1H28</v>
      </c>
      <c r="D10" s="43" t="str">
        <v>JOI</v>
      </c>
      <c r="E10" s="43" t="str">
        <v>SC</v>
      </c>
      <c r="F10" s="43" t="str">
        <v>GVR</v>
      </c>
      <c r="G10" s="43" t="str">
        <v>MG</v>
      </c>
      <c r="H10" s="43" t="str">
        <v>BRASCOLA LTDA -</v>
      </c>
      <c r="I10" s="201" t="str">
        <v>000330185</v>
      </c>
      <c r="J10" s="44">
        <v>59.58</v>
      </c>
      <c r="K10" s="27">
        <v>1</v>
      </c>
      <c r="L10" s="28">
        <v>1</v>
      </c>
      <c r="M10" s="45">
        <v>178.75</v>
      </c>
      <c r="N10" s="30">
        <v>0.12</v>
      </c>
      <c r="O10" s="31">
        <v>35.75</v>
      </c>
      <c r="P10" s="32">
        <f t="shared" si="0"/>
        <v>0.34</v>
      </c>
      <c r="Q10" s="46">
        <f t="shared" si="20"/>
        <v>0.18</v>
      </c>
      <c r="R10" s="46">
        <f>L10*0.14</f>
        <v>0.14</v>
      </c>
      <c r="S10" s="33"/>
      <c r="T10" s="34">
        <v>67.06</v>
      </c>
      <c r="U10" s="35">
        <f t="shared" si="19"/>
        <v>0.375160839160839</v>
      </c>
      <c r="V10" s="36">
        <f t="shared" si="2"/>
        <v>103.47</v>
      </c>
      <c r="W10" s="37">
        <f t="shared" si="3"/>
        <v>0.578853146853147</v>
      </c>
      <c r="X10" s="38">
        <f>(L10*'RESULTADO DIRETO'!N$27)/6*4</f>
        <v>0.139374407357262</v>
      </c>
      <c r="Y10" s="37">
        <f t="shared" si="4"/>
        <v>0.000779716964236431</v>
      </c>
      <c r="Z10" s="38">
        <f>(L10*'RESULTADO DIRETO'!N$15)/6*4</f>
        <v>0.126951341379213</v>
      </c>
      <c r="AA10" s="37">
        <f t="shared" si="5"/>
        <v>0.000710217294429162</v>
      </c>
      <c r="AB10" s="38">
        <f t="shared" si="6"/>
        <v>0.0063977004</v>
      </c>
      <c r="AC10" s="38">
        <f t="shared" si="7"/>
        <v>0.0063977004</v>
      </c>
      <c r="AD10" s="36">
        <f t="shared" si="16"/>
        <v>103.749121149536</v>
      </c>
      <c r="AE10" s="39">
        <f t="shared" si="8"/>
        <v>0.580414663773631</v>
      </c>
      <c r="AF10" s="38">
        <f t="shared" si="17"/>
        <v>21.45</v>
      </c>
      <c r="AG10" s="38"/>
      <c r="AH10" s="38">
        <f t="shared" si="9"/>
        <v>9.295</v>
      </c>
      <c r="AI10" s="36">
        <f t="shared" si="10"/>
        <v>30.745</v>
      </c>
      <c r="AJ10" s="40">
        <f t="shared" si="11"/>
        <v>134.494121149536</v>
      </c>
      <c r="AK10" s="41">
        <f t="shared" si="12"/>
        <v>0.752414663773631</v>
      </c>
      <c r="AL10" s="40">
        <f t="shared" si="13"/>
        <v>44.2558788504635</v>
      </c>
      <c r="AM10" s="42">
        <f t="shared" si="14"/>
        <v>0.247585336226369</v>
      </c>
      <c r="AN10" s="40">
        <f t="shared" si="15"/>
        <v>178.75</v>
      </c>
    </row>
    <row r="11" s="3" customFormat="1" spans="1:40">
      <c r="A11" s="25">
        <v>46237</v>
      </c>
      <c r="B11" s="25" t="str">
        <v>NORMAL</v>
      </c>
      <c r="C11" s="25" t="str">
        <v>MMM1H28</v>
      </c>
      <c r="D11" s="43" t="str">
        <v>JOI</v>
      </c>
      <c r="E11" s="43" t="str">
        <v>SC</v>
      </c>
      <c r="F11" s="43" t="str">
        <v>STJ</v>
      </c>
      <c r="G11" s="43" t="str">
        <v>MG</v>
      </c>
      <c r="H11" s="43" t="str">
        <v>BRASCOLA LTDA -</v>
      </c>
      <c r="I11" s="201" t="str">
        <v>000330223</v>
      </c>
      <c r="J11" s="44">
        <v>1842.97</v>
      </c>
      <c r="K11" s="27">
        <v>11</v>
      </c>
      <c r="L11" s="28">
        <v>65.694</v>
      </c>
      <c r="M11" s="45">
        <v>248.9</v>
      </c>
      <c r="N11" s="30">
        <v>0.12</v>
      </c>
      <c r="O11" s="31">
        <v>49.78</v>
      </c>
      <c r="P11" s="32">
        <f t="shared" si="0"/>
        <v>22.33596</v>
      </c>
      <c r="Q11" s="46">
        <f t="shared" si="20"/>
        <v>11.82492</v>
      </c>
      <c r="R11" s="46">
        <v>0</v>
      </c>
      <c r="S11" s="33"/>
      <c r="T11" s="34">
        <v>51</v>
      </c>
      <c r="U11" s="35">
        <f t="shared" si="19"/>
        <v>0.204901566894335</v>
      </c>
      <c r="V11" s="36">
        <f t="shared" si="2"/>
        <v>134.94088</v>
      </c>
      <c r="W11" s="37">
        <f t="shared" si="3"/>
        <v>0.542148975492165</v>
      </c>
      <c r="X11" s="38">
        <f>(L11*'RESULTADO DIRETO'!N$27)/6*4</f>
        <v>9.15606231692797</v>
      </c>
      <c r="Y11" s="37">
        <f t="shared" si="4"/>
        <v>0.0367861081435435</v>
      </c>
      <c r="Z11" s="38">
        <f>(L11*'RESULTADO DIRETO'!N$15)/6*4</f>
        <v>8.339941420566</v>
      </c>
      <c r="AA11" s="37">
        <f t="shared" si="5"/>
        <v>0.0335071973506067</v>
      </c>
      <c r="AB11" s="38">
        <f t="shared" si="6"/>
        <v>0.1978981186</v>
      </c>
      <c r="AC11" s="38">
        <f t="shared" si="7"/>
        <v>0.1978981186</v>
      </c>
      <c r="AD11" s="36">
        <f t="shared" si="16"/>
        <v>152.832679974694</v>
      </c>
      <c r="AE11" s="39">
        <f t="shared" si="8"/>
        <v>0.614032462734809</v>
      </c>
      <c r="AF11" s="38">
        <f t="shared" si="17"/>
        <v>29.868</v>
      </c>
      <c r="AG11" s="38"/>
      <c r="AH11" s="38">
        <f t="shared" si="9"/>
        <v>12.9428</v>
      </c>
      <c r="AI11" s="36">
        <f t="shared" si="10"/>
        <v>42.8108</v>
      </c>
      <c r="AJ11" s="40">
        <f t="shared" si="11"/>
        <v>195.643479974694</v>
      </c>
      <c r="AK11" s="41">
        <f t="shared" si="12"/>
        <v>0.786032462734809</v>
      </c>
      <c r="AL11" s="40">
        <f t="shared" si="13"/>
        <v>53.2565200253061</v>
      </c>
      <c r="AM11" s="42">
        <f t="shared" si="14"/>
        <v>0.213967537265191</v>
      </c>
      <c r="AN11" s="40">
        <f t="shared" si="15"/>
        <v>3.78877827503273</v>
      </c>
    </row>
    <row r="12" s="3" customFormat="1" spans="1:40">
      <c r="A12" s="25">
        <v>46239</v>
      </c>
      <c r="B12" s="25" t="str">
        <v>NORMAL</v>
      </c>
      <c r="C12" s="25" t="str">
        <v>MMM1H28</v>
      </c>
      <c r="D12" s="43" t="str">
        <v>JOI</v>
      </c>
      <c r="E12" s="43" t="str">
        <v>SC</v>
      </c>
      <c r="F12" s="43" t="str">
        <v>GVR</v>
      </c>
      <c r="G12" s="43" t="str">
        <v>MG</v>
      </c>
      <c r="H12" s="43" t="str">
        <v>BRASCOLA LTDA -</v>
      </c>
      <c r="I12" s="201" t="str">
        <v>000330285</v>
      </c>
      <c r="J12" s="44">
        <v>4515.09</v>
      </c>
      <c r="K12" s="27">
        <v>30</v>
      </c>
      <c r="L12" s="28">
        <v>146.24</v>
      </c>
      <c r="M12" s="45">
        <v>332.13</v>
      </c>
      <c r="N12" s="30">
        <v>0.12</v>
      </c>
      <c r="O12" s="31">
        <v>66.43</v>
      </c>
      <c r="P12" s="32">
        <f t="shared" si="0"/>
        <v>49.7216</v>
      </c>
      <c r="Q12" s="46">
        <f t="shared" si="20"/>
        <v>26.3232</v>
      </c>
      <c r="R12" s="46">
        <f>L12*0.14</f>
        <v>20.4736</v>
      </c>
      <c r="S12" s="33"/>
      <c r="T12" s="34">
        <v>125.25</v>
      </c>
      <c r="U12" s="35">
        <f t="shared" si="19"/>
        <v>0.377111372053112</v>
      </c>
      <c r="V12" s="36">
        <f t="shared" si="2"/>
        <v>288.1984</v>
      </c>
      <c r="W12" s="37">
        <f t="shared" si="3"/>
        <v>0.86772769698612</v>
      </c>
      <c r="X12" s="38">
        <f>(L12*'RESULTADO DIRETO'!N$27)/6*4</f>
        <v>20.382113331926</v>
      </c>
      <c r="Y12" s="37">
        <f t="shared" si="4"/>
        <v>0.0613678780354861</v>
      </c>
      <c r="Z12" s="38">
        <f>(L12*'RESULTADO DIRETO'!N$15)/6*4</f>
        <v>18.5653641632961</v>
      </c>
      <c r="AA12" s="37">
        <f t="shared" si="5"/>
        <v>0.0558978838505888</v>
      </c>
      <c r="AB12" s="38">
        <f t="shared" si="6"/>
        <v>0.4848303642</v>
      </c>
      <c r="AC12" s="38">
        <f t="shared" si="7"/>
        <v>0.4848303642</v>
      </c>
      <c r="AD12" s="36">
        <f t="shared" si="16"/>
        <v>328.115538223622</v>
      </c>
      <c r="AE12" s="39">
        <f t="shared" si="8"/>
        <v>0.987912980530582</v>
      </c>
      <c r="AF12" s="38">
        <f t="shared" si="17"/>
        <v>39.8556</v>
      </c>
      <c r="AG12" s="38"/>
      <c r="AH12" s="38">
        <f t="shared" si="9"/>
        <v>17.27076</v>
      </c>
      <c r="AI12" s="36">
        <f t="shared" si="10"/>
        <v>57.12636</v>
      </c>
      <c r="AJ12" s="40">
        <f t="shared" si="11"/>
        <v>385.241898223622</v>
      </c>
      <c r="AK12" s="41">
        <f t="shared" si="12"/>
        <v>1.15991298053058</v>
      </c>
      <c r="AL12" s="40">
        <f t="shared" si="13"/>
        <v>-53.111898223622</v>
      </c>
      <c r="AM12" s="42">
        <f t="shared" si="14"/>
        <v>-0.159912980530581</v>
      </c>
      <c r="AN12" s="40">
        <f t="shared" si="15"/>
        <v>2.27112964989059</v>
      </c>
    </row>
    <row r="13" s="3" customFormat="1" spans="1:40">
      <c r="A13" s="25">
        <v>46239</v>
      </c>
      <c r="B13" s="25" t="str">
        <v>NORMAL</v>
      </c>
      <c r="C13" s="25" t="str">
        <v>MMM1H28</v>
      </c>
      <c r="D13" s="43" t="str">
        <v>JOI</v>
      </c>
      <c r="E13" s="43" t="str">
        <v>SC</v>
      </c>
      <c r="F13" s="43" t="str">
        <v>DCC</v>
      </c>
      <c r="G13" s="43" t="str">
        <v>MG</v>
      </c>
      <c r="H13" s="43" t="str">
        <v>BRASCOLA LTDA -</v>
      </c>
      <c r="I13" s="201" t="str">
        <v>000330315</v>
      </c>
      <c r="J13" s="44">
        <v>1624.49</v>
      </c>
      <c r="K13" s="27">
        <v>7</v>
      </c>
      <c r="L13" s="28">
        <v>29.08</v>
      </c>
      <c r="M13" s="45">
        <v>171.94</v>
      </c>
      <c r="N13" s="30">
        <v>0.12</v>
      </c>
      <c r="O13" s="31">
        <v>34.39</v>
      </c>
      <c r="P13" s="32">
        <f t="shared" si="0"/>
        <v>9.8872</v>
      </c>
      <c r="Q13" s="32">
        <f t="shared" si="20"/>
        <v>5.2344</v>
      </c>
      <c r="R13" s="33"/>
      <c r="S13" s="33"/>
      <c r="T13" s="34">
        <v>60.18</v>
      </c>
      <c r="U13" s="35">
        <f t="shared" si="19"/>
        <v>0.350005815982319</v>
      </c>
      <c r="V13" s="36">
        <f t="shared" si="2"/>
        <v>109.6916</v>
      </c>
      <c r="W13" s="37">
        <f t="shared" si="3"/>
        <v>0.637964406188205</v>
      </c>
      <c r="X13" s="38">
        <f>(L13*'RESULTADO DIRETO'!N$27)/6*3</f>
        <v>3.03975582446188</v>
      </c>
      <c r="Y13" s="37">
        <f t="shared" si="4"/>
        <v>0.0176791661304053</v>
      </c>
      <c r="Z13" s="38">
        <f>(L13*'RESULTADO DIRETO'!N$15)/6*3</f>
        <v>2.76880875548063</v>
      </c>
      <c r="AA13" s="37">
        <f t="shared" si="5"/>
        <v>0.0161033427677133</v>
      </c>
      <c r="AB13" s="38">
        <f t="shared" si="6"/>
        <v>0.1744377362</v>
      </c>
      <c r="AC13" s="38">
        <f t="shared" si="7"/>
        <v>0.1744377362</v>
      </c>
      <c r="AD13" s="36">
        <f t="shared" si="16"/>
        <v>115.849040052343</v>
      </c>
      <c r="AE13" s="39">
        <f t="shared" si="8"/>
        <v>0.673775968665479</v>
      </c>
      <c r="AF13" s="38">
        <f t="shared" si="17"/>
        <v>20.6328</v>
      </c>
      <c r="AG13" s="38"/>
      <c r="AH13" s="38">
        <f t="shared" si="9"/>
        <v>8.94088</v>
      </c>
      <c r="AI13" s="36">
        <f t="shared" si="10"/>
        <v>29.57368</v>
      </c>
      <c r="AJ13" s="40">
        <f t="shared" si="11"/>
        <v>145.422720052343</v>
      </c>
      <c r="AK13" s="41">
        <f t="shared" si="12"/>
        <v>0.845775968665479</v>
      </c>
      <c r="AL13" s="40">
        <f t="shared" si="13"/>
        <v>26.5172799476575</v>
      </c>
      <c r="AM13" s="42">
        <f t="shared" si="14"/>
        <v>0.154224031334521</v>
      </c>
      <c r="AN13" s="40">
        <f t="shared" si="15"/>
        <v>5.91265474552957</v>
      </c>
    </row>
    <row r="14" s="3" customFormat="1" spans="1:40">
      <c r="A14" s="25">
        <v>46239</v>
      </c>
      <c r="B14" s="25" t="str">
        <v>NORMAL</v>
      </c>
      <c r="C14" s="25" t="str">
        <v>MMM1H28</v>
      </c>
      <c r="D14" s="43" t="str">
        <v>JOI</v>
      </c>
      <c r="E14" s="43" t="str">
        <v>SC</v>
      </c>
      <c r="F14" s="43" t="str">
        <v>VEA</v>
      </c>
      <c r="G14" s="43" t="str">
        <v>MG</v>
      </c>
      <c r="H14" s="43" t="str">
        <v>BRASCOLA LTDA -</v>
      </c>
      <c r="I14" s="201" t="str">
        <v>000330246</v>
      </c>
      <c r="J14" s="44">
        <v>3238.98</v>
      </c>
      <c r="K14" s="27">
        <v>20</v>
      </c>
      <c r="L14" s="28">
        <v>146.8</v>
      </c>
      <c r="M14" s="45">
        <v>361.7</v>
      </c>
      <c r="N14" s="30">
        <v>0.12</v>
      </c>
      <c r="O14" s="31">
        <v>72.34</v>
      </c>
      <c r="P14" s="32">
        <f t="shared" si="0"/>
        <v>49.912</v>
      </c>
      <c r="Q14" s="48">
        <f t="shared" ref="Q14:Q20" si="21">L14*0.18</f>
        <v>26.424</v>
      </c>
      <c r="R14" s="49">
        <f>L14*0.06</f>
        <v>8.808</v>
      </c>
      <c r="S14" s="33"/>
      <c r="T14" s="34">
        <v>108.51</v>
      </c>
      <c r="U14" s="35">
        <f t="shared" si="19"/>
        <v>0.3</v>
      </c>
      <c r="V14" s="36">
        <f t="shared" si="2"/>
        <v>265.994</v>
      </c>
      <c r="W14" s="37">
        <f t="shared" ref="W14:W25" si="22">V14/M14</f>
        <v>0.735399502350014</v>
      </c>
      <c r="X14" s="38">
        <f>(L14*'RESULTADO DIRETO'!N$27)/6*4</f>
        <v>20.4601630000461</v>
      </c>
      <c r="Y14" s="37">
        <f t="shared" ref="Y14:Y25" si="23">X14/M14</f>
        <v>0.05656666574522</v>
      </c>
      <c r="Z14" s="38">
        <f>(L14*'RESULTADO DIRETO'!N$15)/6*4</f>
        <v>18.6364569144684</v>
      </c>
      <c r="AA14" s="37">
        <f t="shared" ref="AA14:AA25" si="24">Z14/M14</f>
        <v>0.0515246251436782</v>
      </c>
      <c r="AB14" s="38">
        <f t="shared" ref="AB14:AB25" si="25">(J14*0.01%)*7.38%+(J14*0.01%)</f>
        <v>0.3478016724</v>
      </c>
      <c r="AC14" s="38">
        <f t="shared" ref="AC14:AC25" si="26">(J14*0.01%)*7.38%+(J14*0.01%)</f>
        <v>0.3478016724</v>
      </c>
      <c r="AD14" s="36">
        <f t="shared" ref="AD14:AD25" si="27">V14+X14+Z14+AB14+AC14</f>
        <v>305.786223259315</v>
      </c>
      <c r="AE14" s="39">
        <f t="shared" ref="AE14:AE25" si="28">AD14/M14</f>
        <v>0.845413943210712</v>
      </c>
      <c r="AF14" s="38">
        <f t="shared" ref="AF14:AF25" si="29">M14*N14</f>
        <v>43.404</v>
      </c>
      <c r="AG14" s="38"/>
      <c r="AH14" s="38">
        <f t="shared" ref="AH14:AH25" si="30">M14*0.052</f>
        <v>18.8084</v>
      </c>
      <c r="AI14" s="36">
        <f t="shared" ref="AI14:AI25" si="31">AF14+AG14+AH14</f>
        <v>62.2124</v>
      </c>
      <c r="AJ14" s="40">
        <f t="shared" ref="AJ14:AJ25" si="32">AD14+AI14</f>
        <v>367.998623259315</v>
      </c>
      <c r="AK14" s="41">
        <f t="shared" ref="AK14:AK25" si="33">AJ14/M14</f>
        <v>1.01741394321071</v>
      </c>
      <c r="AL14" s="40">
        <f t="shared" ref="AL14:AL25" si="34">M14-AJ14</f>
        <v>-6.29862325931452</v>
      </c>
      <c r="AM14" s="42">
        <f t="shared" ref="AM14:AM25" si="35">AL14/M14</f>
        <v>-0.017413943210712</v>
      </c>
      <c r="AN14" s="40">
        <f t="shared" ref="AN14:AN25" si="36">M14/L14</f>
        <v>2.46389645776567</v>
      </c>
    </row>
    <row r="15" s="3" customFormat="1" spans="1:40">
      <c r="A15" s="25">
        <v>46239</v>
      </c>
      <c r="B15" s="25" t="str">
        <v>NORMAL</v>
      </c>
      <c r="C15" s="25" t="str">
        <v>MMM1H28</v>
      </c>
      <c r="D15" s="43" t="str">
        <v>JOI</v>
      </c>
      <c r="E15" s="43" t="str">
        <v>SC</v>
      </c>
      <c r="F15" s="43" t="str">
        <v>EJM</v>
      </c>
      <c r="G15" s="43" t="str">
        <v>MG</v>
      </c>
      <c r="H15" s="43" t="str">
        <v>BRASCOLA LTDA -</v>
      </c>
      <c r="I15" s="201" t="str">
        <v>000330237</v>
      </c>
      <c r="J15" s="44">
        <v>9522.96</v>
      </c>
      <c r="K15" s="27">
        <v>1</v>
      </c>
      <c r="L15" s="28">
        <v>449.876</v>
      </c>
      <c r="M15" s="45">
        <v>967.19</v>
      </c>
      <c r="N15" s="30">
        <v>0.12</v>
      </c>
      <c r="O15" s="31">
        <v>193.44</v>
      </c>
      <c r="P15" s="32">
        <f t="shared" si="0"/>
        <v>152.95784</v>
      </c>
      <c r="Q15" s="46">
        <f t="shared" si="21"/>
        <v>80.97768</v>
      </c>
      <c r="R15" s="46">
        <v>0</v>
      </c>
      <c r="S15" s="33"/>
      <c r="T15" s="34">
        <v>386.88</v>
      </c>
      <c r="U15" s="35">
        <f t="shared" si="19"/>
        <v>0.400004135692056</v>
      </c>
      <c r="V15" s="36">
        <f t="shared" si="2"/>
        <v>814.25552</v>
      </c>
      <c r="W15" s="37">
        <f t="shared" si="22"/>
        <v>0.84187752147975</v>
      </c>
      <c r="X15" s="38">
        <f>(L15*'RESULTADO DIRETO'!N$27)/6*4</f>
        <v>62.7012008842556</v>
      </c>
      <c r="Y15" s="37">
        <f t="shared" si="23"/>
        <v>0.0648282146054608</v>
      </c>
      <c r="Z15" s="38">
        <f>(L15*'RESULTADO DIRETO'!N$15)/6*4</f>
        <v>57.1123616543147</v>
      </c>
      <c r="AA15" s="37">
        <f t="shared" si="24"/>
        <v>0.0590497851035626</v>
      </c>
      <c r="AB15" s="38">
        <f t="shared" si="25"/>
        <v>1.0225754448</v>
      </c>
      <c r="AC15" s="38">
        <f t="shared" si="26"/>
        <v>1.0225754448</v>
      </c>
      <c r="AD15" s="36">
        <f t="shared" si="27"/>
        <v>936.11423342817</v>
      </c>
      <c r="AE15" s="39">
        <f t="shared" si="28"/>
        <v>0.967870049760823</v>
      </c>
      <c r="AF15" s="38">
        <f t="shared" si="29"/>
        <v>116.0628</v>
      </c>
      <c r="AG15" s="38"/>
      <c r="AH15" s="38">
        <f t="shared" si="30"/>
        <v>50.29388</v>
      </c>
      <c r="AI15" s="36">
        <f t="shared" si="31"/>
        <v>166.35668</v>
      </c>
      <c r="AJ15" s="40">
        <f t="shared" si="32"/>
        <v>1102.47091342817</v>
      </c>
      <c r="AK15" s="41">
        <f t="shared" si="33"/>
        <v>1.13987004976082</v>
      </c>
      <c r="AL15" s="40">
        <f t="shared" si="34"/>
        <v>-135.28091342817</v>
      </c>
      <c r="AM15" s="42">
        <f t="shared" si="35"/>
        <v>-0.139870049760823</v>
      </c>
      <c r="AN15" s="40">
        <f t="shared" si="36"/>
        <v>2.14990352897243</v>
      </c>
    </row>
    <row r="16" s="3" customFormat="1" spans="1:40">
      <c r="A16" s="25">
        <v>46240</v>
      </c>
      <c r="B16" s="25" t="str">
        <v>NORMAL</v>
      </c>
      <c r="C16" s="25" t="str">
        <v>MMM1H28</v>
      </c>
      <c r="D16" s="43" t="str">
        <v>JOI</v>
      </c>
      <c r="E16" s="43" t="str">
        <v>SC</v>
      </c>
      <c r="F16" s="43" t="str">
        <v>DCC</v>
      </c>
      <c r="G16" s="43" t="str">
        <v>MG</v>
      </c>
      <c r="H16" s="43" t="str">
        <v>BRASCOLA LTDA -</v>
      </c>
      <c r="I16" s="201" t="str">
        <v>000330385</v>
      </c>
      <c r="J16" s="44">
        <v>3084.36</v>
      </c>
      <c r="K16" s="27">
        <v>31</v>
      </c>
      <c r="L16" s="28">
        <v>70.43</v>
      </c>
      <c r="M16" s="45">
        <v>249.45</v>
      </c>
      <c r="N16" s="30">
        <v>0.12</v>
      </c>
      <c r="O16" s="31">
        <v>49.89</v>
      </c>
      <c r="P16" s="32">
        <f t="shared" si="0"/>
        <v>23.9462</v>
      </c>
      <c r="Q16" s="32">
        <f t="shared" si="21"/>
        <v>12.6774</v>
      </c>
      <c r="R16" s="33"/>
      <c r="S16" s="33"/>
      <c r="T16" s="34">
        <v>87.31</v>
      </c>
      <c r="U16" s="35">
        <f t="shared" si="19"/>
        <v>0.350010022048507</v>
      </c>
      <c r="V16" s="36">
        <f t="shared" si="2"/>
        <v>173.8236</v>
      </c>
      <c r="W16" s="37">
        <f t="shared" si="22"/>
        <v>0.696827420324714</v>
      </c>
      <c r="X16" s="38">
        <f>(L16*'RESULTADO DIRETO'!N$27)/6*3</f>
        <v>7.36210463262897</v>
      </c>
      <c r="Y16" s="37">
        <f t="shared" si="23"/>
        <v>0.0295133478958868</v>
      </c>
      <c r="Z16" s="38">
        <f>(L16*'RESULTADO DIRETO'!N$15)/6*3</f>
        <v>6.70588723000346</v>
      </c>
      <c r="AA16" s="37">
        <f t="shared" si="24"/>
        <v>0.0268826908398615</v>
      </c>
      <c r="AB16" s="38">
        <f t="shared" si="25"/>
        <v>0.3311985768</v>
      </c>
      <c r="AC16" s="38">
        <f t="shared" si="26"/>
        <v>0.3311985768</v>
      </c>
      <c r="AD16" s="36">
        <f t="shared" si="27"/>
        <v>188.553989016232</v>
      </c>
      <c r="AE16" s="39">
        <f t="shared" si="28"/>
        <v>0.755878889622098</v>
      </c>
      <c r="AF16" s="38">
        <f t="shared" si="29"/>
        <v>29.934</v>
      </c>
      <c r="AG16" s="38"/>
      <c r="AH16" s="38">
        <f t="shared" si="30"/>
        <v>12.9714</v>
      </c>
      <c r="AI16" s="36">
        <f t="shared" si="31"/>
        <v>42.9054</v>
      </c>
      <c r="AJ16" s="40">
        <f t="shared" si="32"/>
        <v>231.459389016232</v>
      </c>
      <c r="AK16" s="41">
        <f t="shared" si="33"/>
        <v>0.927878889622099</v>
      </c>
      <c r="AL16" s="40">
        <f t="shared" si="34"/>
        <v>17.9906109837675</v>
      </c>
      <c r="AM16" s="42">
        <f t="shared" si="35"/>
        <v>0.0721211103779014</v>
      </c>
      <c r="AN16" s="40">
        <f t="shared" si="36"/>
        <v>3.54181456765583</v>
      </c>
    </row>
    <row r="17" s="3" customFormat="1" spans="1:40">
      <c r="A17" s="25">
        <v>46240</v>
      </c>
      <c r="B17" s="25" t="str">
        <v>NORMAL</v>
      </c>
      <c r="C17" s="25" t="str">
        <v>MMM1H28</v>
      </c>
      <c r="D17" s="43" t="str">
        <v>JOI</v>
      </c>
      <c r="E17" s="43" t="str">
        <v>SC</v>
      </c>
      <c r="F17" s="43" t="str">
        <v>DCC</v>
      </c>
      <c r="G17" s="43" t="str">
        <v>MG</v>
      </c>
      <c r="H17" s="43" t="str">
        <v>BRASCOLA LTDA -</v>
      </c>
      <c r="I17" s="201" t="str">
        <v>000330394</v>
      </c>
      <c r="J17" s="44">
        <v>1911.24</v>
      </c>
      <c r="K17" s="27">
        <v>4</v>
      </c>
      <c r="L17" s="28">
        <v>64</v>
      </c>
      <c r="M17" s="45">
        <v>230.4</v>
      </c>
      <c r="N17" s="30">
        <v>0.12</v>
      </c>
      <c r="O17" s="31">
        <v>46.08</v>
      </c>
      <c r="P17" s="32">
        <f t="shared" si="0"/>
        <v>21.76</v>
      </c>
      <c r="Q17" s="32">
        <f t="shared" si="21"/>
        <v>11.52</v>
      </c>
      <c r="R17" s="33"/>
      <c r="S17" s="33"/>
      <c r="T17" s="34">
        <v>80.64</v>
      </c>
      <c r="U17" s="35">
        <f t="shared" si="19"/>
        <v>0.35</v>
      </c>
      <c r="V17" s="36">
        <f t="shared" si="2"/>
        <v>160</v>
      </c>
      <c r="W17" s="37">
        <f t="shared" si="22"/>
        <v>0.694444444444444</v>
      </c>
      <c r="X17" s="38">
        <f>(L17*'RESULTADO DIRETO'!N$27)/6*3</f>
        <v>6.68997155314858</v>
      </c>
      <c r="Y17" s="37">
        <f t="shared" si="23"/>
        <v>0.0290363348660962</v>
      </c>
      <c r="Z17" s="38">
        <f>(L17*'RESULTADO DIRETO'!N$15)/6*3</f>
        <v>6.09366438620221</v>
      </c>
      <c r="AA17" s="37">
        <f t="shared" si="24"/>
        <v>0.0264481961206693</v>
      </c>
      <c r="AB17" s="38">
        <f t="shared" si="25"/>
        <v>0.2052289512</v>
      </c>
      <c r="AC17" s="38">
        <f t="shared" si="26"/>
        <v>0.2052289512</v>
      </c>
      <c r="AD17" s="36">
        <f t="shared" si="27"/>
        <v>173.194093841751</v>
      </c>
      <c r="AE17" s="39">
        <f t="shared" si="28"/>
        <v>0.75171047674371</v>
      </c>
      <c r="AF17" s="38">
        <f t="shared" si="29"/>
        <v>27.648</v>
      </c>
      <c r="AG17" s="38"/>
      <c r="AH17" s="38">
        <f t="shared" si="30"/>
        <v>11.9808</v>
      </c>
      <c r="AI17" s="36">
        <f t="shared" si="31"/>
        <v>39.6288</v>
      </c>
      <c r="AJ17" s="40">
        <f t="shared" si="32"/>
        <v>212.822893841751</v>
      </c>
      <c r="AK17" s="41">
        <f t="shared" si="33"/>
        <v>0.92371047674371</v>
      </c>
      <c r="AL17" s="40">
        <f t="shared" si="34"/>
        <v>17.5771061582492</v>
      </c>
      <c r="AM17" s="42">
        <f t="shared" si="35"/>
        <v>0.0762895232562898</v>
      </c>
      <c r="AN17" s="40">
        <f t="shared" si="36"/>
        <v>3.6</v>
      </c>
    </row>
    <row r="18" s="3" customFormat="1" spans="1:40">
      <c r="A18" s="25">
        <v>46240</v>
      </c>
      <c r="B18" s="25" t="str">
        <v>NORMAL</v>
      </c>
      <c r="C18" s="25" t="str">
        <v>MMM1H28</v>
      </c>
      <c r="D18" s="43" t="str">
        <v>JOI</v>
      </c>
      <c r="E18" s="43" t="str">
        <v>SC</v>
      </c>
      <c r="F18" s="43" t="str">
        <v>TAM</v>
      </c>
      <c r="G18" s="43" t="str">
        <v>MG</v>
      </c>
      <c r="H18" s="43" t="str">
        <v>BRASCOLA LTDA -</v>
      </c>
      <c r="I18" s="201" t="str">
        <v>000330404</v>
      </c>
      <c r="J18" s="44">
        <v>1520</v>
      </c>
      <c r="K18" s="27">
        <v>10</v>
      </c>
      <c r="L18" s="28">
        <v>73.4</v>
      </c>
      <c r="M18" s="45">
        <v>241.66</v>
      </c>
      <c r="N18" s="30">
        <v>0.12</v>
      </c>
      <c r="O18" s="31">
        <v>48.33</v>
      </c>
      <c r="P18" s="32">
        <f t="shared" si="0"/>
        <v>24.956</v>
      </c>
      <c r="Q18" s="46">
        <f t="shared" si="21"/>
        <v>13.212</v>
      </c>
      <c r="R18" s="46">
        <f t="shared" ref="R18:R24" si="37">L18*0.14</f>
        <v>10.276</v>
      </c>
      <c r="S18" s="33"/>
      <c r="T18" s="34">
        <v>30.09</v>
      </c>
      <c r="U18" s="35">
        <f t="shared" si="19"/>
        <v>0.124513779690474</v>
      </c>
      <c r="V18" s="36">
        <f t="shared" si="2"/>
        <v>126.864</v>
      </c>
      <c r="W18" s="37">
        <f t="shared" si="22"/>
        <v>0.524968964661094</v>
      </c>
      <c r="X18" s="38">
        <f>(L18*'RESULTADO DIRETO'!N$27)/6*4</f>
        <v>10.230081500023</v>
      </c>
      <c r="Y18" s="37">
        <f t="shared" si="23"/>
        <v>0.0423325395184268</v>
      </c>
      <c r="Z18" s="38">
        <f>(L18*'RESULTADO DIRETO'!N$15)/6*4</f>
        <v>9.31822845723421</v>
      </c>
      <c r="AA18" s="37">
        <f t="shared" si="24"/>
        <v>0.0385592504230498</v>
      </c>
      <c r="AB18" s="38">
        <f t="shared" si="25"/>
        <v>0.1632176</v>
      </c>
      <c r="AC18" s="38">
        <f t="shared" si="26"/>
        <v>0.1632176</v>
      </c>
      <c r="AD18" s="36">
        <f t="shared" si="27"/>
        <v>146.738745157257</v>
      </c>
      <c r="AE18" s="39">
        <f t="shared" si="28"/>
        <v>0.607211558210946</v>
      </c>
      <c r="AF18" s="38">
        <f t="shared" si="29"/>
        <v>28.9992</v>
      </c>
      <c r="AG18" s="38"/>
      <c r="AH18" s="38">
        <f t="shared" si="30"/>
        <v>12.56632</v>
      </c>
      <c r="AI18" s="36">
        <f t="shared" si="31"/>
        <v>41.56552</v>
      </c>
      <c r="AJ18" s="40">
        <f t="shared" si="32"/>
        <v>188.304265157257</v>
      </c>
      <c r="AK18" s="41">
        <f t="shared" si="33"/>
        <v>0.779211558210946</v>
      </c>
      <c r="AL18" s="40">
        <f t="shared" si="34"/>
        <v>53.3557348427428</v>
      </c>
      <c r="AM18" s="42">
        <f t="shared" si="35"/>
        <v>0.220788441789054</v>
      </c>
      <c r="AN18" s="40">
        <f t="shared" si="36"/>
        <v>3.29237057220708</v>
      </c>
    </row>
    <row r="19" s="3" customFormat="1" spans="1:40">
      <c r="A19" s="25">
        <v>46240</v>
      </c>
      <c r="B19" s="25" t="str">
        <v>NORMAL</v>
      </c>
      <c r="C19" s="25" t="str">
        <v>MMM1H28</v>
      </c>
      <c r="D19" s="43" t="str">
        <v>JOI</v>
      </c>
      <c r="E19" s="43" t="str">
        <v>SC</v>
      </c>
      <c r="F19" s="43" t="str">
        <v>STJ</v>
      </c>
      <c r="G19" s="43" t="str">
        <v>MG</v>
      </c>
      <c r="H19" s="43" t="str">
        <v>BRASCOLA LTDA -</v>
      </c>
      <c r="I19" s="201" t="str">
        <v>000330407</v>
      </c>
      <c r="J19" s="44">
        <v>1680.29</v>
      </c>
      <c r="K19" s="27">
        <v>9</v>
      </c>
      <c r="L19" s="28">
        <v>54.66</v>
      </c>
      <c r="M19" s="45">
        <v>248.25</v>
      </c>
      <c r="N19" s="30">
        <v>0.12</v>
      </c>
      <c r="O19" s="31">
        <v>49.65</v>
      </c>
      <c r="P19" s="32">
        <f t="shared" si="0"/>
        <v>18.5844</v>
      </c>
      <c r="Q19" s="46">
        <f t="shared" si="21"/>
        <v>9.8388</v>
      </c>
      <c r="R19" s="46">
        <v>0</v>
      </c>
      <c r="S19" s="33"/>
      <c r="T19" s="34">
        <v>51</v>
      </c>
      <c r="U19" s="35">
        <f t="shared" si="19"/>
        <v>0.205438066465257</v>
      </c>
      <c r="V19" s="36">
        <f t="shared" si="2"/>
        <v>129.0732</v>
      </c>
      <c r="W19" s="37">
        <f t="shared" si="22"/>
        <v>0.519932326283988</v>
      </c>
      <c r="X19" s="38">
        <f>(L19*'RESULTADO DIRETO'!N$27)/6*4</f>
        <v>7.61820510614794</v>
      </c>
      <c r="Y19" s="37">
        <f t="shared" si="23"/>
        <v>0.0306876338616231</v>
      </c>
      <c r="Z19" s="38">
        <f>(L19*'RESULTADO DIRETO'!N$15)/6*4</f>
        <v>6.93916031978776</v>
      </c>
      <c r="AA19" s="37">
        <f t="shared" si="24"/>
        <v>0.0279523074311692</v>
      </c>
      <c r="AB19" s="38">
        <f t="shared" si="25"/>
        <v>0.1804295402</v>
      </c>
      <c r="AC19" s="38">
        <f t="shared" si="26"/>
        <v>0.1804295402</v>
      </c>
      <c r="AD19" s="36">
        <f t="shared" si="27"/>
        <v>143.991424506336</v>
      </c>
      <c r="AE19" s="39">
        <f t="shared" si="28"/>
        <v>0.5800258791796</v>
      </c>
      <c r="AF19" s="38">
        <f t="shared" si="29"/>
        <v>29.79</v>
      </c>
      <c r="AG19" s="38"/>
      <c r="AH19" s="38">
        <f t="shared" si="30"/>
        <v>12.909</v>
      </c>
      <c r="AI19" s="36">
        <f t="shared" si="31"/>
        <v>42.699</v>
      </c>
      <c r="AJ19" s="40">
        <f t="shared" si="32"/>
        <v>186.690424506336</v>
      </c>
      <c r="AK19" s="41">
        <f t="shared" si="33"/>
        <v>0.7520258791796</v>
      </c>
      <c r="AL19" s="40">
        <f t="shared" si="34"/>
        <v>61.5595754936643</v>
      </c>
      <c r="AM19" s="42">
        <f t="shared" si="35"/>
        <v>0.2479741208204</v>
      </c>
      <c r="AN19" s="40">
        <f t="shared" si="36"/>
        <v>4.5417124039517</v>
      </c>
    </row>
    <row r="20" s="3" customFormat="1" spans="1:40">
      <c r="A20" s="25">
        <v>46240</v>
      </c>
      <c r="B20" s="25" t="str">
        <v>NORMAL</v>
      </c>
      <c r="C20" s="25" t="str">
        <v>MMM1H28</v>
      </c>
      <c r="D20" s="43" t="str">
        <v>JOI</v>
      </c>
      <c r="E20" s="43" t="str">
        <v>SC</v>
      </c>
      <c r="F20" s="43" t="str">
        <v>DCC</v>
      </c>
      <c r="G20" s="43" t="str">
        <v>MG</v>
      </c>
      <c r="H20" s="43" t="str">
        <v>BRASCOLA LTDA -</v>
      </c>
      <c r="I20" s="201" t="str">
        <v>000330443</v>
      </c>
      <c r="J20" s="44">
        <v>4935.52</v>
      </c>
      <c r="K20" s="27">
        <v>52</v>
      </c>
      <c r="L20" s="28">
        <v>161.47</v>
      </c>
      <c r="M20" s="45">
        <v>357.01</v>
      </c>
      <c r="N20" s="30">
        <v>0.12</v>
      </c>
      <c r="O20" s="31">
        <v>71.4</v>
      </c>
      <c r="P20" s="32">
        <f t="shared" si="0"/>
        <v>54.8998</v>
      </c>
      <c r="Q20" s="32">
        <f t="shared" si="21"/>
        <v>29.0646</v>
      </c>
      <c r="R20" s="33"/>
      <c r="S20" s="33"/>
      <c r="T20" s="34">
        <v>324.95</v>
      </c>
      <c r="U20" s="35">
        <f t="shared" si="19"/>
        <v>0.910198593876922</v>
      </c>
      <c r="V20" s="36">
        <f t="shared" si="2"/>
        <v>480.3144</v>
      </c>
      <c r="W20" s="37">
        <f t="shared" si="22"/>
        <v>1.34538080165822</v>
      </c>
      <c r="X20" s="38">
        <f>(L20*'RESULTADO DIRETO'!N$27)/6*3</f>
        <v>16.8785891669828</v>
      </c>
      <c r="Y20" s="37">
        <f t="shared" si="23"/>
        <v>0.0472776369484967</v>
      </c>
      <c r="Z20" s="38">
        <f>(L20*'RESULTADO DIRETO'!N$15)/6*3</f>
        <v>15.3741248193761</v>
      </c>
      <c r="AA20" s="37">
        <f t="shared" si="24"/>
        <v>0.0430635691419739</v>
      </c>
      <c r="AB20" s="38">
        <f t="shared" si="25"/>
        <v>0.5299761376</v>
      </c>
      <c r="AC20" s="38">
        <f t="shared" si="26"/>
        <v>0.5299761376</v>
      </c>
      <c r="AD20" s="36">
        <f t="shared" si="27"/>
        <v>513.627066261559</v>
      </c>
      <c r="AE20" s="39">
        <f t="shared" si="28"/>
        <v>1.4386909785764</v>
      </c>
      <c r="AF20" s="38">
        <f t="shared" si="29"/>
        <v>42.8412</v>
      </c>
      <c r="AG20" s="38"/>
      <c r="AH20" s="38">
        <f t="shared" si="30"/>
        <v>18.56452</v>
      </c>
      <c r="AI20" s="36">
        <f t="shared" si="31"/>
        <v>61.40572</v>
      </c>
      <c r="AJ20" s="40">
        <f t="shared" si="32"/>
        <v>575.032786261559</v>
      </c>
      <c r="AK20" s="41">
        <f t="shared" si="33"/>
        <v>1.6106909785764</v>
      </c>
      <c r="AL20" s="40">
        <f t="shared" si="34"/>
        <v>-218.022786261559</v>
      </c>
      <c r="AM20" s="42">
        <f t="shared" si="35"/>
        <v>-0.610690978576395</v>
      </c>
      <c r="AN20" s="40">
        <f t="shared" si="36"/>
        <v>2.21099894717285</v>
      </c>
    </row>
    <row r="21" s="3" customFormat="1" spans="1:40">
      <c r="A21" s="25">
        <v>46241</v>
      </c>
      <c r="B21" s="25" t="str">
        <v>NORMAL</v>
      </c>
      <c r="C21" s="25" t="str">
        <v>MMM1H28</v>
      </c>
      <c r="D21" s="43" t="str">
        <v>JOI</v>
      </c>
      <c r="E21" s="43" t="str">
        <v>SC</v>
      </c>
      <c r="F21" s="43" t="str">
        <v>GVR</v>
      </c>
      <c r="G21" s="43" t="str">
        <v>MG</v>
      </c>
      <c r="H21" s="43" t="str">
        <v>BRASCOLA LTDA -</v>
      </c>
      <c r="I21" s="201" t="str">
        <v>000330493</v>
      </c>
      <c r="J21" s="44">
        <v>1631.71</v>
      </c>
      <c r="K21" s="27">
        <v>9</v>
      </c>
      <c r="L21" s="28">
        <v>40.984</v>
      </c>
      <c r="M21" s="45">
        <v>220.82</v>
      </c>
      <c r="N21" s="30">
        <v>0.12</v>
      </c>
      <c r="O21" s="31">
        <v>44.16</v>
      </c>
      <c r="P21" s="32">
        <f t="shared" si="0"/>
        <v>13.93456</v>
      </c>
      <c r="Q21" s="46">
        <f t="shared" ref="Q21:Q26" si="38">L21*0.18</f>
        <v>7.37712</v>
      </c>
      <c r="R21" s="46">
        <f t="shared" si="37"/>
        <v>5.73776</v>
      </c>
      <c r="S21" s="33"/>
      <c r="T21" s="34">
        <v>81.79</v>
      </c>
      <c r="U21" s="35">
        <f t="shared" si="19"/>
        <v>0.370392174621864</v>
      </c>
      <c r="V21" s="36">
        <f t="shared" si="2"/>
        <v>152.99944</v>
      </c>
      <c r="W21" s="37">
        <f t="shared" si="22"/>
        <v>0.69286948645956</v>
      </c>
      <c r="X21" s="38">
        <f>(L21*'RESULTADO DIRETO'!N$27)/6*4</f>
        <v>5.71212071113003</v>
      </c>
      <c r="Y21" s="37">
        <f t="shared" si="23"/>
        <v>0.0258677688213478</v>
      </c>
      <c r="Z21" s="38">
        <f>(L21*'RESULTADO DIRETO'!N$15)/6*4</f>
        <v>5.20297377508565</v>
      </c>
      <c r="AA21" s="37">
        <f t="shared" si="24"/>
        <v>0.0235620585775095</v>
      </c>
      <c r="AB21" s="38">
        <f t="shared" si="25"/>
        <v>0.1752130198</v>
      </c>
      <c r="AC21" s="38">
        <f t="shared" si="26"/>
        <v>0.1752130198</v>
      </c>
      <c r="AD21" s="36">
        <f t="shared" si="27"/>
        <v>164.264960525816</v>
      </c>
      <c r="AE21" s="39">
        <f t="shared" si="28"/>
        <v>0.743886244569403</v>
      </c>
      <c r="AF21" s="38">
        <f t="shared" si="29"/>
        <v>26.4984</v>
      </c>
      <c r="AG21" s="38"/>
      <c r="AH21" s="38">
        <f t="shared" si="30"/>
        <v>11.48264</v>
      </c>
      <c r="AI21" s="36">
        <f t="shared" si="31"/>
        <v>37.98104</v>
      </c>
      <c r="AJ21" s="40">
        <f t="shared" si="32"/>
        <v>202.246000525816</v>
      </c>
      <c r="AK21" s="41">
        <f t="shared" si="33"/>
        <v>0.915886244569403</v>
      </c>
      <c r="AL21" s="40">
        <f t="shared" si="34"/>
        <v>18.5739994741843</v>
      </c>
      <c r="AM21" s="42">
        <f t="shared" si="35"/>
        <v>0.0841137554305966</v>
      </c>
      <c r="AN21" s="40">
        <f t="shared" si="36"/>
        <v>5.38795627561975</v>
      </c>
    </row>
    <row r="22" s="3" customFormat="1" spans="1:40">
      <c r="A22" s="25">
        <v>46241</v>
      </c>
      <c r="B22" s="25" t="str">
        <v>NORMAL</v>
      </c>
      <c r="C22" s="25" t="str">
        <v>MMM1H28</v>
      </c>
      <c r="D22" s="43" t="str">
        <v>JOI</v>
      </c>
      <c r="E22" s="43" t="str">
        <v>SC</v>
      </c>
      <c r="F22" s="43" t="str">
        <v>GRF</v>
      </c>
      <c r="G22" s="43" t="str">
        <v>MG</v>
      </c>
      <c r="H22" s="43" t="str">
        <v>BRASCOLA LTDA -</v>
      </c>
      <c r="I22" s="201" t="str">
        <v>000330483</v>
      </c>
      <c r="J22" s="44">
        <v>3051.01</v>
      </c>
      <c r="K22" s="27">
        <v>19</v>
      </c>
      <c r="L22" s="28">
        <v>74.328</v>
      </c>
      <c r="M22" s="45">
        <v>269.3</v>
      </c>
      <c r="N22" s="30">
        <v>0.12</v>
      </c>
      <c r="O22" s="31">
        <v>53.86</v>
      </c>
      <c r="P22" s="32">
        <f t="shared" si="0"/>
        <v>25.27152</v>
      </c>
      <c r="Q22" s="50">
        <v>0</v>
      </c>
      <c r="R22" s="32">
        <f>L22*0.09</f>
        <v>6.68952</v>
      </c>
      <c r="S22" s="33"/>
      <c r="T22" s="34">
        <v>138.93</v>
      </c>
      <c r="U22" s="35">
        <f t="shared" si="19"/>
        <v>0.515893056071296</v>
      </c>
      <c r="V22" s="36">
        <f t="shared" si="2"/>
        <v>224.75104</v>
      </c>
      <c r="W22" s="37">
        <f t="shared" si="22"/>
        <v>0.834574972150019</v>
      </c>
      <c r="X22" s="38">
        <f>(L22*'RESULTADO DIRETO'!N$27)/6*3</f>
        <v>7.76956571253793</v>
      </c>
      <c r="Y22" s="37">
        <f t="shared" si="23"/>
        <v>0.0288509681119121</v>
      </c>
      <c r="Z22" s="38">
        <f>(L22*'RESULTADO DIRETO'!N$15)/6*3</f>
        <v>7.07702947652559</v>
      </c>
      <c r="AA22" s="37">
        <f t="shared" si="24"/>
        <v>0.0262793519365971</v>
      </c>
      <c r="AB22" s="38">
        <f t="shared" si="25"/>
        <v>0.3276174538</v>
      </c>
      <c r="AC22" s="38">
        <f t="shared" si="26"/>
        <v>0.3276174538</v>
      </c>
      <c r="AD22" s="36">
        <f t="shared" si="27"/>
        <v>240.252870096664</v>
      </c>
      <c r="AE22" s="39">
        <f t="shared" si="28"/>
        <v>0.892138396200013</v>
      </c>
      <c r="AF22" s="38">
        <f t="shared" si="29"/>
        <v>32.316</v>
      </c>
      <c r="AG22" s="38"/>
      <c r="AH22" s="38">
        <f t="shared" si="30"/>
        <v>14.0036</v>
      </c>
      <c r="AI22" s="36">
        <f t="shared" si="31"/>
        <v>46.3196</v>
      </c>
      <c r="AJ22" s="40">
        <f t="shared" si="32"/>
        <v>286.572470096663</v>
      </c>
      <c r="AK22" s="41">
        <f t="shared" si="33"/>
        <v>1.06413839620001</v>
      </c>
      <c r="AL22" s="40">
        <f t="shared" si="34"/>
        <v>-17.2724700966635</v>
      </c>
      <c r="AM22" s="42">
        <f t="shared" si="35"/>
        <v>-0.0641383962000129</v>
      </c>
      <c r="AN22" s="40">
        <f t="shared" si="36"/>
        <v>3.62312991066624</v>
      </c>
    </row>
    <row r="23" s="3" customFormat="1" spans="1:40">
      <c r="A23" s="25">
        <v>46241</v>
      </c>
      <c r="B23" s="25" t="str">
        <v>NORMAL</v>
      </c>
      <c r="C23" s="25" t="str">
        <v>MMM1H28</v>
      </c>
      <c r="D23" s="43" t="str">
        <v>JOI</v>
      </c>
      <c r="E23" s="43" t="str">
        <v>SC</v>
      </c>
      <c r="F23" s="43" t="str">
        <v>GVR</v>
      </c>
      <c r="G23" s="43" t="str">
        <v>MG</v>
      </c>
      <c r="H23" s="43" t="str">
        <v>BRASCOLA LTDA -</v>
      </c>
      <c r="I23" s="201" t="str">
        <v>000330524</v>
      </c>
      <c r="J23" s="44">
        <v>2766.4</v>
      </c>
      <c r="K23" s="27">
        <v>25</v>
      </c>
      <c r="L23" s="28">
        <v>121.068</v>
      </c>
      <c r="M23" s="45">
        <v>312.23</v>
      </c>
      <c r="N23" s="30">
        <v>0.12</v>
      </c>
      <c r="O23" s="31">
        <v>62.45</v>
      </c>
      <c r="P23" s="32">
        <f t="shared" si="0"/>
        <v>41.16312</v>
      </c>
      <c r="Q23" s="46">
        <f t="shared" si="38"/>
        <v>21.79224</v>
      </c>
      <c r="R23" s="46">
        <f t="shared" si="37"/>
        <v>16.94952</v>
      </c>
      <c r="S23" s="33"/>
      <c r="T23" s="34">
        <v>118.28</v>
      </c>
      <c r="U23" s="35">
        <f t="shared" si="19"/>
        <v>0.378823303334081</v>
      </c>
      <c r="V23" s="36">
        <f t="shared" si="2"/>
        <v>260.63488</v>
      </c>
      <c r="W23" s="37">
        <f t="shared" si="22"/>
        <v>0.834752842455882</v>
      </c>
      <c r="X23" s="38">
        <f>(L23*'RESULTADO DIRETO'!N$27)/6*4</f>
        <v>16.873780749929</v>
      </c>
      <c r="Y23" s="37">
        <f t="shared" si="23"/>
        <v>0.0540427913715178</v>
      </c>
      <c r="Z23" s="38">
        <f>(L23*'RESULTADO DIRETO'!N$15)/6*4</f>
        <v>15.3697449980985</v>
      </c>
      <c r="AA23" s="37">
        <f t="shared" si="24"/>
        <v>0.0492257150116854</v>
      </c>
      <c r="AB23" s="38">
        <f t="shared" si="25"/>
        <v>0.297056032</v>
      </c>
      <c r="AC23" s="38">
        <f t="shared" si="26"/>
        <v>0.297056032</v>
      </c>
      <c r="AD23" s="36">
        <f t="shared" si="27"/>
        <v>293.472517812027</v>
      </c>
      <c r="AE23" s="39">
        <f t="shared" si="28"/>
        <v>0.939924151465354</v>
      </c>
      <c r="AF23" s="38">
        <f t="shared" si="29"/>
        <v>37.4676</v>
      </c>
      <c r="AG23" s="38"/>
      <c r="AH23" s="38">
        <f t="shared" si="30"/>
        <v>16.23596</v>
      </c>
      <c r="AI23" s="36">
        <f t="shared" si="31"/>
        <v>53.70356</v>
      </c>
      <c r="AJ23" s="40">
        <f t="shared" si="32"/>
        <v>347.176077812027</v>
      </c>
      <c r="AK23" s="41">
        <f t="shared" si="33"/>
        <v>1.11192415146535</v>
      </c>
      <c r="AL23" s="40">
        <f t="shared" si="34"/>
        <v>-34.9460778120275</v>
      </c>
      <c r="AM23" s="42">
        <f t="shared" si="35"/>
        <v>-0.111924151465354</v>
      </c>
      <c r="AN23" s="40">
        <f t="shared" si="36"/>
        <v>2.57896388806291</v>
      </c>
    </row>
    <row r="24" s="3" customFormat="1" spans="1:40">
      <c r="A24" s="25">
        <v>46244</v>
      </c>
      <c r="B24" s="25" t="str">
        <v>NORMAL</v>
      </c>
      <c r="C24" s="25" t="str">
        <v>MMM1H28</v>
      </c>
      <c r="D24" s="43" t="str">
        <v>JOI</v>
      </c>
      <c r="E24" s="43" t="str">
        <v>SC</v>
      </c>
      <c r="F24" s="43" t="str">
        <v>BHZ</v>
      </c>
      <c r="G24" s="43" t="str">
        <v>MG</v>
      </c>
      <c r="H24" s="43" t="str">
        <v>BRASCOLA LTDA -</v>
      </c>
      <c r="I24" s="201" t="str">
        <v>000330610</v>
      </c>
      <c r="J24" s="44">
        <v>5078.78</v>
      </c>
      <c r="K24" s="27">
        <v>1</v>
      </c>
      <c r="L24" s="28">
        <v>286</v>
      </c>
      <c r="M24" s="45">
        <v>506.6</v>
      </c>
      <c r="N24" s="30">
        <v>0.12</v>
      </c>
      <c r="O24" s="31">
        <v>101.32</v>
      </c>
      <c r="P24" s="32">
        <f t="shared" si="0"/>
        <v>97.24</v>
      </c>
      <c r="Q24" s="46">
        <f t="shared" si="38"/>
        <v>51.48</v>
      </c>
      <c r="R24" s="46">
        <f t="shared" si="37"/>
        <v>40.04</v>
      </c>
      <c r="S24" s="33"/>
      <c r="T24" s="47">
        <v>0</v>
      </c>
      <c r="U24" s="35">
        <f t="shared" si="19"/>
        <v>0</v>
      </c>
      <c r="V24" s="36">
        <f t="shared" si="2"/>
        <v>290.08</v>
      </c>
      <c r="W24" s="37">
        <f t="shared" si="22"/>
        <v>0.57260165811291</v>
      </c>
      <c r="X24" s="38">
        <f>(L24*'RESULTADO DIRETO'!N$27)/6*4</f>
        <v>39.8610805041769</v>
      </c>
      <c r="Y24" s="37">
        <f t="shared" si="23"/>
        <v>0.0786835383027575</v>
      </c>
      <c r="Z24" s="38">
        <f>(L24*'RESULTADO DIRETO'!N$15)/6*4</f>
        <v>36.3080836344548</v>
      </c>
      <c r="AA24" s="37">
        <f t="shared" si="24"/>
        <v>0.0716701216629586</v>
      </c>
      <c r="AB24" s="38">
        <f t="shared" si="25"/>
        <v>0.5453593964</v>
      </c>
      <c r="AC24" s="38">
        <f t="shared" si="26"/>
        <v>0.5453593964</v>
      </c>
      <c r="AD24" s="36">
        <f t="shared" si="27"/>
        <v>367.339882931432</v>
      </c>
      <c r="AE24" s="39">
        <f t="shared" si="28"/>
        <v>0.725108335829909</v>
      </c>
      <c r="AF24" s="38">
        <f t="shared" si="29"/>
        <v>60.792</v>
      </c>
      <c r="AG24" s="38"/>
      <c r="AH24" s="38">
        <f t="shared" si="30"/>
        <v>26.3432</v>
      </c>
      <c r="AI24" s="36">
        <f t="shared" si="31"/>
        <v>87.1352</v>
      </c>
      <c r="AJ24" s="40">
        <f t="shared" si="32"/>
        <v>454.475082931432</v>
      </c>
      <c r="AK24" s="41">
        <f t="shared" si="33"/>
        <v>0.897108335829909</v>
      </c>
      <c r="AL24" s="40">
        <f t="shared" si="34"/>
        <v>52.1249170685683</v>
      </c>
      <c r="AM24" s="42">
        <f t="shared" si="35"/>
        <v>0.102891664170091</v>
      </c>
      <c r="AN24" s="40">
        <f t="shared" si="36"/>
        <v>1.77132867132867</v>
      </c>
    </row>
    <row r="25" s="3" customFormat="1" spans="1:40">
      <c r="A25" s="25">
        <v>46244</v>
      </c>
      <c r="B25" s="25" t="str">
        <v>NORMAL</v>
      </c>
      <c r="C25" s="25" t="str">
        <v>MMM1H28</v>
      </c>
      <c r="D25" s="43" t="str">
        <v>JOI</v>
      </c>
      <c r="E25" s="43" t="str">
        <v>SC</v>
      </c>
      <c r="F25" s="43" t="str">
        <v>STJ</v>
      </c>
      <c r="G25" s="43" t="str">
        <v>MG</v>
      </c>
      <c r="H25" s="43" t="str">
        <v>BRASCOLA LTDA -</v>
      </c>
      <c r="I25" s="201" t="str">
        <v>000330540</v>
      </c>
      <c r="J25" s="44">
        <v>1734.34</v>
      </c>
      <c r="K25" s="27">
        <v>10</v>
      </c>
      <c r="L25" s="28">
        <v>39.12</v>
      </c>
      <c r="M25" s="45">
        <v>221.23</v>
      </c>
      <c r="N25" s="30">
        <v>0.12</v>
      </c>
      <c r="O25" s="31">
        <v>44.25</v>
      </c>
      <c r="P25" s="32">
        <f t="shared" si="0"/>
        <v>13.3008</v>
      </c>
      <c r="Q25" s="46">
        <f t="shared" si="38"/>
        <v>7.0416</v>
      </c>
      <c r="R25" s="46">
        <v>0</v>
      </c>
      <c r="S25" s="33"/>
      <c r="T25" s="34">
        <v>51</v>
      </c>
      <c r="U25" s="35">
        <f t="shared" si="19"/>
        <v>0.230529313384261</v>
      </c>
      <c r="V25" s="36">
        <f t="shared" si="2"/>
        <v>115.5924</v>
      </c>
      <c r="W25" s="37">
        <f t="shared" si="22"/>
        <v>0.522498756949781</v>
      </c>
      <c r="X25" s="38">
        <f>(L25*'RESULTADO DIRETO'!N$27)/6*4</f>
        <v>5.45232681581609</v>
      </c>
      <c r="Y25" s="37">
        <f t="shared" si="23"/>
        <v>0.0246455128862093</v>
      </c>
      <c r="Z25" s="38">
        <f>(L25*'RESULTADO DIRETO'!N$15)/6*4</f>
        <v>4.9663364747548</v>
      </c>
      <c r="AA25" s="37">
        <f t="shared" si="24"/>
        <v>0.0224487477953026</v>
      </c>
      <c r="AB25" s="38">
        <f t="shared" si="25"/>
        <v>0.1862334292</v>
      </c>
      <c r="AC25" s="38">
        <f t="shared" si="26"/>
        <v>0.1862334292</v>
      </c>
      <c r="AD25" s="36">
        <f t="shared" si="27"/>
        <v>126.383530148971</v>
      </c>
      <c r="AE25" s="39">
        <f t="shared" si="28"/>
        <v>0.571276635849437</v>
      </c>
      <c r="AF25" s="38">
        <f t="shared" si="29"/>
        <v>26.5476</v>
      </c>
      <c r="AG25" s="38"/>
      <c r="AH25" s="38">
        <f t="shared" si="30"/>
        <v>11.50396</v>
      </c>
      <c r="AI25" s="36">
        <f t="shared" si="31"/>
        <v>38.05156</v>
      </c>
      <c r="AJ25" s="40">
        <f t="shared" si="32"/>
        <v>164.435090148971</v>
      </c>
      <c r="AK25" s="41">
        <f t="shared" si="33"/>
        <v>0.743276635849437</v>
      </c>
      <c r="AL25" s="40">
        <f t="shared" si="34"/>
        <v>56.7949098510291</v>
      </c>
      <c r="AM25" s="42">
        <f t="shared" si="35"/>
        <v>0.256723364150563</v>
      </c>
      <c r="AN25" s="40">
        <f t="shared" si="36"/>
        <v>5.655163599182</v>
      </c>
    </row>
    <row r="26" s="3" customFormat="1" spans="1:40">
      <c r="A26" s="25">
        <v>46244</v>
      </c>
      <c r="B26" s="25" t="str">
        <v>NORMAL</v>
      </c>
      <c r="C26" s="25" t="str">
        <v>MMM1H28</v>
      </c>
      <c r="D26" s="43" t="str">
        <v>JOI</v>
      </c>
      <c r="E26" s="43" t="str">
        <v>SC</v>
      </c>
      <c r="F26" s="43" t="str">
        <v>VEA</v>
      </c>
      <c r="G26" s="43" t="str">
        <v>MG</v>
      </c>
      <c r="H26" s="43" t="str">
        <v>BRASCOLA LTDA -</v>
      </c>
      <c r="I26" s="201" t="str">
        <v>000330541</v>
      </c>
      <c r="J26" s="44">
        <v>3337.82</v>
      </c>
      <c r="K26" s="27">
        <v>19</v>
      </c>
      <c r="L26" s="28">
        <v>90.212</v>
      </c>
      <c r="M26" s="45">
        <v>270.92</v>
      </c>
      <c r="N26" s="30">
        <v>0.12</v>
      </c>
      <c r="O26" s="31">
        <v>54.18</v>
      </c>
      <c r="P26" s="32">
        <f t="shared" si="0"/>
        <v>30.67208</v>
      </c>
      <c r="Q26" s="48">
        <f t="shared" si="38"/>
        <v>16.23816</v>
      </c>
      <c r="R26" s="49">
        <f>L26*0.06</f>
        <v>5.41272</v>
      </c>
      <c r="S26" s="33"/>
      <c r="T26" s="34">
        <v>81.28</v>
      </c>
      <c r="U26" s="35">
        <f t="shared" si="19"/>
        <v>0.300014764506127</v>
      </c>
      <c r="V26" s="36">
        <f t="shared" si="2"/>
        <v>187.78296</v>
      </c>
      <c r="W26" s="37">
        <f t="shared" ref="W26:W31" si="39">V26/M26</f>
        <v>0.693130665879226</v>
      </c>
      <c r="X26" s="38">
        <f>(L26*'RESULTADO DIRETO'!N$27)/6*4</f>
        <v>12.5732440365133</v>
      </c>
      <c r="Y26" s="37">
        <f t="shared" ref="Y26:Y31" si="40">X26/M26</f>
        <v>0.0464094346541906</v>
      </c>
      <c r="Z26" s="38">
        <f>(L26*'RESULTADO DIRETO'!N$15)/6*4</f>
        <v>11.4525344085015</v>
      </c>
      <c r="AA26" s="37">
        <f t="shared" ref="AA26:AA31" si="41">Z26/M26</f>
        <v>0.042272753611773</v>
      </c>
      <c r="AB26" s="38">
        <f t="shared" ref="AB26:AB31" si="42">(J26*0.01%)*7.38%+(J26*0.01%)</f>
        <v>0.3584151116</v>
      </c>
      <c r="AC26" s="38">
        <f t="shared" ref="AC26:AC31" si="43">(J26*0.01%)*7.38%+(J26*0.01%)</f>
        <v>0.3584151116</v>
      </c>
      <c r="AD26" s="36">
        <f t="shared" ref="AD26:AD31" si="44">V26+X26+Z26+AB26+AC26</f>
        <v>212.525568668215</v>
      </c>
      <c r="AE26" s="39">
        <f t="shared" ref="AE26:AE31" si="45">AD26/M26</f>
        <v>0.784458765200852</v>
      </c>
      <c r="AF26" s="38">
        <f t="shared" ref="AF26:AF31" si="46">M26*N26</f>
        <v>32.5104</v>
      </c>
      <c r="AG26" s="38"/>
      <c r="AH26" s="38">
        <f t="shared" ref="AH26:AH31" si="47">M26*0.052</f>
        <v>14.08784</v>
      </c>
      <c r="AI26" s="36">
        <f t="shared" ref="AI26:AI31" si="48">AF26+AG26+AH26</f>
        <v>46.59824</v>
      </c>
      <c r="AJ26" s="40">
        <f t="shared" ref="AJ26:AJ31" si="49">AD26+AI26</f>
        <v>259.123808668215</v>
      </c>
      <c r="AK26" s="41">
        <f t="shared" ref="AK26:AK31" si="50">AJ26/M26</f>
        <v>0.956458765200852</v>
      </c>
      <c r="AL26" s="40">
        <f t="shared" ref="AL26:AL31" si="51">M26-AJ26</f>
        <v>11.7961913317851</v>
      </c>
      <c r="AM26" s="42">
        <f t="shared" ref="AM26:AM31" si="52">AL26/M26</f>
        <v>0.0435412347991478</v>
      </c>
      <c r="AN26" s="40">
        <f t="shared" ref="AN26:AN31" si="53">M26/L26</f>
        <v>3.00314813993704</v>
      </c>
    </row>
    <row r="27" s="3" customFormat="1" spans="1:40">
      <c r="A27" s="25">
        <v>46244</v>
      </c>
      <c r="B27" s="25" t="str">
        <v>NORMAL</v>
      </c>
      <c r="C27" s="25" t="str">
        <v>MMM1H28</v>
      </c>
      <c r="D27" s="43" t="str">
        <v>JOI</v>
      </c>
      <c r="E27" s="43" t="str">
        <v>SC</v>
      </c>
      <c r="F27" s="43" t="str">
        <v>GRF</v>
      </c>
      <c r="G27" s="43" t="str">
        <v>MG</v>
      </c>
      <c r="H27" s="43" t="str">
        <v>BRASCOLA LTDA -</v>
      </c>
      <c r="I27" s="201" t="str">
        <v>000330547</v>
      </c>
      <c r="J27" s="44">
        <v>1907.49</v>
      </c>
      <c r="K27" s="27">
        <v>25</v>
      </c>
      <c r="L27" s="28">
        <v>45</v>
      </c>
      <c r="M27" s="45">
        <v>221.92</v>
      </c>
      <c r="N27" s="30">
        <v>0.12</v>
      </c>
      <c r="O27" s="31">
        <v>44.38</v>
      </c>
      <c r="P27" s="32">
        <f t="shared" si="0"/>
        <v>15.3</v>
      </c>
      <c r="Q27" s="50">
        <v>0</v>
      </c>
      <c r="R27" s="32">
        <f>L27*0.09</f>
        <v>4.05</v>
      </c>
      <c r="S27" s="33"/>
      <c r="T27" s="34">
        <v>115.34</v>
      </c>
      <c r="U27" s="35">
        <f t="shared" si="19"/>
        <v>0.519736842105263</v>
      </c>
      <c r="V27" s="36">
        <f t="shared" ref="V26:V37" si="54">O27+P27+Q27+R27+S27+T27</f>
        <v>179.07</v>
      </c>
      <c r="W27" s="37">
        <f t="shared" si="39"/>
        <v>0.806912400865177</v>
      </c>
      <c r="X27" s="38">
        <f>(L27*'RESULTADO DIRETO'!N$27)/6*3</f>
        <v>4.70388624830759</v>
      </c>
      <c r="Y27" s="37">
        <f t="shared" si="40"/>
        <v>0.0211963151059282</v>
      </c>
      <c r="Z27" s="38">
        <f>(L27*'RESULTADO DIRETO'!N$15)/6*3</f>
        <v>4.28460777154843</v>
      </c>
      <c r="AA27" s="37">
        <f t="shared" si="41"/>
        <v>0.0193069924817431</v>
      </c>
      <c r="AB27" s="38">
        <f t="shared" si="42"/>
        <v>0.2048262762</v>
      </c>
      <c r="AC27" s="38">
        <f t="shared" si="43"/>
        <v>0.2048262762</v>
      </c>
      <c r="AD27" s="36">
        <f t="shared" si="44"/>
        <v>188.468146572256</v>
      </c>
      <c r="AE27" s="39">
        <f t="shared" si="45"/>
        <v>0.849261655426532</v>
      </c>
      <c r="AF27" s="38">
        <f t="shared" si="46"/>
        <v>26.6304</v>
      </c>
      <c r="AG27" s="38"/>
      <c r="AH27" s="38">
        <f t="shared" si="47"/>
        <v>11.53984</v>
      </c>
      <c r="AI27" s="36">
        <f t="shared" si="48"/>
        <v>38.17024</v>
      </c>
      <c r="AJ27" s="40">
        <f t="shared" si="49"/>
        <v>226.638386572256</v>
      </c>
      <c r="AK27" s="41">
        <f t="shared" si="50"/>
        <v>1.02126165542653</v>
      </c>
      <c r="AL27" s="40">
        <f t="shared" si="51"/>
        <v>-4.71838657225604</v>
      </c>
      <c r="AM27" s="42">
        <f t="shared" si="52"/>
        <v>-0.0212616554265323</v>
      </c>
      <c r="AN27" s="40">
        <f t="shared" si="53"/>
        <v>4.93155555555556</v>
      </c>
    </row>
    <row r="28" s="3" customFormat="1" spans="1:40">
      <c r="A28" s="25">
        <v>46244</v>
      </c>
      <c r="B28" s="25" t="str">
        <v>NORMAL</v>
      </c>
      <c r="C28" s="25" t="str">
        <v>MMM1H28</v>
      </c>
      <c r="D28" s="43" t="str">
        <v>JOI</v>
      </c>
      <c r="E28" s="43" t="str">
        <v>SC</v>
      </c>
      <c r="F28" s="43" t="str">
        <v>BHZ</v>
      </c>
      <c r="G28" s="43" t="str">
        <v>MG</v>
      </c>
      <c r="H28" s="43" t="str">
        <v>BRASCOLA LTDA -</v>
      </c>
      <c r="I28" s="201" t="str">
        <v>000330550</v>
      </c>
      <c r="J28" s="44">
        <v>3046.21</v>
      </c>
      <c r="K28" s="27">
        <v>39</v>
      </c>
      <c r="L28" s="28">
        <v>69.12</v>
      </c>
      <c r="M28" s="45">
        <v>198.91</v>
      </c>
      <c r="N28" s="30">
        <v>0.12</v>
      </c>
      <c r="O28" s="31">
        <v>39.78</v>
      </c>
      <c r="P28" s="32">
        <f t="shared" si="0"/>
        <v>23.5008</v>
      </c>
      <c r="Q28" s="46">
        <f t="shared" ref="Q28:Q35" si="55">L28*0.18</f>
        <v>12.4416</v>
      </c>
      <c r="R28" s="46">
        <f t="shared" ref="R28:R32" si="56">L28*0.14</f>
        <v>9.6768</v>
      </c>
      <c r="S28" s="33"/>
      <c r="T28" s="47">
        <v>0</v>
      </c>
      <c r="U28" s="35">
        <f t="shared" si="19"/>
        <v>0</v>
      </c>
      <c r="V28" s="36">
        <f t="shared" si="54"/>
        <v>85.3992</v>
      </c>
      <c r="W28" s="37">
        <f t="shared" si="39"/>
        <v>0.429335880548992</v>
      </c>
      <c r="X28" s="38">
        <f>(L28*'RESULTADO DIRETO'!N$27)/6*4</f>
        <v>9.63355903653395</v>
      </c>
      <c r="Y28" s="37">
        <f t="shared" si="40"/>
        <v>0.0484317482104165</v>
      </c>
      <c r="Z28" s="38">
        <f>(L28*'RESULTADO DIRETO'!N$15)/6*4</f>
        <v>8.77487671613118</v>
      </c>
      <c r="AA28" s="37">
        <f t="shared" si="41"/>
        <v>0.0441148092912935</v>
      </c>
      <c r="AB28" s="38">
        <f t="shared" si="42"/>
        <v>0.3271020298</v>
      </c>
      <c r="AC28" s="38">
        <f t="shared" si="43"/>
        <v>0.3271020298</v>
      </c>
      <c r="AD28" s="36">
        <f t="shared" si="44"/>
        <v>104.461839812265</v>
      </c>
      <c r="AE28" s="39">
        <f t="shared" si="45"/>
        <v>0.525171383099216</v>
      </c>
      <c r="AF28" s="38">
        <f t="shared" si="46"/>
        <v>23.8692</v>
      </c>
      <c r="AG28" s="38"/>
      <c r="AH28" s="38">
        <f t="shared" si="47"/>
        <v>10.34332</v>
      </c>
      <c r="AI28" s="36">
        <f t="shared" si="48"/>
        <v>34.21252</v>
      </c>
      <c r="AJ28" s="40">
        <f t="shared" si="49"/>
        <v>138.674359812265</v>
      </c>
      <c r="AK28" s="41">
        <f t="shared" si="50"/>
        <v>0.697171383099216</v>
      </c>
      <c r="AL28" s="40">
        <f t="shared" si="51"/>
        <v>60.2356401877349</v>
      </c>
      <c r="AM28" s="42">
        <f t="shared" si="52"/>
        <v>0.302828616900784</v>
      </c>
      <c r="AN28" s="40">
        <f t="shared" si="53"/>
        <v>2.87774884259259</v>
      </c>
    </row>
    <row r="29" s="3" customFormat="1" spans="1:40">
      <c r="A29" s="25">
        <v>46244</v>
      </c>
      <c r="B29" s="25" t="str">
        <v>NORMAL</v>
      </c>
      <c r="C29" s="25" t="str">
        <v>MMM1H28</v>
      </c>
      <c r="D29" s="43" t="str">
        <v>JOI</v>
      </c>
      <c r="E29" s="43" t="str">
        <v>SC</v>
      </c>
      <c r="F29" s="43" t="str">
        <v>TAM</v>
      </c>
      <c r="G29" s="43" t="str">
        <v>MG</v>
      </c>
      <c r="H29" s="43" t="str">
        <v>BRASCOLA LTDA -</v>
      </c>
      <c r="I29" s="201" t="str">
        <v>000330554</v>
      </c>
      <c r="J29" s="44">
        <v>3165.42</v>
      </c>
      <c r="K29" s="27">
        <v>23</v>
      </c>
      <c r="L29" s="28">
        <v>103.632</v>
      </c>
      <c r="M29" s="45">
        <v>261.52</v>
      </c>
      <c r="N29" s="30">
        <v>0.12</v>
      </c>
      <c r="O29" s="31">
        <v>52.3</v>
      </c>
      <c r="P29" s="32">
        <f t="shared" si="0"/>
        <v>35.23488</v>
      </c>
      <c r="Q29" s="46">
        <f t="shared" si="55"/>
        <v>18.65376</v>
      </c>
      <c r="R29" s="46">
        <f t="shared" si="56"/>
        <v>14.50848</v>
      </c>
      <c r="S29" s="33"/>
      <c r="T29" s="34">
        <v>51.82</v>
      </c>
      <c r="U29" s="35">
        <f t="shared" si="19"/>
        <v>0.198149281125727</v>
      </c>
      <c r="V29" s="36">
        <f t="shared" si="54"/>
        <v>172.51712</v>
      </c>
      <c r="W29" s="37">
        <f t="shared" si="39"/>
        <v>0.659670847353931</v>
      </c>
      <c r="X29" s="38">
        <f>(L29*'RESULTADO DIRETO'!N$27)/6*4</f>
        <v>14.4436485832478</v>
      </c>
      <c r="Y29" s="37">
        <f t="shared" si="40"/>
        <v>0.0552296137322108</v>
      </c>
      <c r="Z29" s="38">
        <f>(L29*'RESULTADO DIRETO'!N$15)/6*4</f>
        <v>13.1562214098106</v>
      </c>
      <c r="AA29" s="37">
        <f t="shared" si="41"/>
        <v>0.0503067505728456</v>
      </c>
      <c r="AB29" s="38">
        <f t="shared" si="42"/>
        <v>0.3399027996</v>
      </c>
      <c r="AC29" s="38">
        <f t="shared" si="43"/>
        <v>0.3399027996</v>
      </c>
      <c r="AD29" s="36">
        <f t="shared" si="44"/>
        <v>200.796795592258</v>
      </c>
      <c r="AE29" s="39">
        <f t="shared" si="45"/>
        <v>0.767806651851707</v>
      </c>
      <c r="AF29" s="38">
        <f t="shared" si="46"/>
        <v>31.3824</v>
      </c>
      <c r="AG29" s="38"/>
      <c r="AH29" s="38">
        <f t="shared" si="47"/>
        <v>13.59904</v>
      </c>
      <c r="AI29" s="36">
        <f t="shared" si="48"/>
        <v>44.98144</v>
      </c>
      <c r="AJ29" s="40">
        <f t="shared" si="49"/>
        <v>245.778235592258</v>
      </c>
      <c r="AK29" s="41">
        <f t="shared" si="50"/>
        <v>0.939806651851707</v>
      </c>
      <c r="AL29" s="40">
        <f t="shared" si="51"/>
        <v>15.7417644077416</v>
      </c>
      <c r="AM29" s="42">
        <f t="shared" si="52"/>
        <v>0.0601933481482932</v>
      </c>
      <c r="AN29" s="40">
        <f t="shared" si="53"/>
        <v>2.52354485101127</v>
      </c>
    </row>
    <row r="30" s="3" customFormat="1" spans="1:40">
      <c r="A30" s="25">
        <v>46244</v>
      </c>
      <c r="B30" s="25" t="str">
        <v>NORMAL</v>
      </c>
      <c r="C30" s="25" t="str">
        <v>MMM1H28</v>
      </c>
      <c r="D30" s="43" t="str">
        <v>JOI</v>
      </c>
      <c r="E30" s="43" t="str">
        <v>SC</v>
      </c>
      <c r="F30" s="43" t="str">
        <v>DCC</v>
      </c>
      <c r="G30" s="43" t="str">
        <v>MG</v>
      </c>
      <c r="H30" s="43" t="str">
        <v>BRASCOLA LTDA -</v>
      </c>
      <c r="I30" s="201" t="str">
        <v>000330569</v>
      </c>
      <c r="J30" s="44">
        <v>8021.33</v>
      </c>
      <c r="K30" s="27">
        <v>1</v>
      </c>
      <c r="L30" s="28">
        <v>361.88</v>
      </c>
      <c r="M30" s="45">
        <v>683.1</v>
      </c>
      <c r="N30" s="30">
        <v>0.12</v>
      </c>
      <c r="O30" s="31">
        <v>136.62</v>
      </c>
      <c r="P30" s="32">
        <f t="shared" si="0"/>
        <v>123.0392</v>
      </c>
      <c r="Q30" s="32">
        <f t="shared" si="55"/>
        <v>65.1384</v>
      </c>
      <c r="R30" s="33"/>
      <c r="S30" s="33"/>
      <c r="T30" s="34">
        <v>239.09</v>
      </c>
      <c r="U30" s="35">
        <f t="shared" si="19"/>
        <v>0.350007319572537</v>
      </c>
      <c r="V30" s="36">
        <f t="shared" si="54"/>
        <v>563.8876</v>
      </c>
      <c r="W30" s="37">
        <f t="shared" si="39"/>
        <v>0.82548323817889</v>
      </c>
      <c r="X30" s="38">
        <f>(L30*'RESULTADO DIRETO'!N$27)/6*3</f>
        <v>37.8276079008345</v>
      </c>
      <c r="Y30" s="37">
        <f t="shared" si="40"/>
        <v>0.0553763839859969</v>
      </c>
      <c r="Z30" s="38">
        <f>(L30*'RESULTADO DIRETO'!N$15)/6*3</f>
        <v>34.4558635637321</v>
      </c>
      <c r="AA30" s="37">
        <f t="shared" si="41"/>
        <v>0.0504404385356933</v>
      </c>
      <c r="AB30" s="38">
        <f t="shared" si="42"/>
        <v>0.8613304154</v>
      </c>
      <c r="AC30" s="38">
        <f t="shared" si="43"/>
        <v>0.8613304154</v>
      </c>
      <c r="AD30" s="36">
        <f t="shared" si="44"/>
        <v>637.893732295366</v>
      </c>
      <c r="AE30" s="39">
        <f t="shared" si="45"/>
        <v>0.933821888882106</v>
      </c>
      <c r="AF30" s="38">
        <f t="shared" si="46"/>
        <v>81.972</v>
      </c>
      <c r="AG30" s="38"/>
      <c r="AH30" s="38">
        <f t="shared" si="47"/>
        <v>35.5212</v>
      </c>
      <c r="AI30" s="36">
        <f t="shared" si="48"/>
        <v>117.4932</v>
      </c>
      <c r="AJ30" s="40">
        <f t="shared" si="49"/>
        <v>755.386932295366</v>
      </c>
      <c r="AK30" s="41">
        <f t="shared" si="50"/>
        <v>1.10582188888211</v>
      </c>
      <c r="AL30" s="40">
        <f t="shared" si="51"/>
        <v>-72.2869322953665</v>
      </c>
      <c r="AM30" s="42">
        <f t="shared" si="52"/>
        <v>-0.105821888882106</v>
      </c>
      <c r="AN30" s="40">
        <f t="shared" si="53"/>
        <v>1.88764231236874</v>
      </c>
    </row>
    <row r="31" s="3" customFormat="1" spans="1:40">
      <c r="A31" s="25">
        <v>46244</v>
      </c>
      <c r="B31" s="25" t="str">
        <v>NORMAL</v>
      </c>
      <c r="C31" s="25" t="str">
        <v>MMM1H28</v>
      </c>
      <c r="D31" s="43" t="str">
        <v>JOI</v>
      </c>
      <c r="E31" s="43" t="str">
        <v>SC</v>
      </c>
      <c r="F31" s="43" t="str">
        <v>DCC</v>
      </c>
      <c r="G31" s="43" t="str">
        <v>MG</v>
      </c>
      <c r="H31" s="43" t="str">
        <v>BRASCOLA LTDA -</v>
      </c>
      <c r="I31" s="201" t="str">
        <v>000330578</v>
      </c>
      <c r="J31" s="44">
        <v>1534.86</v>
      </c>
      <c r="K31" s="27">
        <v>8</v>
      </c>
      <c r="L31" s="28">
        <v>55.376</v>
      </c>
      <c r="M31" s="45">
        <v>228.9</v>
      </c>
      <c r="N31" s="30">
        <v>0.12</v>
      </c>
      <c r="O31" s="31">
        <v>45.78</v>
      </c>
      <c r="P31" s="32">
        <f t="shared" si="0"/>
        <v>18.82784</v>
      </c>
      <c r="Q31" s="32">
        <f t="shared" si="55"/>
        <v>9.96768</v>
      </c>
      <c r="R31" s="33"/>
      <c r="S31" s="33"/>
      <c r="T31" s="34">
        <v>80.12</v>
      </c>
      <c r="U31" s="35">
        <f t="shared" si="19"/>
        <v>0.350021843599825</v>
      </c>
      <c r="V31" s="36">
        <f t="shared" si="54"/>
        <v>154.69552</v>
      </c>
      <c r="W31" s="37">
        <f t="shared" si="39"/>
        <v>0.675821406727829</v>
      </c>
      <c r="X31" s="38">
        <f>(L31*'RESULTADO DIRETO'!N$27)/6*3</f>
        <v>5.7884978863618</v>
      </c>
      <c r="Y31" s="37">
        <f t="shared" si="40"/>
        <v>0.0252883262837999</v>
      </c>
      <c r="Z31" s="38">
        <f>(L31*'RESULTADO DIRETO'!N$15)/6*3</f>
        <v>5.27254311016146</v>
      </c>
      <c r="AA31" s="37">
        <f t="shared" si="41"/>
        <v>0.0230342643519505</v>
      </c>
      <c r="AB31" s="38">
        <f t="shared" si="42"/>
        <v>0.1648132668</v>
      </c>
      <c r="AC31" s="38">
        <f t="shared" si="43"/>
        <v>0.1648132668</v>
      </c>
      <c r="AD31" s="36">
        <f t="shared" si="44"/>
        <v>166.086187530123</v>
      </c>
      <c r="AE31" s="39">
        <f t="shared" si="45"/>
        <v>0.725584043381928</v>
      </c>
      <c r="AF31" s="38">
        <f t="shared" si="46"/>
        <v>27.468</v>
      </c>
      <c r="AG31" s="38"/>
      <c r="AH31" s="38">
        <f t="shared" si="47"/>
        <v>11.9028</v>
      </c>
      <c r="AI31" s="36">
        <f t="shared" si="48"/>
        <v>39.3708</v>
      </c>
      <c r="AJ31" s="40">
        <f t="shared" si="49"/>
        <v>205.456987530123</v>
      </c>
      <c r="AK31" s="41">
        <f t="shared" si="50"/>
        <v>0.897584043381928</v>
      </c>
      <c r="AL31" s="40">
        <f t="shared" si="51"/>
        <v>23.4430124698767</v>
      </c>
      <c r="AM31" s="42">
        <f t="shared" si="52"/>
        <v>0.102415956618072</v>
      </c>
      <c r="AN31" s="40">
        <f t="shared" si="53"/>
        <v>4.13355966483675</v>
      </c>
    </row>
    <row r="32" s="3" customFormat="1" spans="1:40">
      <c r="A32" s="25">
        <v>46244</v>
      </c>
      <c r="B32" s="25" t="str">
        <v>NORMAL</v>
      </c>
      <c r="C32" s="25" t="str">
        <v>MMM1H28</v>
      </c>
      <c r="D32" s="43" t="str">
        <v>JOI</v>
      </c>
      <c r="E32" s="43" t="str">
        <v>SC</v>
      </c>
      <c r="F32" s="43" t="str">
        <v>BHZ</v>
      </c>
      <c r="G32" s="43" t="str">
        <v>MG</v>
      </c>
      <c r="H32" s="43" t="str">
        <v>BRASCOLA LTDA -</v>
      </c>
      <c r="I32" s="201" t="str">
        <v>000330638</v>
      </c>
      <c r="J32" s="44">
        <v>2198.63</v>
      </c>
      <c r="K32" s="27">
        <v>18</v>
      </c>
      <c r="L32" s="28">
        <v>103.176</v>
      </c>
      <c r="M32" s="45">
        <v>234.68</v>
      </c>
      <c r="N32" s="30">
        <v>0.12</v>
      </c>
      <c r="O32" s="31">
        <v>46.94</v>
      </c>
      <c r="P32" s="32">
        <f t="shared" si="0"/>
        <v>35.07984</v>
      </c>
      <c r="Q32" s="46">
        <f t="shared" si="55"/>
        <v>18.57168</v>
      </c>
      <c r="R32" s="46">
        <f t="shared" si="56"/>
        <v>14.44464</v>
      </c>
      <c r="S32" s="33"/>
      <c r="T32" s="47">
        <v>0</v>
      </c>
      <c r="U32" s="35">
        <f t="shared" ref="U32:U53" si="57">T32/M32</f>
        <v>0</v>
      </c>
      <c r="V32" s="36">
        <f t="shared" si="54"/>
        <v>115.03616</v>
      </c>
      <c r="W32" s="37">
        <f t="shared" ref="W32:W37" si="58">V32/M32</f>
        <v>0.490183057780808</v>
      </c>
      <c r="X32" s="38">
        <f>(L32*'RESULTADO DIRETO'!N$27)/6*4</f>
        <v>14.3800938534929</v>
      </c>
      <c r="Y32" s="37">
        <f t="shared" ref="Y32:Y37" si="59">X32/M32</f>
        <v>0.0612753274820729</v>
      </c>
      <c r="Z32" s="38">
        <f>(L32*'RESULTADO DIRETO'!N$15)/6*4</f>
        <v>13.0983315981416</v>
      </c>
      <c r="AA32" s="37">
        <f t="shared" ref="AA32:AA37" si="60">Z32/M32</f>
        <v>0.0558135827430614</v>
      </c>
      <c r="AB32" s="38">
        <f t="shared" ref="AB32:AB37" si="61">(J32*0.01%)*7.38%+(J32*0.01%)</f>
        <v>0.2360888894</v>
      </c>
      <c r="AC32" s="38">
        <f t="shared" ref="AC32:AC37" si="62">(J32*0.01%)*7.38%+(J32*0.01%)</f>
        <v>0.2360888894</v>
      </c>
      <c r="AD32" s="36">
        <f t="shared" ref="AD32:AD37" si="63">V32+X32+Z32+AB32+AC32</f>
        <v>142.986763230435</v>
      </c>
      <c r="AE32" s="39">
        <f t="shared" ref="AE32:AE37" si="64">AD32/M32</f>
        <v>0.609283974903846</v>
      </c>
      <c r="AF32" s="38">
        <f t="shared" ref="AF32:AF37" si="65">M32*N32</f>
        <v>28.1616</v>
      </c>
      <c r="AG32" s="38"/>
      <c r="AH32" s="38">
        <f t="shared" ref="AH32:AH37" si="66">M32*0.052</f>
        <v>12.20336</v>
      </c>
      <c r="AI32" s="36">
        <f t="shared" ref="AI32:AI37" si="67">AF32+AG32+AH32</f>
        <v>40.36496</v>
      </c>
      <c r="AJ32" s="40">
        <f t="shared" ref="AJ32:AJ37" si="68">AD32+AI32</f>
        <v>183.351723230435</v>
      </c>
      <c r="AK32" s="41">
        <f t="shared" ref="AK32:AK37" si="69">AJ32/M32</f>
        <v>0.781283974903846</v>
      </c>
      <c r="AL32" s="40">
        <f t="shared" ref="AL32:AL37" si="70">M32-AJ32</f>
        <v>51.3282767695655</v>
      </c>
      <c r="AM32" s="42">
        <f t="shared" ref="AM32:AM37" si="71">AL32/M32</f>
        <v>0.218716025096154</v>
      </c>
      <c r="AN32" s="40">
        <f t="shared" ref="AN32:AN37" si="72">M32/L32</f>
        <v>2.27455997518803</v>
      </c>
    </row>
    <row r="33" s="3" customFormat="1" spans="1:40">
      <c r="A33" s="25">
        <v>46245</v>
      </c>
      <c r="B33" s="25" t="str">
        <v>NORMAL</v>
      </c>
      <c r="C33" s="25" t="str">
        <v>MMM1H28</v>
      </c>
      <c r="D33" s="43" t="str">
        <v>JOI</v>
      </c>
      <c r="E33" s="43" t="str">
        <v>SC</v>
      </c>
      <c r="F33" s="43" t="str">
        <v>VEA</v>
      </c>
      <c r="G33" s="43" t="str">
        <v>MG</v>
      </c>
      <c r="H33" s="43" t="str">
        <v>BRASCOLA LTDA -</v>
      </c>
      <c r="I33" s="201" t="str">
        <v>000330671</v>
      </c>
      <c r="J33" s="44">
        <v>8285.41</v>
      </c>
      <c r="K33" s="27">
        <v>1</v>
      </c>
      <c r="L33" s="28">
        <v>411.044</v>
      </c>
      <c r="M33" s="45">
        <v>889.57</v>
      </c>
      <c r="N33" s="30">
        <v>0.12</v>
      </c>
      <c r="O33" s="31">
        <v>177.91</v>
      </c>
      <c r="P33" s="32">
        <f t="shared" si="0"/>
        <v>139.75496</v>
      </c>
      <c r="Q33" s="48">
        <f t="shared" si="55"/>
        <v>73.98792</v>
      </c>
      <c r="R33" s="49">
        <f>L33*0.06</f>
        <v>24.66264</v>
      </c>
      <c r="S33" s="33"/>
      <c r="T33" s="34">
        <v>266.87</v>
      </c>
      <c r="U33" s="35">
        <f t="shared" si="57"/>
        <v>0.299998875861371</v>
      </c>
      <c r="V33" s="36">
        <f t="shared" si="54"/>
        <v>683.18552</v>
      </c>
      <c r="W33" s="37">
        <f t="shared" si="58"/>
        <v>0.767995233652214</v>
      </c>
      <c r="X33" s="38">
        <f>(L33*'RESULTADO DIRETO'!N$27)/6*4</f>
        <v>57.2890138977584</v>
      </c>
      <c r="Y33" s="37">
        <f t="shared" si="59"/>
        <v>0.0644007935269382</v>
      </c>
      <c r="Z33" s="38">
        <f>(L33*'RESULTADO DIRETO'!N$15)/6*4</f>
        <v>52.1825871658771</v>
      </c>
      <c r="AA33" s="37">
        <f t="shared" si="60"/>
        <v>0.0586604619826175</v>
      </c>
      <c r="AB33" s="38">
        <f t="shared" si="61"/>
        <v>0.8896873258</v>
      </c>
      <c r="AC33" s="38">
        <f t="shared" si="62"/>
        <v>0.8896873258</v>
      </c>
      <c r="AD33" s="36">
        <f t="shared" si="63"/>
        <v>794.436495715235</v>
      </c>
      <c r="AE33" s="39">
        <f t="shared" si="64"/>
        <v>0.893056752942697</v>
      </c>
      <c r="AF33" s="38">
        <f t="shared" si="65"/>
        <v>106.7484</v>
      </c>
      <c r="AG33" s="38"/>
      <c r="AH33" s="38">
        <f t="shared" si="66"/>
        <v>46.25764</v>
      </c>
      <c r="AI33" s="36">
        <f t="shared" si="67"/>
        <v>153.00604</v>
      </c>
      <c r="AJ33" s="40">
        <f t="shared" si="68"/>
        <v>947.442535715235</v>
      </c>
      <c r="AK33" s="41">
        <f t="shared" si="69"/>
        <v>1.0650567529427</v>
      </c>
      <c r="AL33" s="40">
        <f t="shared" si="70"/>
        <v>-57.8725357152354</v>
      </c>
      <c r="AM33" s="42">
        <f t="shared" si="71"/>
        <v>-0.0650567529426974</v>
      </c>
      <c r="AN33" s="40">
        <f t="shared" si="72"/>
        <v>2.16417220540867</v>
      </c>
    </row>
    <row r="34" s="3" customFormat="1" spans="1:40">
      <c r="A34" s="25">
        <v>46245</v>
      </c>
      <c r="B34" s="25" t="str">
        <v>NORMAL</v>
      </c>
      <c r="C34" s="25" t="str">
        <v>MMM1H28</v>
      </c>
      <c r="D34" s="43" t="str">
        <v>JOI</v>
      </c>
      <c r="E34" s="43" t="str">
        <v>SC</v>
      </c>
      <c r="F34" s="43" t="str">
        <v>SET</v>
      </c>
      <c r="G34" s="43" t="str">
        <v>MG</v>
      </c>
      <c r="H34" s="43" t="str">
        <v>BRASCOLA LTDA -</v>
      </c>
      <c r="I34" s="201" t="str">
        <v>000330687</v>
      </c>
      <c r="J34" s="44">
        <v>15746.58</v>
      </c>
      <c r="K34" s="27">
        <v>2</v>
      </c>
      <c r="L34" s="28">
        <v>829</v>
      </c>
      <c r="M34" s="45">
        <v>1345.16</v>
      </c>
      <c r="N34" s="30">
        <v>0.12</v>
      </c>
      <c r="O34" s="31">
        <v>269.03</v>
      </c>
      <c r="P34" s="32">
        <f t="shared" si="0"/>
        <v>281.86</v>
      </c>
      <c r="Q34" s="48">
        <f t="shared" si="55"/>
        <v>149.22</v>
      </c>
      <c r="R34" s="49">
        <f>L34*0.06</f>
        <v>49.74</v>
      </c>
      <c r="S34" s="33"/>
      <c r="T34" s="49">
        <v>0</v>
      </c>
      <c r="U34" s="35">
        <f t="shared" si="57"/>
        <v>0</v>
      </c>
      <c r="V34" s="36">
        <f t="shared" si="54"/>
        <v>749.85</v>
      </c>
      <c r="W34" s="37">
        <f t="shared" si="58"/>
        <v>0.557442980760653</v>
      </c>
      <c r="X34" s="38">
        <f>(L34*'RESULTADO DIRETO'!N$27)/6*4</f>
        <v>115.54138369917</v>
      </c>
      <c r="Y34" s="37">
        <f t="shared" si="59"/>
        <v>0.0858941566052887</v>
      </c>
      <c r="Z34" s="38">
        <f>(L34*'RESULTADO DIRETO'!N$15)/6*4</f>
        <v>105.242662003367</v>
      </c>
      <c r="AA34" s="37">
        <f t="shared" si="60"/>
        <v>0.0782380252188344</v>
      </c>
      <c r="AB34" s="38">
        <f t="shared" si="61"/>
        <v>1.6908677604</v>
      </c>
      <c r="AC34" s="38">
        <f t="shared" si="62"/>
        <v>1.6908677604</v>
      </c>
      <c r="AD34" s="36">
        <f t="shared" si="63"/>
        <v>974.015781223338</v>
      </c>
      <c r="AE34" s="39">
        <f t="shared" si="64"/>
        <v>0.724089165023743</v>
      </c>
      <c r="AF34" s="38">
        <f t="shared" si="65"/>
        <v>161.4192</v>
      </c>
      <c r="AG34" s="38"/>
      <c r="AH34" s="38">
        <f t="shared" si="66"/>
        <v>69.94832</v>
      </c>
      <c r="AI34" s="36">
        <f t="shared" si="67"/>
        <v>231.36752</v>
      </c>
      <c r="AJ34" s="40">
        <f t="shared" si="68"/>
        <v>1205.38330122334</v>
      </c>
      <c r="AK34" s="41">
        <f t="shared" si="69"/>
        <v>0.896089165023743</v>
      </c>
      <c r="AL34" s="40">
        <f t="shared" si="70"/>
        <v>139.776698776662</v>
      </c>
      <c r="AM34" s="42">
        <f t="shared" si="71"/>
        <v>0.103910834976257</v>
      </c>
      <c r="AN34" s="40">
        <f t="shared" si="72"/>
        <v>1.62262967430639</v>
      </c>
    </row>
    <row r="35" s="3" customFormat="1" spans="1:40">
      <c r="A35" s="25">
        <v>46245</v>
      </c>
      <c r="B35" s="25" t="str">
        <v>NORMAL</v>
      </c>
      <c r="C35" s="25" t="str">
        <v>MMM1H28</v>
      </c>
      <c r="D35" s="43" t="str">
        <v>JOI</v>
      </c>
      <c r="E35" s="43" t="str">
        <v>SC</v>
      </c>
      <c r="F35" s="43" t="str">
        <v>DCC</v>
      </c>
      <c r="G35" s="43" t="str">
        <v>MG</v>
      </c>
      <c r="H35" s="43" t="str">
        <v>BRASCOLA LTDA -</v>
      </c>
      <c r="I35" s="201" t="str">
        <v>000330688</v>
      </c>
      <c r="J35" s="44">
        <v>3360</v>
      </c>
      <c r="K35" s="27">
        <v>12</v>
      </c>
      <c r="L35" s="28">
        <v>246</v>
      </c>
      <c r="M35" s="45">
        <v>479.19</v>
      </c>
      <c r="N35" s="30">
        <v>0.12</v>
      </c>
      <c r="O35" s="31">
        <v>95.84</v>
      </c>
      <c r="P35" s="32">
        <f t="shared" si="0"/>
        <v>83.64</v>
      </c>
      <c r="Q35" s="32">
        <f t="shared" si="55"/>
        <v>44.28</v>
      </c>
      <c r="R35" s="33"/>
      <c r="S35" s="33"/>
      <c r="T35" s="34">
        <v>167.72</v>
      </c>
      <c r="U35" s="35">
        <f t="shared" si="57"/>
        <v>0.350007303992153</v>
      </c>
      <c r="V35" s="36">
        <f t="shared" si="54"/>
        <v>391.48</v>
      </c>
      <c r="W35" s="37">
        <f t="shared" si="58"/>
        <v>0.816961956635155</v>
      </c>
      <c r="X35" s="38">
        <f>(L35*'RESULTADO DIRETO'!N$27)/6*3</f>
        <v>25.7145781574148</v>
      </c>
      <c r="Y35" s="37">
        <f t="shared" si="59"/>
        <v>0.0536625934544019</v>
      </c>
      <c r="Z35" s="38">
        <f>(L35*'RESULTADO DIRETO'!N$15)/6*3</f>
        <v>23.4225224844647</v>
      </c>
      <c r="AA35" s="37">
        <f t="shared" si="60"/>
        <v>0.0488794058399899</v>
      </c>
      <c r="AB35" s="38">
        <f t="shared" si="61"/>
        <v>0.3607968</v>
      </c>
      <c r="AC35" s="38">
        <f t="shared" si="62"/>
        <v>0.3607968</v>
      </c>
      <c r="AD35" s="36">
        <f t="shared" si="63"/>
        <v>441.33869424188</v>
      </c>
      <c r="AE35" s="39">
        <f t="shared" si="64"/>
        <v>0.921009817070222</v>
      </c>
      <c r="AF35" s="38">
        <f t="shared" si="65"/>
        <v>57.5028</v>
      </c>
      <c r="AG35" s="38"/>
      <c r="AH35" s="38">
        <f t="shared" si="66"/>
        <v>24.91788</v>
      </c>
      <c r="AI35" s="36">
        <f t="shared" si="67"/>
        <v>82.42068</v>
      </c>
      <c r="AJ35" s="40">
        <f t="shared" si="68"/>
        <v>523.75937424188</v>
      </c>
      <c r="AK35" s="41">
        <f t="shared" si="69"/>
        <v>1.09300981707022</v>
      </c>
      <c r="AL35" s="40">
        <f t="shared" si="70"/>
        <v>-44.5693742418796</v>
      </c>
      <c r="AM35" s="42">
        <f t="shared" si="71"/>
        <v>-0.0930098170702219</v>
      </c>
      <c r="AN35" s="40">
        <f t="shared" si="72"/>
        <v>1.94792682926829</v>
      </c>
    </row>
    <row r="36" s="3" customFormat="1" spans="1:40">
      <c r="A36" s="25">
        <v>46245</v>
      </c>
      <c r="B36" s="25" t="str">
        <v>NORMAL</v>
      </c>
      <c r="C36" s="25" t="str">
        <v>MMM1H28</v>
      </c>
      <c r="D36" s="43" t="str">
        <v>JOI</v>
      </c>
      <c r="E36" s="43" t="str">
        <v>SC</v>
      </c>
      <c r="F36" s="43" t="str">
        <v>TRU</v>
      </c>
      <c r="G36" s="43" t="str">
        <v>MG</v>
      </c>
      <c r="H36" s="43" t="str">
        <v>BRASCOLA LTDA -</v>
      </c>
      <c r="I36" s="201" t="str">
        <v>000330709</v>
      </c>
      <c r="J36" s="44">
        <v>1624.13</v>
      </c>
      <c r="K36" s="27">
        <v>15</v>
      </c>
      <c r="L36" s="28">
        <v>43.3</v>
      </c>
      <c r="M36" s="45">
        <v>220.78</v>
      </c>
      <c r="N36" s="30">
        <v>0.12</v>
      </c>
      <c r="O36" s="31">
        <v>44.16</v>
      </c>
      <c r="P36" s="32">
        <f t="shared" si="0"/>
        <v>14.722</v>
      </c>
      <c r="Q36" s="33"/>
      <c r="R36" s="32">
        <f t="shared" ref="R36:R40" si="73">L36*0.09</f>
        <v>3.897</v>
      </c>
      <c r="S36" s="33"/>
      <c r="T36" s="34">
        <v>84.33</v>
      </c>
      <c r="U36" s="35">
        <f t="shared" si="57"/>
        <v>0.381963946009602</v>
      </c>
      <c r="V36" s="36">
        <f t="shared" si="54"/>
        <v>147.109</v>
      </c>
      <c r="W36" s="37">
        <f t="shared" si="58"/>
        <v>0.666314883594528</v>
      </c>
      <c r="X36" s="38">
        <f>(L36*'RESULTADO DIRETO'!N$27)/6*3</f>
        <v>4.52618387892708</v>
      </c>
      <c r="Y36" s="37">
        <f t="shared" si="59"/>
        <v>0.0205008781543939</v>
      </c>
      <c r="Z36" s="38">
        <f>(L36*'RESULTADO DIRETO'!N$15)/6*3</f>
        <v>4.12274481128993</v>
      </c>
      <c r="AA36" s="37">
        <f t="shared" si="60"/>
        <v>0.0186735429445146</v>
      </c>
      <c r="AB36" s="38">
        <f t="shared" si="61"/>
        <v>0.1743990794</v>
      </c>
      <c r="AC36" s="38">
        <f t="shared" si="62"/>
        <v>0.1743990794</v>
      </c>
      <c r="AD36" s="36">
        <f t="shared" si="63"/>
        <v>156.106726849017</v>
      </c>
      <c r="AE36" s="39">
        <f t="shared" si="64"/>
        <v>0.70706914960149</v>
      </c>
      <c r="AF36" s="38">
        <f t="shared" si="65"/>
        <v>26.4936</v>
      </c>
      <c r="AG36" s="38"/>
      <c r="AH36" s="38">
        <f t="shared" si="66"/>
        <v>11.48056</v>
      </c>
      <c r="AI36" s="36">
        <f t="shared" si="67"/>
        <v>37.97416</v>
      </c>
      <c r="AJ36" s="40">
        <f t="shared" si="68"/>
        <v>194.080886849017</v>
      </c>
      <c r="AK36" s="41">
        <f t="shared" si="69"/>
        <v>0.87906914960149</v>
      </c>
      <c r="AL36" s="40">
        <f t="shared" si="70"/>
        <v>26.699113150983</v>
      </c>
      <c r="AM36" s="42">
        <f t="shared" si="71"/>
        <v>0.12093085039851</v>
      </c>
      <c r="AN36" s="40">
        <f t="shared" si="72"/>
        <v>5.09884526558892</v>
      </c>
    </row>
    <row r="37" s="3" customFormat="1" spans="1:40">
      <c r="A37" s="25">
        <v>46245</v>
      </c>
      <c r="B37" s="25" t="str">
        <v>NORMAL</v>
      </c>
      <c r="C37" s="25" t="str">
        <v>MMM1H28</v>
      </c>
      <c r="D37" s="43" t="str">
        <v>JOI</v>
      </c>
      <c r="E37" s="43" t="str">
        <v>SC</v>
      </c>
      <c r="F37" s="43" t="str">
        <v>BHZ</v>
      </c>
      <c r="G37" s="43" t="str">
        <v>MG</v>
      </c>
      <c r="H37" s="43" t="str">
        <v>BRASCOLA LTDA -</v>
      </c>
      <c r="I37" s="201" t="str">
        <v>000330713</v>
      </c>
      <c r="J37" s="44">
        <v>3029.58</v>
      </c>
      <c r="K37" s="27">
        <v>40</v>
      </c>
      <c r="L37" s="28">
        <v>72</v>
      </c>
      <c r="M37" s="45">
        <v>228.81</v>
      </c>
      <c r="N37" s="30">
        <v>0.12</v>
      </c>
      <c r="O37" s="31">
        <v>45.76</v>
      </c>
      <c r="P37" s="32">
        <f t="shared" si="0"/>
        <v>24.48</v>
      </c>
      <c r="Q37" s="46">
        <f t="shared" ref="Q37:Q42" si="74">L37*0.18</f>
        <v>12.96</v>
      </c>
      <c r="R37" s="46">
        <f t="shared" ref="R37:R41" si="75">L37*0.14</f>
        <v>10.08</v>
      </c>
      <c r="S37" s="33"/>
      <c r="T37" s="47">
        <v>0</v>
      </c>
      <c r="U37" s="35">
        <f t="shared" si="57"/>
        <v>0</v>
      </c>
      <c r="V37" s="36">
        <f t="shared" si="54"/>
        <v>93.28</v>
      </c>
      <c r="W37" s="37">
        <f t="shared" si="58"/>
        <v>0.407674489751322</v>
      </c>
      <c r="X37" s="38">
        <f>(L37*'RESULTADO DIRETO'!N$27)/6*4</f>
        <v>10.0349573297229</v>
      </c>
      <c r="Y37" s="37">
        <f t="shared" si="59"/>
        <v>0.0438571624042781</v>
      </c>
      <c r="Z37" s="38">
        <f>(L37*'RESULTADO DIRETO'!N$15)/6*4</f>
        <v>9.14049657930331</v>
      </c>
      <c r="AA37" s="37">
        <f t="shared" si="60"/>
        <v>0.0399479768336319</v>
      </c>
      <c r="AB37" s="38">
        <f t="shared" si="61"/>
        <v>0.3253163004</v>
      </c>
      <c r="AC37" s="38">
        <f t="shared" si="62"/>
        <v>0.3253163004</v>
      </c>
      <c r="AD37" s="36">
        <f t="shared" si="63"/>
        <v>113.106086509826</v>
      </c>
      <c r="AE37" s="39">
        <f t="shared" si="64"/>
        <v>0.49432317866276</v>
      </c>
      <c r="AF37" s="38">
        <f t="shared" si="65"/>
        <v>27.4572</v>
      </c>
      <c r="AG37" s="38"/>
      <c r="AH37" s="38">
        <f t="shared" si="66"/>
        <v>11.89812</v>
      </c>
      <c r="AI37" s="36">
        <f t="shared" si="67"/>
        <v>39.35532</v>
      </c>
      <c r="AJ37" s="40">
        <f t="shared" si="68"/>
        <v>152.461406509826</v>
      </c>
      <c r="AK37" s="41">
        <f t="shared" si="69"/>
        <v>0.66632317866276</v>
      </c>
      <c r="AL37" s="40">
        <f t="shared" si="70"/>
        <v>76.3485934901738</v>
      </c>
      <c r="AM37" s="42">
        <f t="shared" si="71"/>
        <v>0.33367682133724</v>
      </c>
      <c r="AN37" s="40">
        <f t="shared" si="72"/>
        <v>3.17791666666667</v>
      </c>
    </row>
    <row r="38" s="3" customFormat="1" spans="1:40">
      <c r="A38" s="25">
        <v>46246</v>
      </c>
      <c r="B38" s="25" t="str">
        <v>NORMAL</v>
      </c>
      <c r="C38" s="25" t="str">
        <v>MMM1H28</v>
      </c>
      <c r="D38" s="43" t="str">
        <v>JOI</v>
      </c>
      <c r="E38" s="43" t="str">
        <v>SC</v>
      </c>
      <c r="F38" s="43" t="str">
        <v>GRF</v>
      </c>
      <c r="G38" s="43" t="str">
        <v>MG</v>
      </c>
      <c r="H38" s="43" t="str">
        <v>BRASCOLA LTDA -</v>
      </c>
      <c r="I38" s="201" t="str">
        <v>000330841</v>
      </c>
      <c r="J38" s="44">
        <v>2891.44</v>
      </c>
      <c r="K38" s="27">
        <v>20</v>
      </c>
      <c r="L38" s="28">
        <v>90.28</v>
      </c>
      <c r="M38" s="45">
        <v>268.39</v>
      </c>
      <c r="N38" s="30">
        <v>0.12</v>
      </c>
      <c r="O38" s="31">
        <v>53.68</v>
      </c>
      <c r="P38" s="32">
        <f t="shared" si="0"/>
        <v>30.6952</v>
      </c>
      <c r="Q38" s="50">
        <v>0</v>
      </c>
      <c r="R38" s="32">
        <f t="shared" si="73"/>
        <v>8.1252</v>
      </c>
      <c r="S38" s="33"/>
      <c r="T38" s="34">
        <v>138.93</v>
      </c>
      <c r="U38" s="35">
        <f t="shared" si="57"/>
        <v>0.517642237043109</v>
      </c>
      <c r="V38" s="36">
        <f t="shared" ref="V38:V43" si="76">O38+P38+Q38+R38+S38+T38</f>
        <v>231.4304</v>
      </c>
      <c r="W38" s="37">
        <f t="shared" ref="W38:W43" si="77">V38/M38</f>
        <v>0.862291441558926</v>
      </c>
      <c r="X38" s="38">
        <f>(L38*'RESULTADO DIRETO'!N$27)/6*3</f>
        <v>9.43704112216021</v>
      </c>
      <c r="Y38" s="37">
        <f t="shared" ref="Y38:Y43" si="78">X38/M38</f>
        <v>0.0351616719034249</v>
      </c>
      <c r="Z38" s="38">
        <f>(L38*'RESULTADO DIRETO'!N$15)/6*3</f>
        <v>8.59587532478649</v>
      </c>
      <c r="AA38" s="37">
        <f t="shared" ref="AA38:AA43" si="79">Z38/M38</f>
        <v>0.0320275543976545</v>
      </c>
      <c r="AB38" s="38">
        <f t="shared" ref="AB38:AB43" si="80">(J38*0.01%)*7.38%+(J38*0.01%)</f>
        <v>0.3104828272</v>
      </c>
      <c r="AC38" s="38">
        <f t="shared" ref="AC38:AC43" si="81">(J38*0.01%)*7.38%+(J38*0.01%)</f>
        <v>0.3104828272</v>
      </c>
      <c r="AD38" s="36">
        <f t="shared" ref="AD38:AD43" si="82">V38+X38+Z38+AB38+AC38</f>
        <v>250.084282101347</v>
      </c>
      <c r="AE38" s="39">
        <f t="shared" ref="AE38:AE43" si="83">AD38/M38</f>
        <v>0.931794336977334</v>
      </c>
      <c r="AF38" s="38">
        <f t="shared" ref="AF38:AF43" si="84">M38*N38</f>
        <v>32.2068</v>
      </c>
      <c r="AG38" s="38"/>
      <c r="AH38" s="38">
        <f t="shared" ref="AH38:AH43" si="85">M38*0.052</f>
        <v>13.95628</v>
      </c>
      <c r="AI38" s="36">
        <f t="shared" ref="AI38:AI43" si="86">AF38+AG38+AH38</f>
        <v>46.16308</v>
      </c>
      <c r="AJ38" s="40">
        <f t="shared" ref="AJ38:AJ43" si="87">AD38+AI38</f>
        <v>296.247362101347</v>
      </c>
      <c r="AK38" s="41">
        <f t="shared" ref="AK38:AK43" si="88">AJ38/M38</f>
        <v>1.10379433697733</v>
      </c>
      <c r="AL38" s="40">
        <f t="shared" ref="AL38:AL43" si="89">M38-AJ38</f>
        <v>-27.8573621013467</v>
      </c>
      <c r="AM38" s="42">
        <f t="shared" ref="AM38:AM43" si="90">AL38/M38</f>
        <v>-0.103794336977334</v>
      </c>
      <c r="AN38" s="40">
        <f t="shared" ref="AN38:AN43" si="91">M38/L38</f>
        <v>2.97286220646876</v>
      </c>
    </row>
    <row r="39" s="3" customFormat="1" spans="1:40">
      <c r="A39" s="25">
        <v>46246</v>
      </c>
      <c r="B39" s="25" t="str">
        <v>NORMAL</v>
      </c>
      <c r="C39" s="25" t="str">
        <v>MMM1H28</v>
      </c>
      <c r="D39" s="43" t="str">
        <v>JOI</v>
      </c>
      <c r="E39" s="43" t="str">
        <v>SC</v>
      </c>
      <c r="F39" s="43" t="str">
        <v>BHZ</v>
      </c>
      <c r="G39" s="43" t="str">
        <v>MG</v>
      </c>
      <c r="H39" s="43" t="str">
        <v>BRASCOLA LTDA -</v>
      </c>
      <c r="I39" s="201" t="str">
        <v>000330818</v>
      </c>
      <c r="J39" s="44">
        <v>165.44</v>
      </c>
      <c r="K39" s="27">
        <v>1</v>
      </c>
      <c r="L39" s="28">
        <v>4.5</v>
      </c>
      <c r="M39" s="45">
        <v>128.5</v>
      </c>
      <c r="N39" s="30">
        <v>0.12</v>
      </c>
      <c r="O39" s="31">
        <v>25.7</v>
      </c>
      <c r="P39" s="32">
        <f t="shared" si="0"/>
        <v>1.53</v>
      </c>
      <c r="Q39" s="46">
        <f t="shared" si="74"/>
        <v>0.81</v>
      </c>
      <c r="R39" s="46">
        <f t="shared" si="75"/>
        <v>0.63</v>
      </c>
      <c r="S39" s="33"/>
      <c r="T39" s="47">
        <v>0</v>
      </c>
      <c r="U39" s="35">
        <f t="shared" si="57"/>
        <v>0</v>
      </c>
      <c r="V39" s="36">
        <f t="shared" si="76"/>
        <v>28.67</v>
      </c>
      <c r="W39" s="37">
        <f t="shared" si="77"/>
        <v>0.223112840466926</v>
      </c>
      <c r="X39" s="38">
        <f>(L39*'RESULTADO DIRETO'!N$27)/6*4</f>
        <v>0.627184833107679</v>
      </c>
      <c r="Y39" s="37">
        <f t="shared" si="78"/>
        <v>0.00488081582184964</v>
      </c>
      <c r="Z39" s="38">
        <f>(L39*'RESULTADO DIRETO'!N$15)/6*4</f>
        <v>0.571281036206457</v>
      </c>
      <c r="AA39" s="37">
        <f t="shared" si="79"/>
        <v>0.00444576681872729</v>
      </c>
      <c r="AB39" s="38">
        <f t="shared" si="80"/>
        <v>0.0177649472</v>
      </c>
      <c r="AC39" s="38">
        <f t="shared" si="81"/>
        <v>0.0177649472</v>
      </c>
      <c r="AD39" s="36">
        <f t="shared" si="82"/>
        <v>29.9039957637141</v>
      </c>
      <c r="AE39" s="39">
        <f t="shared" si="83"/>
        <v>0.232715920340188</v>
      </c>
      <c r="AF39" s="38">
        <f t="shared" si="84"/>
        <v>15.42</v>
      </c>
      <c r="AG39" s="38"/>
      <c r="AH39" s="38">
        <f t="shared" si="85"/>
        <v>6.682</v>
      </c>
      <c r="AI39" s="36">
        <f t="shared" si="86"/>
        <v>22.102</v>
      </c>
      <c r="AJ39" s="40">
        <f t="shared" si="87"/>
        <v>52.0059957637141</v>
      </c>
      <c r="AK39" s="41">
        <f t="shared" si="88"/>
        <v>0.404715920340188</v>
      </c>
      <c r="AL39" s="40">
        <f t="shared" si="89"/>
        <v>76.4940042362859</v>
      </c>
      <c r="AM39" s="42">
        <f t="shared" si="90"/>
        <v>0.595284079659812</v>
      </c>
      <c r="AN39" s="40">
        <f t="shared" si="91"/>
        <v>28.5555555555556</v>
      </c>
    </row>
    <row r="40" s="3" customFormat="1" spans="1:40">
      <c r="A40" s="25">
        <v>46247</v>
      </c>
      <c r="B40" s="25" t="str">
        <v>CORTESIA</v>
      </c>
      <c r="C40" s="25" t="str">
        <v>ARMAZEM</v>
      </c>
      <c r="D40" s="43" t="str">
        <v>JOI</v>
      </c>
      <c r="E40" s="43" t="str">
        <v>SC</v>
      </c>
      <c r="F40" s="43" t="str">
        <v>GRF</v>
      </c>
      <c r="G40" s="43" t="str">
        <v>MG</v>
      </c>
      <c r="H40" s="43" t="str">
        <v>BRASCOLA LTDA -</v>
      </c>
      <c r="I40" s="201" t="str">
        <v>000329459</v>
      </c>
      <c r="J40" s="44">
        <v>0.01</v>
      </c>
      <c r="K40" s="27">
        <v>1</v>
      </c>
      <c r="L40" s="28">
        <v>5</v>
      </c>
      <c r="M40" s="45">
        <v>0.01</v>
      </c>
      <c r="N40" s="30">
        <v>0.12</v>
      </c>
      <c r="O40" s="31">
        <v>0.01</v>
      </c>
      <c r="P40" s="32">
        <f t="shared" si="0"/>
        <v>1.7</v>
      </c>
      <c r="Q40" s="50">
        <v>0</v>
      </c>
      <c r="R40" s="32">
        <f t="shared" si="73"/>
        <v>0.45</v>
      </c>
      <c r="S40" s="33"/>
      <c r="T40" s="34">
        <v>20</v>
      </c>
      <c r="U40" s="35">
        <f t="shared" si="57"/>
        <v>2000</v>
      </c>
      <c r="V40" s="36">
        <f t="shared" si="76"/>
        <v>22.16</v>
      </c>
      <c r="W40" s="37">
        <f t="shared" si="77"/>
        <v>2216</v>
      </c>
      <c r="X40" s="38">
        <f>(L40*'RESULTADO DIRETO'!N$27)/6*3</f>
        <v>0.522654027589732</v>
      </c>
      <c r="Y40" s="37">
        <f t="shared" si="78"/>
        <v>52.2654027589732</v>
      </c>
      <c r="Z40" s="38">
        <f>(L40*'RESULTADO DIRETO'!N$15)/6*3</f>
        <v>0.476067530172048</v>
      </c>
      <c r="AA40" s="37">
        <f t="shared" si="79"/>
        <v>47.6067530172048</v>
      </c>
      <c r="AB40" s="38">
        <f t="shared" si="80"/>
        <v>1.0738e-6</v>
      </c>
      <c r="AC40" s="38">
        <f t="shared" si="81"/>
        <v>1.0738e-6</v>
      </c>
      <c r="AD40" s="36">
        <f t="shared" si="82"/>
        <v>23.1587237053618</v>
      </c>
      <c r="AE40" s="39">
        <f t="shared" si="83"/>
        <v>2315.87237053618</v>
      </c>
      <c r="AF40" s="38">
        <f t="shared" si="84"/>
        <v>0.0012</v>
      </c>
      <c r="AG40" s="38"/>
      <c r="AH40" s="38">
        <f t="shared" si="85"/>
        <v>0.00052</v>
      </c>
      <c r="AI40" s="36">
        <f t="shared" si="86"/>
        <v>0.00172</v>
      </c>
      <c r="AJ40" s="40">
        <f t="shared" si="87"/>
        <v>23.1604437053618</v>
      </c>
      <c r="AK40" s="41">
        <f t="shared" si="88"/>
        <v>2316.04437053618</v>
      </c>
      <c r="AL40" s="40">
        <f t="shared" si="89"/>
        <v>-23.1504437053618</v>
      </c>
      <c r="AM40" s="42">
        <f t="shared" si="90"/>
        <v>-2315.04437053618</v>
      </c>
      <c r="AN40" s="40">
        <f t="shared" si="91"/>
        <v>0.002</v>
      </c>
    </row>
    <row r="41" s="3" customFormat="1" spans="1:40">
      <c r="A41" s="25">
        <v>46247</v>
      </c>
      <c r="B41" s="25" t="str">
        <v>NORMAL</v>
      </c>
      <c r="C41" s="25" t="str">
        <v>MMM1H28</v>
      </c>
      <c r="D41" s="43" t="str">
        <v>JOI</v>
      </c>
      <c r="E41" s="43" t="str">
        <v>SC</v>
      </c>
      <c r="F41" s="43" t="str">
        <v>GVR</v>
      </c>
      <c r="G41" s="43" t="str">
        <v>MG</v>
      </c>
      <c r="H41" s="43" t="str">
        <v>BRASCOLA LTDA -</v>
      </c>
      <c r="I41" s="201" t="str">
        <v>000330958</v>
      </c>
      <c r="J41" s="44">
        <v>2212.44</v>
      </c>
      <c r="K41" s="27">
        <v>6</v>
      </c>
      <c r="L41" s="28">
        <v>90</v>
      </c>
      <c r="M41" s="45">
        <v>582.7</v>
      </c>
      <c r="N41" s="30">
        <v>0.12</v>
      </c>
      <c r="O41" s="31">
        <v>116.54</v>
      </c>
      <c r="P41" s="32">
        <f t="shared" si="0"/>
        <v>30.6</v>
      </c>
      <c r="Q41" s="46">
        <f t="shared" si="74"/>
        <v>16.2</v>
      </c>
      <c r="R41" s="46">
        <f t="shared" si="75"/>
        <v>12.6</v>
      </c>
      <c r="S41" s="33"/>
      <c r="T41" s="34">
        <v>508.45</v>
      </c>
      <c r="U41" s="35">
        <f t="shared" si="57"/>
        <v>0.872575939591556</v>
      </c>
      <c r="V41" s="36">
        <f t="shared" si="76"/>
        <v>684.39</v>
      </c>
      <c r="W41" s="37">
        <f t="shared" si="77"/>
        <v>1.17451518791831</v>
      </c>
      <c r="X41" s="38">
        <f>(L41*'RESULTADO DIRETO'!N$27)/6*4</f>
        <v>12.5436966621536</v>
      </c>
      <c r="Y41" s="37">
        <f t="shared" si="78"/>
        <v>0.0215268520030094</v>
      </c>
      <c r="Z41" s="38">
        <f>(L41*'RESULTADO DIRETO'!N$15)/6*4</f>
        <v>11.4256207241291</v>
      </c>
      <c r="AA41" s="37">
        <f t="shared" si="79"/>
        <v>0.0196080671428336</v>
      </c>
      <c r="AB41" s="38">
        <f t="shared" si="80"/>
        <v>0.2375718072</v>
      </c>
      <c r="AC41" s="38">
        <f t="shared" si="81"/>
        <v>0.2375718072</v>
      </c>
      <c r="AD41" s="36">
        <f t="shared" si="82"/>
        <v>708.834461000683</v>
      </c>
      <c r="AE41" s="39">
        <f t="shared" si="83"/>
        <v>1.21646552428468</v>
      </c>
      <c r="AF41" s="38">
        <f t="shared" si="84"/>
        <v>69.924</v>
      </c>
      <c r="AG41" s="38"/>
      <c r="AH41" s="38">
        <f t="shared" si="85"/>
        <v>30.3004</v>
      </c>
      <c r="AI41" s="36">
        <f t="shared" si="86"/>
        <v>100.2244</v>
      </c>
      <c r="AJ41" s="40">
        <f t="shared" si="87"/>
        <v>809.058861000683</v>
      </c>
      <c r="AK41" s="41">
        <f t="shared" si="88"/>
        <v>1.38846552428468</v>
      </c>
      <c r="AL41" s="40">
        <f t="shared" si="89"/>
        <v>-226.358861000683</v>
      </c>
      <c r="AM41" s="42">
        <f t="shared" si="90"/>
        <v>-0.388465524284679</v>
      </c>
      <c r="AN41" s="40">
        <f t="shared" si="91"/>
        <v>6.47444444444444</v>
      </c>
    </row>
    <row r="42" s="3" customFormat="1" spans="1:40">
      <c r="A42" s="25">
        <v>46251</v>
      </c>
      <c r="B42" s="25" t="str">
        <v>NORMAL</v>
      </c>
      <c r="C42" s="25" t="str">
        <v>MMM1H28</v>
      </c>
      <c r="D42" s="43" t="str">
        <v>JOI</v>
      </c>
      <c r="E42" s="43" t="str">
        <v>SC</v>
      </c>
      <c r="F42" s="43" t="str">
        <v>DCC</v>
      </c>
      <c r="G42" s="43" t="str">
        <v>MG</v>
      </c>
      <c r="H42" s="43" t="str">
        <v>BRASCOLA LTDA -</v>
      </c>
      <c r="I42" s="201" t="str">
        <v>000331060</v>
      </c>
      <c r="J42" s="44">
        <v>5891.09</v>
      </c>
      <c r="K42" s="27">
        <v>1</v>
      </c>
      <c r="L42" s="28">
        <v>207.77</v>
      </c>
      <c r="M42" s="45">
        <v>437.1</v>
      </c>
      <c r="N42" s="30">
        <v>0.12</v>
      </c>
      <c r="O42" s="31">
        <v>87.42</v>
      </c>
      <c r="P42" s="32">
        <f t="shared" si="0"/>
        <v>70.6418</v>
      </c>
      <c r="Q42" s="32">
        <f t="shared" si="74"/>
        <v>37.3986</v>
      </c>
      <c r="R42" s="33"/>
      <c r="S42" s="33"/>
      <c r="T42" s="34">
        <v>152.99</v>
      </c>
      <c r="U42" s="35">
        <f t="shared" si="57"/>
        <v>0.35001143902997</v>
      </c>
      <c r="V42" s="36">
        <f t="shared" si="76"/>
        <v>348.4504</v>
      </c>
      <c r="W42" s="37">
        <f t="shared" si="77"/>
        <v>0.797186913749714</v>
      </c>
      <c r="X42" s="38">
        <f>(L42*'RESULTADO DIRETO'!N$27)/6*3</f>
        <v>21.7183654624637</v>
      </c>
      <c r="Y42" s="37">
        <f t="shared" si="78"/>
        <v>0.0496874066860301</v>
      </c>
      <c r="Z42" s="38">
        <f>(L42*'RESULTADO DIRETO'!N$15)/6*3</f>
        <v>19.7825101487693</v>
      </c>
      <c r="AA42" s="37">
        <f t="shared" si="79"/>
        <v>0.045258545295743</v>
      </c>
      <c r="AB42" s="38">
        <f t="shared" si="80"/>
        <v>0.6325852442</v>
      </c>
      <c r="AC42" s="38">
        <f t="shared" si="81"/>
        <v>0.6325852442</v>
      </c>
      <c r="AD42" s="36">
        <f t="shared" si="82"/>
        <v>391.216446099633</v>
      </c>
      <c r="AE42" s="39">
        <f t="shared" si="83"/>
        <v>0.895027330358346</v>
      </c>
      <c r="AF42" s="38">
        <f t="shared" si="84"/>
        <v>52.452</v>
      </c>
      <c r="AG42" s="38"/>
      <c r="AH42" s="38">
        <f t="shared" si="85"/>
        <v>22.7292</v>
      </c>
      <c r="AI42" s="36">
        <f t="shared" si="86"/>
        <v>75.1812</v>
      </c>
      <c r="AJ42" s="40">
        <f t="shared" si="87"/>
        <v>466.397646099633</v>
      </c>
      <c r="AK42" s="41">
        <f t="shared" si="88"/>
        <v>1.06702733035835</v>
      </c>
      <c r="AL42" s="40">
        <f t="shared" si="89"/>
        <v>-29.297646099633</v>
      </c>
      <c r="AM42" s="42">
        <f t="shared" si="90"/>
        <v>-0.067027330358346</v>
      </c>
      <c r="AN42" s="40">
        <f t="shared" si="91"/>
        <v>2.10376859026808</v>
      </c>
    </row>
    <row r="43" s="3" customFormat="1" spans="1:40">
      <c r="A43" s="25">
        <v>46251</v>
      </c>
      <c r="B43" s="25" t="str">
        <v>NORMAL</v>
      </c>
      <c r="C43" s="25" t="str">
        <v>MMM1H28</v>
      </c>
      <c r="D43" s="43" t="str">
        <v>JOI</v>
      </c>
      <c r="E43" s="43" t="str">
        <v>SC</v>
      </c>
      <c r="F43" s="43" t="str">
        <v>VEA</v>
      </c>
      <c r="G43" s="43" t="str">
        <v>MG</v>
      </c>
      <c r="H43" s="43" t="str">
        <v>BRASCOLA LTDA -</v>
      </c>
      <c r="I43" s="201" t="str">
        <v>000331042</v>
      </c>
      <c r="J43" s="44">
        <v>2053.74</v>
      </c>
      <c r="K43" s="27">
        <v>18</v>
      </c>
      <c r="L43" s="28">
        <v>64.202</v>
      </c>
      <c r="M43" s="45">
        <v>249.74</v>
      </c>
      <c r="N43" s="30">
        <v>0.12</v>
      </c>
      <c r="O43" s="31">
        <v>49.95</v>
      </c>
      <c r="P43" s="32">
        <f t="shared" si="0"/>
        <v>21.82868</v>
      </c>
      <c r="Q43" s="48">
        <f t="shared" ref="Q43:Q48" si="92">L43*0.18</f>
        <v>11.55636</v>
      </c>
      <c r="R43" s="49">
        <f>L43*0.06</f>
        <v>3.85212</v>
      </c>
      <c r="S43" s="33"/>
      <c r="T43" s="34">
        <v>74.92</v>
      </c>
      <c r="U43" s="35">
        <f t="shared" si="57"/>
        <v>0.299991991671338</v>
      </c>
      <c r="V43" s="36">
        <f t="shared" ref="V43:V82" si="93">O43+P43+Q43+R43+S43+T43</f>
        <v>162.10716</v>
      </c>
      <c r="W43" s="37">
        <f t="shared" si="77"/>
        <v>0.64910370785617</v>
      </c>
      <c r="X43" s="38">
        <f>(L43*'RESULTADO DIRETO'!N$27)/6*4</f>
        <v>8.94811570115093</v>
      </c>
      <c r="Y43" s="37">
        <f t="shared" si="78"/>
        <v>0.0358297257193519</v>
      </c>
      <c r="Z43" s="38">
        <f>(L43*'RESULTADO DIRETO'!N$15)/6*4</f>
        <v>8.15053001922821</v>
      </c>
      <c r="AA43" s="37">
        <f t="shared" si="79"/>
        <v>0.032636061580957</v>
      </c>
      <c r="AB43" s="38">
        <f t="shared" si="80"/>
        <v>0.2205306012</v>
      </c>
      <c r="AC43" s="38">
        <f t="shared" si="81"/>
        <v>0.2205306012</v>
      </c>
      <c r="AD43" s="36">
        <f t="shared" si="82"/>
        <v>179.646866922779</v>
      </c>
      <c r="AE43" s="39">
        <f t="shared" si="83"/>
        <v>0.719335576690875</v>
      </c>
      <c r="AF43" s="38">
        <f t="shared" si="84"/>
        <v>29.9688</v>
      </c>
      <c r="AG43" s="38"/>
      <c r="AH43" s="38">
        <f t="shared" si="85"/>
        <v>12.98648</v>
      </c>
      <c r="AI43" s="36">
        <f t="shared" si="86"/>
        <v>42.95528</v>
      </c>
      <c r="AJ43" s="40">
        <f t="shared" si="87"/>
        <v>222.602146922779</v>
      </c>
      <c r="AK43" s="41">
        <f t="shared" si="88"/>
        <v>0.891335576690875</v>
      </c>
      <c r="AL43" s="40">
        <f t="shared" si="89"/>
        <v>27.1378530772208</v>
      </c>
      <c r="AM43" s="42">
        <f t="shared" si="90"/>
        <v>0.108664423309125</v>
      </c>
      <c r="AN43" s="40">
        <f t="shared" si="91"/>
        <v>3.88990997165197</v>
      </c>
    </row>
    <row r="44" s="3" customFormat="1" spans="1:40">
      <c r="A44" s="25">
        <v>46251</v>
      </c>
      <c r="B44" s="25" t="str">
        <v>NORMAL</v>
      </c>
      <c r="C44" s="25" t="str">
        <v>MMM1H28</v>
      </c>
      <c r="D44" s="43" t="str">
        <v>JOI</v>
      </c>
      <c r="E44" s="43" t="str">
        <v>SC</v>
      </c>
      <c r="F44" s="43" t="str">
        <v>GVR</v>
      </c>
      <c r="G44" s="43" t="str">
        <v>MG</v>
      </c>
      <c r="H44" s="43" t="str">
        <v>BRASCOLA LTDA -</v>
      </c>
      <c r="I44" s="201" t="str">
        <v>000331000</v>
      </c>
      <c r="J44" s="44">
        <v>2266.61</v>
      </c>
      <c r="K44" s="27">
        <v>21</v>
      </c>
      <c r="L44" s="28">
        <v>78.454</v>
      </c>
      <c r="M44" s="45">
        <v>264.83</v>
      </c>
      <c r="N44" s="30">
        <v>0.12</v>
      </c>
      <c r="O44" s="31">
        <v>52.97</v>
      </c>
      <c r="P44" s="32">
        <f t="shared" si="0"/>
        <v>26.67436</v>
      </c>
      <c r="Q44" s="46">
        <f t="shared" si="92"/>
        <v>14.12172</v>
      </c>
      <c r="R44" s="46">
        <f t="shared" ref="R44:R46" si="94">L44*0.14</f>
        <v>10.98356</v>
      </c>
      <c r="S44" s="33"/>
      <c r="T44" s="34">
        <v>97.19</v>
      </c>
      <c r="U44" s="35">
        <f t="shared" si="57"/>
        <v>0.366990144621078</v>
      </c>
      <c r="V44" s="36">
        <f t="shared" si="93"/>
        <v>201.93964</v>
      </c>
      <c r="W44" s="37">
        <f t="shared" ref="W44:W49" si="95">V44/M44</f>
        <v>0.762525544689046</v>
      </c>
      <c r="X44" s="38">
        <f>(L44*'RESULTADO DIRETO'!N$27)/6*4</f>
        <v>10.9344797548066</v>
      </c>
      <c r="Y44" s="37">
        <f t="shared" ref="Y44:Y49" si="96">X44/M44</f>
        <v>0.0412886748284055</v>
      </c>
      <c r="Z44" s="38">
        <f>(L44*'RESULTADO DIRETO'!N$15)/6*4</f>
        <v>9.95984053656475</v>
      </c>
      <c r="AA44" s="37">
        <f t="shared" ref="AA44:AA49" si="97">Z44/M44</f>
        <v>0.0376084300742542</v>
      </c>
      <c r="AB44" s="38">
        <f t="shared" ref="AB44:AB49" si="98">(J44*0.01%)*7.38%+(J44*0.01%)</f>
        <v>0.2433885818</v>
      </c>
      <c r="AC44" s="38">
        <f t="shared" ref="AC44:AC49" si="99">(J44*0.01%)*7.38%+(J44*0.01%)</f>
        <v>0.2433885818</v>
      </c>
      <c r="AD44" s="36">
        <f t="shared" ref="AD44:AD49" si="100">V44+X44+Z44+AB44+AC44</f>
        <v>223.320737454971</v>
      </c>
      <c r="AE44" s="39">
        <f t="shared" ref="AE44:AE49" si="101">AD44/M44</f>
        <v>0.843260723690561</v>
      </c>
      <c r="AF44" s="38">
        <f t="shared" ref="AF44:AF49" si="102">M44*N44</f>
        <v>31.7796</v>
      </c>
      <c r="AG44" s="38"/>
      <c r="AH44" s="38">
        <f t="shared" ref="AH44:AH49" si="103">M44*0.052</f>
        <v>13.77116</v>
      </c>
      <c r="AI44" s="36">
        <f t="shared" ref="AI44:AI49" si="104">AF44+AG44+AH44</f>
        <v>45.55076</v>
      </c>
      <c r="AJ44" s="40">
        <f t="shared" ref="AJ44:AJ49" si="105">AD44+AI44</f>
        <v>268.871497454971</v>
      </c>
      <c r="AK44" s="41">
        <f t="shared" ref="AK44:AK49" si="106">AJ44/M44</f>
        <v>1.01526072369056</v>
      </c>
      <c r="AL44" s="40">
        <f t="shared" ref="AL44:AL49" si="107">M44-AJ44</f>
        <v>-4.04149745497136</v>
      </c>
      <c r="AM44" s="42">
        <f t="shared" ref="AM44:AM49" si="108">AL44/M44</f>
        <v>-0.0152607236905614</v>
      </c>
      <c r="AN44" s="40">
        <f t="shared" ref="AN44:AN49" si="109">M44/L44</f>
        <v>3.37560863690825</v>
      </c>
    </row>
    <row r="45" s="3" customFormat="1" spans="1:40">
      <c r="A45" s="25">
        <v>46251</v>
      </c>
      <c r="B45" s="25" t="str">
        <v>NORMAL</v>
      </c>
      <c r="C45" s="25" t="str">
        <v>MMM1H28</v>
      </c>
      <c r="D45" s="43" t="str">
        <v>JOI</v>
      </c>
      <c r="E45" s="43" t="str">
        <v>SC</v>
      </c>
      <c r="F45" s="43" t="str">
        <v>BHZ</v>
      </c>
      <c r="G45" s="43" t="str">
        <v>MG</v>
      </c>
      <c r="H45" s="43" t="str">
        <v>BRASCOLA LTDA -</v>
      </c>
      <c r="I45" s="201" t="str">
        <v>000331020</v>
      </c>
      <c r="J45" s="44">
        <v>2106.3</v>
      </c>
      <c r="K45" s="27">
        <v>40</v>
      </c>
      <c r="L45" s="28">
        <v>126.4</v>
      </c>
      <c r="M45" s="45">
        <v>265.92</v>
      </c>
      <c r="N45" s="30">
        <v>0.12</v>
      </c>
      <c r="O45" s="31">
        <v>53.18</v>
      </c>
      <c r="P45" s="32">
        <f t="shared" si="0"/>
        <v>42.976</v>
      </c>
      <c r="Q45" s="46">
        <f t="shared" si="92"/>
        <v>22.752</v>
      </c>
      <c r="R45" s="46">
        <f t="shared" si="94"/>
        <v>17.696</v>
      </c>
      <c r="S45" s="33"/>
      <c r="T45" s="47">
        <v>0</v>
      </c>
      <c r="U45" s="35">
        <f t="shared" si="57"/>
        <v>0</v>
      </c>
      <c r="V45" s="36">
        <f t="shared" si="93"/>
        <v>136.604</v>
      </c>
      <c r="W45" s="37">
        <f t="shared" si="95"/>
        <v>0.513703369434416</v>
      </c>
      <c r="X45" s="38">
        <f>(L45*'RESULTADO DIRETO'!N$27)/6*4</f>
        <v>17.6169250899579</v>
      </c>
      <c r="Y45" s="37">
        <f t="shared" si="96"/>
        <v>0.0662489661926817</v>
      </c>
      <c r="Z45" s="38">
        <f>(L45*'RESULTADO DIRETO'!N$15)/6*4</f>
        <v>16.0466495503325</v>
      </c>
      <c r="AA45" s="37">
        <f t="shared" si="97"/>
        <v>0.0603438987301913</v>
      </c>
      <c r="AB45" s="38">
        <f t="shared" si="98"/>
        <v>0.226174494</v>
      </c>
      <c r="AC45" s="38">
        <f t="shared" si="99"/>
        <v>0.226174494</v>
      </c>
      <c r="AD45" s="36">
        <f t="shared" si="100"/>
        <v>170.71992362829</v>
      </c>
      <c r="AE45" s="39">
        <f t="shared" si="101"/>
        <v>0.641997306063065</v>
      </c>
      <c r="AF45" s="38">
        <f t="shared" si="102"/>
        <v>31.9104</v>
      </c>
      <c r="AG45" s="38"/>
      <c r="AH45" s="38">
        <f t="shared" si="103"/>
        <v>13.82784</v>
      </c>
      <c r="AI45" s="36">
        <f t="shared" si="104"/>
        <v>45.73824</v>
      </c>
      <c r="AJ45" s="40">
        <f t="shared" si="105"/>
        <v>216.45816362829</v>
      </c>
      <c r="AK45" s="41">
        <f t="shared" si="106"/>
        <v>0.813997306063065</v>
      </c>
      <c r="AL45" s="40">
        <f t="shared" si="107"/>
        <v>49.4618363717096</v>
      </c>
      <c r="AM45" s="42">
        <f t="shared" si="108"/>
        <v>0.186002693936935</v>
      </c>
      <c r="AN45" s="40">
        <f t="shared" si="109"/>
        <v>2.10379746835443</v>
      </c>
    </row>
    <row r="46" s="3" customFormat="1" spans="1:40">
      <c r="A46" s="25">
        <v>46253</v>
      </c>
      <c r="B46" s="25" t="str">
        <v>NORMAL</v>
      </c>
      <c r="C46" s="25" t="str">
        <v>MMM1H28</v>
      </c>
      <c r="D46" s="43" t="str">
        <v>JOI</v>
      </c>
      <c r="E46" s="43" t="str">
        <v>SC</v>
      </c>
      <c r="F46" s="43" t="str">
        <v>TAM</v>
      </c>
      <c r="G46" s="43" t="str">
        <v>MG</v>
      </c>
      <c r="H46" s="43" t="str">
        <v>BRASCOLA LTDA -</v>
      </c>
      <c r="I46" s="201" t="str">
        <v>000331196</v>
      </c>
      <c r="J46" s="44">
        <v>6233.01</v>
      </c>
      <c r="K46" s="27">
        <v>24</v>
      </c>
      <c r="L46" s="28">
        <v>51.888</v>
      </c>
      <c r="M46" s="45">
        <v>254.52</v>
      </c>
      <c r="N46" s="30">
        <v>0.12</v>
      </c>
      <c r="O46" s="31">
        <v>50.9</v>
      </c>
      <c r="P46" s="32">
        <f t="shared" si="0"/>
        <v>17.64192</v>
      </c>
      <c r="Q46" s="46">
        <f t="shared" si="92"/>
        <v>9.33984</v>
      </c>
      <c r="R46" s="46">
        <f t="shared" si="94"/>
        <v>7.26432</v>
      </c>
      <c r="S46" s="33"/>
      <c r="T46" s="34">
        <v>42</v>
      </c>
      <c r="U46" s="35">
        <f t="shared" si="57"/>
        <v>0.165016501650165</v>
      </c>
      <c r="V46" s="36">
        <f t="shared" si="93"/>
        <v>127.14608</v>
      </c>
      <c r="W46" s="37">
        <f t="shared" si="95"/>
        <v>0.499552412384096</v>
      </c>
      <c r="X46" s="38">
        <f>(L46*'RESULTADO DIRETO'!N$27)/6*4</f>
        <v>7.23185924895361</v>
      </c>
      <c r="Y46" s="37">
        <f t="shared" si="96"/>
        <v>0.0284137169925884</v>
      </c>
      <c r="Z46" s="38">
        <f>(L46*'RESULTADO DIRETO'!N$15)/6*4</f>
        <v>6.58725120148459</v>
      </c>
      <c r="AA46" s="37">
        <f t="shared" si="97"/>
        <v>0.0258810749704722</v>
      </c>
      <c r="AB46" s="38">
        <f t="shared" si="98"/>
        <v>0.6693006138</v>
      </c>
      <c r="AC46" s="38">
        <f t="shared" si="99"/>
        <v>0.6693006138</v>
      </c>
      <c r="AD46" s="36">
        <f t="shared" si="100"/>
        <v>142.303791678038</v>
      </c>
      <c r="AE46" s="39">
        <f t="shared" si="101"/>
        <v>0.559106520815803</v>
      </c>
      <c r="AF46" s="38">
        <f t="shared" si="102"/>
        <v>30.5424</v>
      </c>
      <c r="AG46" s="38"/>
      <c r="AH46" s="38">
        <f t="shared" si="103"/>
        <v>13.23504</v>
      </c>
      <c r="AI46" s="36">
        <f t="shared" si="104"/>
        <v>43.77744</v>
      </c>
      <c r="AJ46" s="40">
        <f t="shared" si="105"/>
        <v>186.081231678038</v>
      </c>
      <c r="AK46" s="41">
        <f t="shared" si="106"/>
        <v>0.731106520815803</v>
      </c>
      <c r="AL46" s="40">
        <f t="shared" si="107"/>
        <v>68.4387683219618</v>
      </c>
      <c r="AM46" s="42">
        <f t="shared" si="108"/>
        <v>0.268893479184197</v>
      </c>
      <c r="AN46" s="40">
        <f t="shared" si="109"/>
        <v>4.90518038852914</v>
      </c>
    </row>
    <row r="47" s="3" customFormat="1" spans="1:40">
      <c r="A47" s="25">
        <v>46253</v>
      </c>
      <c r="B47" s="25" t="str">
        <v>NORMAL</v>
      </c>
      <c r="C47" s="25" t="str">
        <v>MMM1H28</v>
      </c>
      <c r="D47" s="43" t="str">
        <v>JOI</v>
      </c>
      <c r="E47" s="43" t="str">
        <v>SC</v>
      </c>
      <c r="F47" s="43" t="str">
        <v>STJ</v>
      </c>
      <c r="G47" s="43" t="str">
        <v>MG</v>
      </c>
      <c r="H47" s="43" t="str">
        <v>BRASCOLA LTDA -</v>
      </c>
      <c r="I47" s="201" t="str">
        <v>000331180</v>
      </c>
      <c r="J47" s="44">
        <v>2269.38</v>
      </c>
      <c r="K47" s="27">
        <v>18</v>
      </c>
      <c r="L47" s="28">
        <v>79.274</v>
      </c>
      <c r="M47" s="45">
        <v>321.66</v>
      </c>
      <c r="N47" s="30">
        <v>0.12</v>
      </c>
      <c r="O47" s="31">
        <v>64.33</v>
      </c>
      <c r="P47" s="32">
        <f t="shared" si="0"/>
        <v>26.95316</v>
      </c>
      <c r="Q47" s="46">
        <f t="shared" si="92"/>
        <v>14.26932</v>
      </c>
      <c r="R47" s="46">
        <v>0</v>
      </c>
      <c r="S47" s="33"/>
      <c r="T47" s="34">
        <v>96</v>
      </c>
      <c r="U47" s="35">
        <f t="shared" si="57"/>
        <v>0.29845178138407</v>
      </c>
      <c r="V47" s="36">
        <f t="shared" si="93"/>
        <v>201.55248</v>
      </c>
      <c r="W47" s="37">
        <f t="shared" si="95"/>
        <v>0.626601007274762</v>
      </c>
      <c r="X47" s="38">
        <f>(L47*'RESULTADO DIRETO'!N$27)/6*4</f>
        <v>11.0487667688396</v>
      </c>
      <c r="Y47" s="37">
        <f t="shared" si="96"/>
        <v>0.0343492096276801</v>
      </c>
      <c r="Z47" s="38">
        <f>(L47*'RESULTADO DIRETO'!N$15)/6*4</f>
        <v>10.0639406364957</v>
      </c>
      <c r="AA47" s="37">
        <f t="shared" si="97"/>
        <v>0.0312875105281841</v>
      </c>
      <c r="AB47" s="38">
        <f t="shared" si="98"/>
        <v>0.2436860244</v>
      </c>
      <c r="AC47" s="38">
        <f t="shared" si="99"/>
        <v>0.2436860244</v>
      </c>
      <c r="AD47" s="36">
        <f t="shared" si="100"/>
        <v>223.152559454135</v>
      </c>
      <c r="AE47" s="39">
        <f t="shared" si="101"/>
        <v>0.693752905098972</v>
      </c>
      <c r="AF47" s="38">
        <f t="shared" si="102"/>
        <v>38.5992</v>
      </c>
      <c r="AG47" s="38"/>
      <c r="AH47" s="38">
        <f t="shared" si="103"/>
        <v>16.72632</v>
      </c>
      <c r="AI47" s="36">
        <f t="shared" si="104"/>
        <v>55.32552</v>
      </c>
      <c r="AJ47" s="40">
        <f t="shared" si="105"/>
        <v>278.478079454135</v>
      </c>
      <c r="AK47" s="41">
        <f t="shared" si="106"/>
        <v>0.865752905098972</v>
      </c>
      <c r="AL47" s="40">
        <f t="shared" si="107"/>
        <v>43.1819205458647</v>
      </c>
      <c r="AM47" s="42">
        <f t="shared" si="108"/>
        <v>0.134247094901028</v>
      </c>
      <c r="AN47" s="40">
        <f t="shared" si="109"/>
        <v>4.05757247016676</v>
      </c>
    </row>
    <row r="48" s="3" customFormat="1" spans="1:40">
      <c r="A48" s="25">
        <v>46253</v>
      </c>
      <c r="B48" s="25" t="str">
        <v>CARGA FECHADA</v>
      </c>
      <c r="C48" s="25" t="str">
        <v>MMM1H28</v>
      </c>
      <c r="D48" s="43" t="str">
        <v>JOI</v>
      </c>
      <c r="E48" s="43" t="str">
        <v>SC</v>
      </c>
      <c r="F48" s="43" t="str">
        <v>FEC</v>
      </c>
      <c r="G48" s="43" t="str">
        <v>MG</v>
      </c>
      <c r="H48" s="43" t="str">
        <v>BRASCOLA LTDA -</v>
      </c>
      <c r="I48" s="201" t="str">
        <v>000331080</v>
      </c>
      <c r="J48" s="44">
        <v>82426.88</v>
      </c>
      <c r="K48" s="27">
        <v>8</v>
      </c>
      <c r="L48" s="28">
        <v>3982.8</v>
      </c>
      <c r="M48" s="45">
        <v>6998.14</v>
      </c>
      <c r="N48" s="30">
        <v>0.12</v>
      </c>
      <c r="O48" s="31">
        <v>1399.63</v>
      </c>
      <c r="P48" s="32">
        <f t="shared" si="0"/>
        <v>1354.152</v>
      </c>
      <c r="Q48" s="46">
        <f t="shared" si="92"/>
        <v>716.904</v>
      </c>
      <c r="R48" s="46">
        <f t="shared" ref="R48:R53" si="110">L48*0.14</f>
        <v>557.592</v>
      </c>
      <c r="S48" s="33"/>
      <c r="T48" s="47">
        <v>0</v>
      </c>
      <c r="U48" s="35">
        <f t="shared" si="57"/>
        <v>0</v>
      </c>
      <c r="V48" s="36">
        <f t="shared" si="93"/>
        <v>4028.278</v>
      </c>
      <c r="W48" s="37">
        <f t="shared" si="95"/>
        <v>0.575621236499984</v>
      </c>
      <c r="X48" s="38">
        <f>(L48*'RESULTADO DIRETO'!N$27)/6*4</f>
        <v>555.100389622503</v>
      </c>
      <c r="Y48" s="37">
        <f t="shared" si="96"/>
        <v>0.0793211324184002</v>
      </c>
      <c r="Z48" s="38">
        <f>(L48*'RESULTADO DIRETO'!N$15)/6*4</f>
        <v>505.621802445128</v>
      </c>
      <c r="AA48" s="37">
        <f t="shared" si="97"/>
        <v>0.0722508841556654</v>
      </c>
      <c r="AB48" s="38">
        <f t="shared" si="98"/>
        <v>8.8509983744</v>
      </c>
      <c r="AC48" s="38">
        <f t="shared" si="99"/>
        <v>8.8509983744</v>
      </c>
      <c r="AD48" s="36">
        <f t="shared" si="100"/>
        <v>5106.70218881643</v>
      </c>
      <c r="AE48" s="39">
        <f t="shared" si="101"/>
        <v>0.729722781884391</v>
      </c>
      <c r="AF48" s="38">
        <f t="shared" si="102"/>
        <v>839.7768</v>
      </c>
      <c r="AG48" s="38"/>
      <c r="AH48" s="38">
        <f t="shared" si="103"/>
        <v>363.90328</v>
      </c>
      <c r="AI48" s="36">
        <f t="shared" si="104"/>
        <v>1203.68008</v>
      </c>
      <c r="AJ48" s="40">
        <f t="shared" si="105"/>
        <v>6310.38226881643</v>
      </c>
      <c r="AK48" s="41">
        <f t="shared" si="106"/>
        <v>0.901722781884391</v>
      </c>
      <c r="AL48" s="40">
        <f t="shared" si="107"/>
        <v>687.757731183569</v>
      </c>
      <c r="AM48" s="42">
        <f t="shared" si="108"/>
        <v>0.0982772181156092</v>
      </c>
      <c r="AN48" s="40">
        <f t="shared" si="109"/>
        <v>1.75709048910314</v>
      </c>
    </row>
    <row r="49" s="3" customFormat="1" spans="1:40">
      <c r="A49" s="25">
        <v>46253</v>
      </c>
      <c r="B49" s="25" t="str">
        <v>NORMAL</v>
      </c>
      <c r="C49" s="25" t="str">
        <v>MMM1H28</v>
      </c>
      <c r="D49" s="43" t="str">
        <v>JOI</v>
      </c>
      <c r="E49" s="43" t="str">
        <v>SC</v>
      </c>
      <c r="F49" s="43" t="str">
        <v>TRU</v>
      </c>
      <c r="G49" s="43" t="str">
        <v>MG</v>
      </c>
      <c r="H49" s="43" t="str">
        <v>BRASCOLA LTDA -</v>
      </c>
      <c r="I49" s="201" t="str">
        <v>000331125</v>
      </c>
      <c r="J49" s="44">
        <v>1577.76</v>
      </c>
      <c r="K49" s="27">
        <v>11</v>
      </c>
      <c r="L49" s="28">
        <v>65.55</v>
      </c>
      <c r="M49" s="45">
        <v>247.84</v>
      </c>
      <c r="N49" s="30">
        <v>0.12</v>
      </c>
      <c r="O49" s="31">
        <v>49.57</v>
      </c>
      <c r="P49" s="32">
        <f t="shared" si="0"/>
        <v>22.287</v>
      </c>
      <c r="Q49" s="33"/>
      <c r="R49" s="32">
        <f>L49*0.09</f>
        <v>5.8995</v>
      </c>
      <c r="S49" s="33"/>
      <c r="T49" s="34">
        <v>94.66</v>
      </c>
      <c r="U49" s="35">
        <f t="shared" si="57"/>
        <v>0.381939961265332</v>
      </c>
      <c r="V49" s="36">
        <f t="shared" si="93"/>
        <v>172.4165</v>
      </c>
      <c r="W49" s="37">
        <f t="shared" si="95"/>
        <v>0.69567664622337</v>
      </c>
      <c r="X49" s="38">
        <f>(L49*'RESULTADO DIRETO'!N$27)/6*3</f>
        <v>6.85199430170139</v>
      </c>
      <c r="Y49" s="37">
        <f t="shared" si="96"/>
        <v>0.0276468459558642</v>
      </c>
      <c r="Z49" s="38">
        <f>(L49*'RESULTADO DIRETO'!N$15)/6*3</f>
        <v>6.24124532055554</v>
      </c>
      <c r="AA49" s="37">
        <f t="shared" si="97"/>
        <v>0.0251825585884262</v>
      </c>
      <c r="AB49" s="38">
        <f t="shared" si="98"/>
        <v>0.1694198688</v>
      </c>
      <c r="AC49" s="38">
        <f t="shared" si="99"/>
        <v>0.1694198688</v>
      </c>
      <c r="AD49" s="36">
        <f t="shared" si="100"/>
        <v>185.848579359857</v>
      </c>
      <c r="AE49" s="39">
        <f t="shared" si="101"/>
        <v>0.749873222078183</v>
      </c>
      <c r="AF49" s="38">
        <f t="shared" si="102"/>
        <v>29.7408</v>
      </c>
      <c r="AG49" s="38"/>
      <c r="AH49" s="38">
        <f t="shared" si="103"/>
        <v>12.88768</v>
      </c>
      <c r="AI49" s="36">
        <f t="shared" si="104"/>
        <v>42.62848</v>
      </c>
      <c r="AJ49" s="40">
        <f t="shared" si="105"/>
        <v>228.477059359857</v>
      </c>
      <c r="AK49" s="41">
        <f t="shared" si="106"/>
        <v>0.921873222078183</v>
      </c>
      <c r="AL49" s="40">
        <f t="shared" si="107"/>
        <v>19.3629406401431</v>
      </c>
      <c r="AM49" s="42">
        <f t="shared" si="108"/>
        <v>0.0781267779218169</v>
      </c>
      <c r="AN49" s="40">
        <f t="shared" si="109"/>
        <v>3.78093058733791</v>
      </c>
    </row>
    <row r="50" s="3" customFormat="1" spans="1:40">
      <c r="A50" s="25">
        <v>46253</v>
      </c>
      <c r="B50" s="25" t="str">
        <v>NORMAL</v>
      </c>
      <c r="C50" s="25" t="str">
        <v>MMM1H28</v>
      </c>
      <c r="D50" s="43" t="str">
        <v>JOI</v>
      </c>
      <c r="E50" s="43" t="str">
        <v>SC</v>
      </c>
      <c r="F50" s="43" t="str">
        <v>TAM</v>
      </c>
      <c r="G50" s="43" t="str">
        <v>MG</v>
      </c>
      <c r="H50" s="43" t="str">
        <v>BRASCOLA LTDA -</v>
      </c>
      <c r="I50" s="201" t="str">
        <v>000331201</v>
      </c>
      <c r="J50" s="44">
        <v>1560.91</v>
      </c>
      <c r="K50" s="27">
        <v>9</v>
      </c>
      <c r="L50" s="28">
        <v>35.208</v>
      </c>
      <c r="M50" s="45">
        <v>204.25</v>
      </c>
      <c r="N50" s="30">
        <v>0.12</v>
      </c>
      <c r="O50" s="31">
        <v>40.85</v>
      </c>
      <c r="P50" s="32">
        <f t="shared" si="0"/>
        <v>11.97072</v>
      </c>
      <c r="Q50" s="46">
        <f t="shared" ref="Q50:Q54" si="111">L50*0.18</f>
        <v>6.33744</v>
      </c>
      <c r="R50" s="46">
        <f t="shared" si="110"/>
        <v>4.92912</v>
      </c>
      <c r="S50" s="33"/>
      <c r="T50" s="34">
        <v>40</v>
      </c>
      <c r="U50" s="35">
        <f t="shared" si="57"/>
        <v>0.195838433292534</v>
      </c>
      <c r="V50" s="36">
        <f t="shared" si="93"/>
        <v>104.08728</v>
      </c>
      <c r="W50" s="37">
        <f t="shared" ref="W50:W82" si="112">V50/M50</f>
        <v>0.509607246022032</v>
      </c>
      <c r="X50" s="38">
        <f>(L50*'RESULTADO DIRETO'!N$27)/6*4</f>
        <v>4.90709413423448</v>
      </c>
      <c r="Y50" s="37">
        <f t="shared" ref="Y50:Y82" si="113">X50/M50</f>
        <v>0.0240249406816866</v>
      </c>
      <c r="Z50" s="38">
        <f>(L50*'RESULTADO DIRETO'!N$15)/6*4</f>
        <v>4.46970282727932</v>
      </c>
      <c r="AA50" s="37">
        <f t="shared" ref="AA50:AA66" si="114">Z50/M50</f>
        <v>0.0218834899744398</v>
      </c>
      <c r="AB50" s="38">
        <f t="shared" ref="AB50:AB66" si="115">(J50*0.01%)*7.38%+(J50*0.01%)</f>
        <v>0.1676105158</v>
      </c>
      <c r="AC50" s="38">
        <f t="shared" ref="AC50:AC66" si="116">(J50*0.01%)*7.38%+(J50*0.01%)</f>
        <v>0.1676105158</v>
      </c>
      <c r="AD50" s="36">
        <f t="shared" ref="AD50:AD66" si="117">V50+X50+Z50+AB50+AC50</f>
        <v>113.799297993114</v>
      </c>
      <c r="AE50" s="39">
        <f t="shared" ref="AE50:AE66" si="118">AD50/M50</f>
        <v>0.55715690571904</v>
      </c>
      <c r="AF50" s="38">
        <f t="shared" ref="AF50:AF66" si="119">M50*N50</f>
        <v>24.51</v>
      </c>
      <c r="AG50" s="38"/>
      <c r="AH50" s="38">
        <f t="shared" ref="AH50:AH66" si="120">M50*0.052</f>
        <v>10.621</v>
      </c>
      <c r="AI50" s="36">
        <f t="shared" ref="AI50:AI56" si="121">AF50+AG50+AH50</f>
        <v>35.131</v>
      </c>
      <c r="AJ50" s="40">
        <f t="shared" ref="AJ50:AJ66" si="122">AD50+AI50</f>
        <v>148.930297993114</v>
      </c>
      <c r="AK50" s="41">
        <f t="shared" ref="AK50:AK66" si="123">AJ50/M50</f>
        <v>0.729156905719039</v>
      </c>
      <c r="AL50" s="40">
        <f t="shared" ref="AL50:AL66" si="124">M50-AJ50</f>
        <v>55.3197020068862</v>
      </c>
      <c r="AM50" s="42">
        <f t="shared" ref="AM50:AM66" si="125">AL50/M50</f>
        <v>0.270843094280961</v>
      </c>
      <c r="AN50" s="40">
        <f t="shared" ref="AN50:AN56" si="126">M50/L50</f>
        <v>5.80123835491934</v>
      </c>
    </row>
    <row r="51" s="3" customFormat="1" spans="1:40">
      <c r="A51" s="25">
        <v>46254</v>
      </c>
      <c r="B51" s="25" t="str">
        <v>NORMAL</v>
      </c>
      <c r="C51" s="25" t="str">
        <v>MMM1H28</v>
      </c>
      <c r="D51" s="43" t="str">
        <v>JOI</v>
      </c>
      <c r="E51" s="43" t="str">
        <v>SC</v>
      </c>
      <c r="F51" s="43" t="str">
        <v>GVR</v>
      </c>
      <c r="G51" s="43" t="str">
        <v>MG</v>
      </c>
      <c r="H51" s="43" t="str">
        <v>BRASCOLA LTDA -</v>
      </c>
      <c r="I51" s="201" t="str">
        <v>000331248</v>
      </c>
      <c r="J51" s="44">
        <v>1693.81</v>
      </c>
      <c r="K51" s="27">
        <v>18</v>
      </c>
      <c r="L51" s="28">
        <v>53.712</v>
      </c>
      <c r="M51" s="45">
        <v>248.31</v>
      </c>
      <c r="N51" s="30">
        <v>0.12</v>
      </c>
      <c r="O51" s="31">
        <v>49.66</v>
      </c>
      <c r="P51" s="32">
        <f t="shared" si="0"/>
        <v>18.26208</v>
      </c>
      <c r="Q51" s="46">
        <f t="shared" si="111"/>
        <v>9.66816</v>
      </c>
      <c r="R51" s="46">
        <f t="shared" si="110"/>
        <v>7.51968</v>
      </c>
      <c r="S51" s="33"/>
      <c r="T51" s="34">
        <v>91.41</v>
      </c>
      <c r="U51" s="35">
        <f t="shared" si="57"/>
        <v>0.36812854899118</v>
      </c>
      <c r="V51" s="36">
        <f t="shared" si="93"/>
        <v>176.51992</v>
      </c>
      <c r="W51" s="37">
        <f t="shared" si="112"/>
        <v>0.710885264387258</v>
      </c>
      <c r="X51" s="38">
        <f>(L51*'RESULTADO DIRETO'!N$27)/6*4</f>
        <v>7.48607816797326</v>
      </c>
      <c r="Y51" s="37">
        <f t="shared" si="113"/>
        <v>0.0301481139220058</v>
      </c>
      <c r="Z51" s="38">
        <f>(L51*'RESULTADO DIRETO'!N$15)/6*4</f>
        <v>6.81881044816027</v>
      </c>
      <c r="AA51" s="37">
        <f t="shared" si="114"/>
        <v>0.0274608773233469</v>
      </c>
      <c r="AB51" s="38">
        <f t="shared" si="115"/>
        <v>0.1818813178</v>
      </c>
      <c r="AC51" s="38">
        <f t="shared" si="116"/>
        <v>0.1818813178</v>
      </c>
      <c r="AD51" s="36">
        <f t="shared" si="117"/>
        <v>191.188571251733</v>
      </c>
      <c r="AE51" s="39">
        <f t="shared" si="118"/>
        <v>0.769959209261542</v>
      </c>
      <c r="AF51" s="38">
        <f t="shared" si="119"/>
        <v>29.7972</v>
      </c>
      <c r="AG51" s="38"/>
      <c r="AH51" s="38">
        <f t="shared" si="120"/>
        <v>12.91212</v>
      </c>
      <c r="AI51" s="36">
        <f t="shared" si="121"/>
        <v>42.70932</v>
      </c>
      <c r="AJ51" s="40">
        <f t="shared" si="122"/>
        <v>233.897891251733</v>
      </c>
      <c r="AK51" s="41">
        <f t="shared" si="123"/>
        <v>0.941959209261542</v>
      </c>
      <c r="AL51" s="40">
        <f t="shared" si="124"/>
        <v>14.4121087482665</v>
      </c>
      <c r="AM51" s="42">
        <f t="shared" si="125"/>
        <v>0.0580407907384581</v>
      </c>
      <c r="AN51" s="40">
        <f t="shared" si="126"/>
        <v>4.62298927613941</v>
      </c>
    </row>
    <row r="52" s="3" customFormat="1" spans="1:40">
      <c r="A52" s="25">
        <v>46254</v>
      </c>
      <c r="B52" s="25" t="str">
        <v>NORMAL</v>
      </c>
      <c r="C52" s="25" t="str">
        <v>MMM1H28</v>
      </c>
      <c r="D52" s="43" t="str">
        <v>JOI</v>
      </c>
      <c r="E52" s="43" t="str">
        <v>SC</v>
      </c>
      <c r="F52" s="43" t="str">
        <v>BHZ</v>
      </c>
      <c r="G52" s="43" t="str">
        <v>MG</v>
      </c>
      <c r="H52" s="43" t="str">
        <v>BRASCOLA LTDA -</v>
      </c>
      <c r="I52" s="201" t="str">
        <v>000331236</v>
      </c>
      <c r="J52" s="44">
        <v>4550</v>
      </c>
      <c r="K52" s="27">
        <v>17</v>
      </c>
      <c r="L52" s="28">
        <v>128.5</v>
      </c>
      <c r="M52" s="45">
        <v>282.58</v>
      </c>
      <c r="N52" s="30">
        <v>0.12</v>
      </c>
      <c r="O52" s="31">
        <v>56.52</v>
      </c>
      <c r="P52" s="32">
        <f t="shared" si="0"/>
        <v>43.69</v>
      </c>
      <c r="Q52" s="46">
        <f t="shared" si="111"/>
        <v>23.13</v>
      </c>
      <c r="R52" s="46">
        <f t="shared" si="110"/>
        <v>17.99</v>
      </c>
      <c r="S52" s="33"/>
      <c r="T52" s="47">
        <v>0</v>
      </c>
      <c r="U52" s="35">
        <f t="shared" si="57"/>
        <v>0</v>
      </c>
      <c r="V52" s="36">
        <f t="shared" si="93"/>
        <v>141.33</v>
      </c>
      <c r="W52" s="37">
        <f t="shared" si="112"/>
        <v>0.500141552834596</v>
      </c>
      <c r="X52" s="38">
        <f>(L52*'RESULTADO DIRETO'!N$27)/6*4</f>
        <v>17.9096113454082</v>
      </c>
      <c r="Y52" s="37">
        <f t="shared" si="113"/>
        <v>0.063378906311162</v>
      </c>
      <c r="Z52" s="38">
        <f>(L52*'RESULTADO DIRETO'!N$15)/6*4</f>
        <v>16.3132473672288</v>
      </c>
      <c r="AA52" s="37">
        <f t="shared" si="114"/>
        <v>0.0577296601572257</v>
      </c>
      <c r="AB52" s="38">
        <f t="shared" si="115"/>
        <v>0.488579</v>
      </c>
      <c r="AC52" s="38">
        <f t="shared" si="116"/>
        <v>0.488579</v>
      </c>
      <c r="AD52" s="36">
        <f t="shared" si="117"/>
        <v>176.530016712637</v>
      </c>
      <c r="AE52" s="39">
        <f t="shared" si="118"/>
        <v>0.624708106421675</v>
      </c>
      <c r="AF52" s="38">
        <f t="shared" si="119"/>
        <v>33.9096</v>
      </c>
      <c r="AG52" s="38"/>
      <c r="AH52" s="38">
        <f t="shared" si="120"/>
        <v>14.69416</v>
      </c>
      <c r="AI52" s="36">
        <f t="shared" si="121"/>
        <v>48.60376</v>
      </c>
      <c r="AJ52" s="40">
        <f t="shared" si="122"/>
        <v>225.133776712637</v>
      </c>
      <c r="AK52" s="41">
        <f t="shared" si="123"/>
        <v>0.796708106421675</v>
      </c>
      <c r="AL52" s="40">
        <f t="shared" si="124"/>
        <v>57.446223287363</v>
      </c>
      <c r="AM52" s="42">
        <f t="shared" si="125"/>
        <v>0.203291893578325</v>
      </c>
      <c r="AN52" s="40">
        <f t="shared" si="126"/>
        <v>2.19906614785992</v>
      </c>
    </row>
    <row r="53" s="3" customFormat="1" spans="1:40">
      <c r="A53" s="25">
        <v>46254</v>
      </c>
      <c r="B53" s="25" t="str">
        <v>NORMAL</v>
      </c>
      <c r="C53" s="25" t="str">
        <v>MMM1H28</v>
      </c>
      <c r="D53" s="43" t="str">
        <v>JOI</v>
      </c>
      <c r="E53" s="43" t="str">
        <v>SC</v>
      </c>
      <c r="F53" s="43" t="str">
        <v>BHZ</v>
      </c>
      <c r="G53" s="43" t="str">
        <v>MG</v>
      </c>
      <c r="H53" s="43" t="str">
        <v>BRASCOLA LTDA -</v>
      </c>
      <c r="I53" s="201" t="str">
        <v>000331259</v>
      </c>
      <c r="J53" s="44">
        <v>8004.18</v>
      </c>
      <c r="K53" s="27">
        <v>1</v>
      </c>
      <c r="L53" s="28">
        <v>89.1</v>
      </c>
      <c r="M53" s="45">
        <v>257.08</v>
      </c>
      <c r="N53" s="30">
        <v>0.12</v>
      </c>
      <c r="O53" s="31">
        <v>51.42</v>
      </c>
      <c r="P53" s="32">
        <f t="shared" si="0"/>
        <v>30.294</v>
      </c>
      <c r="Q53" s="46">
        <f t="shared" si="111"/>
        <v>16.038</v>
      </c>
      <c r="R53" s="46">
        <f t="shared" si="110"/>
        <v>12.474</v>
      </c>
      <c r="S53" s="33"/>
      <c r="T53" s="47">
        <v>0</v>
      </c>
      <c r="U53" s="35">
        <f t="shared" si="57"/>
        <v>0</v>
      </c>
      <c r="V53" s="36">
        <f t="shared" si="93"/>
        <v>110.226</v>
      </c>
      <c r="W53" s="37">
        <f t="shared" si="112"/>
        <v>0.428761475027229</v>
      </c>
      <c r="X53" s="38">
        <f>(L53*'RESULTADO DIRETO'!N$27)/6*4</f>
        <v>12.418259695532</v>
      </c>
      <c r="Y53" s="37">
        <f t="shared" si="113"/>
        <v>0.0483050400479697</v>
      </c>
      <c r="Z53" s="38">
        <f>(L53*'RESULTADO DIRETO'!N$15)/6*4</f>
        <v>11.3113645168878</v>
      </c>
      <c r="AA53" s="37">
        <f t="shared" si="114"/>
        <v>0.0439993951956117</v>
      </c>
      <c r="AB53" s="38">
        <f t="shared" si="115"/>
        <v>0.8594888484</v>
      </c>
      <c r="AC53" s="38">
        <f t="shared" si="116"/>
        <v>0.8594888484</v>
      </c>
      <c r="AD53" s="36">
        <f t="shared" si="117"/>
        <v>135.67460190922</v>
      </c>
      <c r="AE53" s="39">
        <f t="shared" si="118"/>
        <v>0.527752458025595</v>
      </c>
      <c r="AF53" s="38">
        <f t="shared" si="119"/>
        <v>30.8496</v>
      </c>
      <c r="AG53" s="38"/>
      <c r="AH53" s="38">
        <f t="shared" si="120"/>
        <v>13.36816</v>
      </c>
      <c r="AI53" s="36">
        <f t="shared" si="121"/>
        <v>44.21776</v>
      </c>
      <c r="AJ53" s="40">
        <f t="shared" si="122"/>
        <v>179.89236190922</v>
      </c>
      <c r="AK53" s="41">
        <f t="shared" si="123"/>
        <v>0.699752458025595</v>
      </c>
      <c r="AL53" s="40">
        <f t="shared" si="124"/>
        <v>77.1876380907801</v>
      </c>
      <c r="AM53" s="42">
        <f t="shared" si="125"/>
        <v>0.300247541974405</v>
      </c>
      <c r="AN53" s="40">
        <f t="shared" si="126"/>
        <v>2.88529741863075</v>
      </c>
    </row>
    <row r="54" s="3" customFormat="1" spans="1:40">
      <c r="A54" s="25">
        <v>46254</v>
      </c>
      <c r="B54" s="25" t="str">
        <v>NORMAL</v>
      </c>
      <c r="C54" s="25" t="str">
        <v>MMM1H28</v>
      </c>
      <c r="D54" s="43" t="str">
        <v>JOI</v>
      </c>
      <c r="E54" s="43" t="str">
        <v>SC</v>
      </c>
      <c r="F54" s="43" t="str">
        <v>DCC</v>
      </c>
      <c r="G54" s="43" t="str">
        <v>MG</v>
      </c>
      <c r="H54" s="43" t="str">
        <v>BRASCOLA LTDA -</v>
      </c>
      <c r="I54" s="201" t="str">
        <v>000331325</v>
      </c>
      <c r="J54" s="44">
        <v>9477.87</v>
      </c>
      <c r="K54" s="27">
        <v>1</v>
      </c>
      <c r="L54" s="28">
        <v>428</v>
      </c>
      <c r="M54" s="45">
        <v>795.32</v>
      </c>
      <c r="N54" s="30">
        <v>0.12</v>
      </c>
      <c r="O54" s="31">
        <v>159.06</v>
      </c>
      <c r="P54" s="32">
        <f t="shared" si="0"/>
        <v>145.52</v>
      </c>
      <c r="Q54" s="32">
        <f t="shared" si="111"/>
        <v>77.04</v>
      </c>
      <c r="R54" s="33"/>
      <c r="S54" s="33"/>
      <c r="T54" s="34">
        <v>278.36</v>
      </c>
      <c r="U54" s="35">
        <f t="shared" ref="U54:U66" si="127">T54/M54</f>
        <v>0.34999748528894</v>
      </c>
      <c r="V54" s="36">
        <f t="shared" si="93"/>
        <v>659.98</v>
      </c>
      <c r="W54" s="37">
        <f t="shared" si="112"/>
        <v>0.829829502590152</v>
      </c>
      <c r="X54" s="38">
        <f>(L54*'RESULTADO DIRETO'!N$27)/6*3</f>
        <v>44.7391847616811</v>
      </c>
      <c r="Y54" s="37">
        <f t="shared" si="113"/>
        <v>0.0562530613610636</v>
      </c>
      <c r="Z54" s="38">
        <f>(L54*'RESULTADO DIRETO'!N$15)/6*3</f>
        <v>40.7513805827273</v>
      </c>
      <c r="AA54" s="37">
        <f t="shared" si="114"/>
        <v>0.0512389737246986</v>
      </c>
      <c r="AB54" s="38">
        <f t="shared" si="115"/>
        <v>1.0177336806</v>
      </c>
      <c r="AC54" s="38">
        <f t="shared" si="116"/>
        <v>1.0177336806</v>
      </c>
      <c r="AD54" s="36">
        <f t="shared" si="117"/>
        <v>747.506032705609</v>
      </c>
      <c r="AE54" s="39">
        <f t="shared" si="118"/>
        <v>0.939880843818348</v>
      </c>
      <c r="AF54" s="38">
        <f t="shared" si="119"/>
        <v>95.4384</v>
      </c>
      <c r="AG54" s="38"/>
      <c r="AH54" s="38">
        <f t="shared" si="120"/>
        <v>41.35664</v>
      </c>
      <c r="AI54" s="36">
        <f t="shared" si="121"/>
        <v>136.79504</v>
      </c>
      <c r="AJ54" s="40">
        <f t="shared" si="122"/>
        <v>884.301072705608</v>
      </c>
      <c r="AK54" s="41">
        <f t="shared" si="123"/>
        <v>1.11188084381835</v>
      </c>
      <c r="AL54" s="40">
        <f t="shared" si="124"/>
        <v>-88.9810727056084</v>
      </c>
      <c r="AM54" s="42">
        <f t="shared" si="125"/>
        <v>-0.111880843818348</v>
      </c>
      <c r="AN54" s="40">
        <f t="shared" si="126"/>
        <v>1.85822429906542</v>
      </c>
    </row>
    <row r="55" s="3" customFormat="1" spans="1:40">
      <c r="A55" s="25">
        <v>46254</v>
      </c>
      <c r="B55" s="25" t="str">
        <v>NORMAL</v>
      </c>
      <c r="C55" s="25" t="str">
        <v>MMM1H28</v>
      </c>
      <c r="D55" s="43" t="str">
        <v>JOI</v>
      </c>
      <c r="E55" s="43" t="str">
        <v>SC</v>
      </c>
      <c r="F55" s="43" t="str">
        <v>VEA</v>
      </c>
      <c r="G55" s="43" t="str">
        <v>MG</v>
      </c>
      <c r="H55" s="43" t="str">
        <v>BRASCOLA LTDA -</v>
      </c>
      <c r="I55" s="201" t="str">
        <v>000331348</v>
      </c>
      <c r="J55" s="44">
        <v>2080.94</v>
      </c>
      <c r="K55" s="27">
        <v>25</v>
      </c>
      <c r="L55" s="28">
        <v>68.348</v>
      </c>
      <c r="M55" s="45">
        <v>249.84</v>
      </c>
      <c r="N55" s="30">
        <v>0.12</v>
      </c>
      <c r="O55" s="31">
        <v>49.97</v>
      </c>
      <c r="P55" s="32">
        <f t="shared" si="0"/>
        <v>23.23832</v>
      </c>
      <c r="Q55" s="48">
        <f t="shared" ref="Q55:Q62" si="128">L55*0.18</f>
        <v>12.30264</v>
      </c>
      <c r="R55" s="49">
        <f>L55*0.06</f>
        <v>4.10088</v>
      </c>
      <c r="S55" s="33"/>
      <c r="T55" s="34">
        <v>74.95</v>
      </c>
      <c r="U55" s="35">
        <f t="shared" si="127"/>
        <v>0.299991994876721</v>
      </c>
      <c r="V55" s="36">
        <f t="shared" si="93"/>
        <v>164.56184</v>
      </c>
      <c r="W55" s="37">
        <f t="shared" si="112"/>
        <v>0.658668908101185</v>
      </c>
      <c r="X55" s="38">
        <f>(L55*'RESULTADO DIRETO'!N$27)/6*4</f>
        <v>9.52596199405414</v>
      </c>
      <c r="Y55" s="37">
        <f t="shared" si="113"/>
        <v>0.0381282500562526</v>
      </c>
      <c r="Z55" s="38">
        <f>(L55*'RESULTADO DIRETO'!N$15)/6*4</f>
        <v>8.67687028058643</v>
      </c>
      <c r="AA55" s="37">
        <f t="shared" si="114"/>
        <v>0.0347297081355525</v>
      </c>
      <c r="AB55" s="38">
        <f t="shared" si="115"/>
        <v>0.2234513372</v>
      </c>
      <c r="AC55" s="38">
        <f t="shared" si="116"/>
        <v>0.2234513372</v>
      </c>
      <c r="AD55" s="36">
        <f t="shared" si="117"/>
        <v>183.211574949041</v>
      </c>
      <c r="AE55" s="39">
        <f t="shared" si="118"/>
        <v>0.733315621794111</v>
      </c>
      <c r="AF55" s="38">
        <f t="shared" si="119"/>
        <v>29.9808</v>
      </c>
      <c r="AG55" s="38"/>
      <c r="AH55" s="38">
        <f t="shared" si="120"/>
        <v>12.99168</v>
      </c>
      <c r="AI55" s="36">
        <f t="shared" si="121"/>
        <v>42.97248</v>
      </c>
      <c r="AJ55" s="40">
        <f t="shared" si="122"/>
        <v>226.184054949041</v>
      </c>
      <c r="AK55" s="41">
        <f t="shared" si="123"/>
        <v>0.905315621794111</v>
      </c>
      <c r="AL55" s="40">
        <f t="shared" si="124"/>
        <v>23.6559450509594</v>
      </c>
      <c r="AM55" s="42">
        <f t="shared" si="125"/>
        <v>0.0946843782058894</v>
      </c>
      <c r="AN55" s="40">
        <f t="shared" si="126"/>
        <v>3.65541054602915</v>
      </c>
    </row>
    <row r="56" ht="13" customHeight="1" spans="1:40">
      <c r="A56" s="25">
        <v>46254</v>
      </c>
      <c r="B56" s="25" t="str">
        <v>NORMAL</v>
      </c>
      <c r="C56" s="25" t="str">
        <v>MMM1H28</v>
      </c>
      <c r="D56" s="43" t="str">
        <v>JOI</v>
      </c>
      <c r="E56" s="43" t="str">
        <v>SC</v>
      </c>
      <c r="F56" s="43" t="str">
        <v>DCC</v>
      </c>
      <c r="G56" s="43" t="str">
        <v>MG</v>
      </c>
      <c r="H56" s="43" t="str">
        <v>BRASCOLA LTDA -</v>
      </c>
      <c r="I56" s="201" t="str">
        <v>000331354</v>
      </c>
      <c r="J56" s="44">
        <v>1811.61</v>
      </c>
      <c r="K56" s="27">
        <v>9</v>
      </c>
      <c r="L56" s="28">
        <v>56.44</v>
      </c>
      <c r="M56" s="45">
        <v>348.18</v>
      </c>
      <c r="N56" s="30">
        <v>0.12</v>
      </c>
      <c r="O56" s="31">
        <v>69.64</v>
      </c>
      <c r="P56" s="32">
        <f t="shared" si="0"/>
        <v>19.1896</v>
      </c>
      <c r="Q56" s="32">
        <f t="shared" si="128"/>
        <v>10.1592</v>
      </c>
      <c r="R56" s="33"/>
      <c r="S56" s="33"/>
      <c r="T56" s="34">
        <v>201.86</v>
      </c>
      <c r="U56" s="35">
        <f t="shared" si="127"/>
        <v>0.579757596645413</v>
      </c>
      <c r="V56" s="36">
        <f t="shared" si="93"/>
        <v>300.8488</v>
      </c>
      <c r="W56" s="37">
        <f t="shared" si="112"/>
        <v>0.864061117812626</v>
      </c>
      <c r="X56" s="38">
        <f>(L56*'RESULTADO DIRETO'!N$27)/6*3</f>
        <v>5.8997186634329</v>
      </c>
      <c r="Y56" s="37">
        <f t="shared" si="113"/>
        <v>0.0169444501793121</v>
      </c>
      <c r="Z56" s="38">
        <f>(L56*'RESULTADO DIRETO'!N$15)/6*3</f>
        <v>5.37385028058207</v>
      </c>
      <c r="AA56" s="37">
        <f t="shared" si="114"/>
        <v>0.0154341153443106</v>
      </c>
      <c r="AB56" s="38">
        <f t="shared" si="115"/>
        <v>0.1945306818</v>
      </c>
      <c r="AC56" s="38">
        <f t="shared" si="116"/>
        <v>0.1945306818</v>
      </c>
      <c r="AD56" s="36">
        <f t="shared" si="117"/>
        <v>312.511430307615</v>
      </c>
      <c r="AE56" s="39">
        <f t="shared" si="118"/>
        <v>0.897557097787394</v>
      </c>
      <c r="AF56" s="38">
        <f t="shared" si="119"/>
        <v>41.7816</v>
      </c>
      <c r="AG56" s="38"/>
      <c r="AH56" s="38">
        <f t="shared" si="120"/>
        <v>18.10536</v>
      </c>
      <c r="AI56" s="36">
        <f t="shared" si="121"/>
        <v>59.88696</v>
      </c>
      <c r="AJ56" s="40">
        <f t="shared" si="122"/>
        <v>372.398390307615</v>
      </c>
      <c r="AK56" s="41">
        <f t="shared" si="123"/>
        <v>1.06955709778739</v>
      </c>
      <c r="AL56" s="40">
        <f t="shared" si="124"/>
        <v>-24.218390307615</v>
      </c>
      <c r="AM56" s="42">
        <f t="shared" si="125"/>
        <v>-0.0695570977873944</v>
      </c>
      <c r="AN56" s="40">
        <f t="shared" si="126"/>
        <v>6.1690290574061</v>
      </c>
    </row>
    <row r="57" spans="1:40">
      <c r="A57" s="25">
        <v>46254</v>
      </c>
      <c r="B57" s="25" t="str">
        <v>NORMAL</v>
      </c>
      <c r="C57" s="25" t="str">
        <v>MMM1H28</v>
      </c>
      <c r="D57" s="43" t="str">
        <v>JOI</v>
      </c>
      <c r="E57" s="43" t="str">
        <v>SC</v>
      </c>
      <c r="F57" s="43" t="str">
        <v>STJ</v>
      </c>
      <c r="G57" s="43" t="str">
        <v>MG</v>
      </c>
      <c r="H57" s="43" t="str">
        <v>BRASCOLA LTDA -</v>
      </c>
      <c r="I57" s="201" t="str">
        <v>000331371</v>
      </c>
      <c r="J57" s="44">
        <v>3048.18</v>
      </c>
      <c r="K57" s="27">
        <v>29</v>
      </c>
      <c r="L57" s="28">
        <v>165.056</v>
      </c>
      <c r="M57" s="45">
        <v>450.63</v>
      </c>
      <c r="N57" s="30">
        <v>0.12</v>
      </c>
      <c r="O57" s="31">
        <v>90.13</v>
      </c>
      <c r="P57" s="32">
        <f t="shared" si="0"/>
        <v>56.11904</v>
      </c>
      <c r="Q57" s="46">
        <f t="shared" si="128"/>
        <v>29.71008</v>
      </c>
      <c r="R57" s="46">
        <v>0</v>
      </c>
      <c r="S57" s="33"/>
      <c r="T57" s="34">
        <v>129.18</v>
      </c>
      <c r="U57" s="35">
        <f t="shared" si="127"/>
        <v>0.28666533519739</v>
      </c>
      <c r="V57" s="36">
        <f t="shared" si="93"/>
        <v>305.13912</v>
      </c>
      <c r="W57" s="37">
        <f t="shared" si="112"/>
        <v>0.677138938818987</v>
      </c>
      <c r="X57" s="38">
        <f>(L57*'RESULTADO DIRETO'!N$27)/6*4</f>
        <v>23.0045821807602</v>
      </c>
      <c r="Y57" s="37">
        <f t="shared" si="113"/>
        <v>0.0510498239814487</v>
      </c>
      <c r="Z57" s="38">
        <f>(L57*'RESULTADO DIRETO'!N$15)/6*4</f>
        <v>20.9540806026873</v>
      </c>
      <c r="AA57" s="37">
        <f t="shared" si="114"/>
        <v>0.0464995242276088</v>
      </c>
      <c r="AB57" s="38">
        <f t="shared" si="115"/>
        <v>0.3273135684</v>
      </c>
      <c r="AC57" s="38">
        <f t="shared" si="116"/>
        <v>0.3273135684</v>
      </c>
      <c r="AD57" s="36">
        <f t="shared" si="117"/>
        <v>349.752409920248</v>
      </c>
      <c r="AE57" s="39">
        <f t="shared" si="118"/>
        <v>0.776140980228231</v>
      </c>
      <c r="AF57" s="38">
        <f t="shared" si="119"/>
        <v>54.0756</v>
      </c>
      <c r="AG57" s="38"/>
      <c r="AH57" s="38">
        <f t="shared" si="120"/>
        <v>23.43276</v>
      </c>
      <c r="AI57" s="36">
        <f t="shared" ref="AI57:AI66" si="129">AF57+AG57+AH57</f>
        <v>77.50836</v>
      </c>
      <c r="AJ57" s="40">
        <f t="shared" si="122"/>
        <v>427.260769920248</v>
      </c>
      <c r="AK57" s="41">
        <f t="shared" si="123"/>
        <v>0.948140980228231</v>
      </c>
      <c r="AL57" s="40">
        <f t="shared" si="124"/>
        <v>23.3692300797525</v>
      </c>
      <c r="AM57" s="42">
        <f t="shared" si="125"/>
        <v>0.0518590197717695</v>
      </c>
      <c r="AN57" s="40">
        <f t="shared" ref="AN57:AN66" si="130">M57/L57</f>
        <v>2.73016430787127</v>
      </c>
    </row>
    <row r="58" spans="1:40">
      <c r="A58" s="25">
        <v>46258</v>
      </c>
      <c r="B58" s="25" t="str">
        <v>NORMAL</v>
      </c>
      <c r="C58" s="25" t="str">
        <v>MMM1H28</v>
      </c>
      <c r="D58" s="43" t="str">
        <v>JOI</v>
      </c>
      <c r="E58" s="43" t="str">
        <v>SC</v>
      </c>
      <c r="F58" s="43" t="str">
        <v>STJ</v>
      </c>
      <c r="G58" s="43" t="str">
        <v>MG</v>
      </c>
      <c r="H58" s="43" t="str">
        <v>BRASCOLA LTDA -</v>
      </c>
      <c r="I58" s="201" t="str">
        <v>000331432</v>
      </c>
      <c r="J58" s="44">
        <v>7066.5</v>
      </c>
      <c r="K58" s="27">
        <v>53</v>
      </c>
      <c r="L58" s="28">
        <v>208.756</v>
      </c>
      <c r="M58" s="45">
        <v>445.23</v>
      </c>
      <c r="N58" s="30">
        <v>0.12</v>
      </c>
      <c r="O58" s="31">
        <v>89.05</v>
      </c>
      <c r="P58" s="32">
        <f t="shared" si="0"/>
        <v>70.97704</v>
      </c>
      <c r="Q58" s="46">
        <f t="shared" si="128"/>
        <v>37.57608</v>
      </c>
      <c r="R58" s="46">
        <v>0</v>
      </c>
      <c r="S58" s="33"/>
      <c r="T58" s="34">
        <v>106.48</v>
      </c>
      <c r="U58" s="35">
        <f t="shared" si="127"/>
        <v>0.239157289490825</v>
      </c>
      <c r="V58" s="36">
        <f t="shared" si="93"/>
        <v>304.08312</v>
      </c>
      <c r="W58" s="37">
        <f t="shared" si="112"/>
        <v>0.682979853109629</v>
      </c>
      <c r="X58" s="38">
        <f>(L58*'RESULTADO DIRETO'!N$27)/6*4</f>
        <v>29.0952437822726</v>
      </c>
      <c r="Y58" s="37">
        <f t="shared" si="113"/>
        <v>0.0653487945158066</v>
      </c>
      <c r="Z58" s="38">
        <f>(L58*'RESULTADO DIRETO'!N$15)/6*4</f>
        <v>26.5018542209589</v>
      </c>
      <c r="AA58" s="37">
        <f t="shared" si="114"/>
        <v>0.0595239633918625</v>
      </c>
      <c r="AB58" s="38">
        <f t="shared" si="115"/>
        <v>0.75880077</v>
      </c>
      <c r="AC58" s="38">
        <f t="shared" si="116"/>
        <v>0.75880077</v>
      </c>
      <c r="AD58" s="36">
        <f t="shared" si="117"/>
        <v>361.197819543232</v>
      </c>
      <c r="AE58" s="39">
        <f t="shared" si="118"/>
        <v>0.811261189819265</v>
      </c>
      <c r="AF58" s="38">
        <f t="shared" si="119"/>
        <v>53.4276</v>
      </c>
      <c r="AG58" s="38"/>
      <c r="AH58" s="38">
        <f t="shared" si="120"/>
        <v>23.15196</v>
      </c>
      <c r="AI58" s="36">
        <f t="shared" si="129"/>
        <v>76.57956</v>
      </c>
      <c r="AJ58" s="40">
        <f t="shared" si="122"/>
        <v>437.777379543232</v>
      </c>
      <c r="AK58" s="41">
        <f t="shared" si="123"/>
        <v>0.983261189819265</v>
      </c>
      <c r="AL58" s="40">
        <f t="shared" si="124"/>
        <v>7.4526204567685</v>
      </c>
      <c r="AM58" s="42">
        <f t="shared" si="125"/>
        <v>0.0167388101807347</v>
      </c>
      <c r="AN58" s="40">
        <f t="shared" si="130"/>
        <v>2.13277702197781</v>
      </c>
    </row>
    <row r="59" spans="1:40">
      <c r="A59" s="25">
        <v>46258</v>
      </c>
      <c r="B59" s="25" t="str">
        <v>NORMAL</v>
      </c>
      <c r="C59" s="25" t="str">
        <v>MMM1H28</v>
      </c>
      <c r="D59" s="43" t="str">
        <v>JOI</v>
      </c>
      <c r="E59" s="43" t="str">
        <v>SC</v>
      </c>
      <c r="F59" s="43" t="str">
        <v>TAM</v>
      </c>
      <c r="G59" s="43" t="str">
        <v>MG</v>
      </c>
      <c r="H59" s="43" t="str">
        <v>BRASCOLA LTDA -</v>
      </c>
      <c r="I59" s="201" t="str">
        <v>000331422</v>
      </c>
      <c r="J59" s="44">
        <v>3726.03</v>
      </c>
      <c r="K59" s="27">
        <v>18</v>
      </c>
      <c r="L59" s="28">
        <v>101.04</v>
      </c>
      <c r="M59" s="45">
        <v>260.88</v>
      </c>
      <c r="N59" s="30">
        <v>0.12</v>
      </c>
      <c r="O59" s="31">
        <v>52.18</v>
      </c>
      <c r="P59" s="32">
        <f t="shared" si="0"/>
        <v>34.3536</v>
      </c>
      <c r="Q59" s="46">
        <f t="shared" si="128"/>
        <v>18.1872</v>
      </c>
      <c r="R59" s="46">
        <f t="shared" ref="R59:R64" si="131">L59*0.14</f>
        <v>14.1456</v>
      </c>
      <c r="S59" s="33"/>
      <c r="T59" s="34">
        <v>50.52</v>
      </c>
      <c r="U59" s="35">
        <f t="shared" si="127"/>
        <v>0.193652253909844</v>
      </c>
      <c r="V59" s="36">
        <f t="shared" si="93"/>
        <v>169.3864</v>
      </c>
      <c r="W59" s="37">
        <f t="shared" si="112"/>
        <v>0.649288561790862</v>
      </c>
      <c r="X59" s="38">
        <f>(L59*'RESULTADO DIRETO'!N$27)/6*4</f>
        <v>14.0823901193778</v>
      </c>
      <c r="Y59" s="37">
        <f t="shared" si="113"/>
        <v>0.053980336244165</v>
      </c>
      <c r="Z59" s="38">
        <f>(L59*'RESULTADO DIRETO'!N$15)/6*4</f>
        <v>12.8271635329556</v>
      </c>
      <c r="AA59" s="37">
        <f t="shared" si="114"/>
        <v>0.0491688267899251</v>
      </c>
      <c r="AB59" s="38">
        <f t="shared" si="115"/>
        <v>0.4001011014</v>
      </c>
      <c r="AC59" s="38">
        <f t="shared" si="116"/>
        <v>0.4001011014</v>
      </c>
      <c r="AD59" s="36">
        <f t="shared" si="117"/>
        <v>197.096155855133</v>
      </c>
      <c r="AE59" s="39">
        <f t="shared" si="118"/>
        <v>0.755505043909588</v>
      </c>
      <c r="AF59" s="38">
        <f t="shared" si="119"/>
        <v>31.3056</v>
      </c>
      <c r="AG59" s="38"/>
      <c r="AH59" s="38">
        <f t="shared" si="120"/>
        <v>13.56576</v>
      </c>
      <c r="AI59" s="36">
        <f t="shared" si="129"/>
        <v>44.87136</v>
      </c>
      <c r="AJ59" s="40">
        <f t="shared" si="122"/>
        <v>241.967515855133</v>
      </c>
      <c r="AK59" s="41">
        <f t="shared" si="123"/>
        <v>0.927505043909588</v>
      </c>
      <c r="AL59" s="40">
        <f t="shared" si="124"/>
        <v>18.9124841448666</v>
      </c>
      <c r="AM59" s="42">
        <f t="shared" si="125"/>
        <v>0.0724949560904117</v>
      </c>
      <c r="AN59" s="40">
        <f t="shared" si="130"/>
        <v>2.58194774346793</v>
      </c>
    </row>
    <row r="60" spans="1:40">
      <c r="A60" s="25">
        <v>46259</v>
      </c>
      <c r="B60" s="25" t="str">
        <v>NORMAL</v>
      </c>
      <c r="C60" s="25" t="str">
        <v>MMM1H28</v>
      </c>
      <c r="D60" s="43" t="str">
        <v>JOI</v>
      </c>
      <c r="E60" s="43" t="str">
        <v>SC</v>
      </c>
      <c r="F60" s="43" t="str">
        <v>TAM</v>
      </c>
      <c r="G60" s="43" t="str">
        <v>MG</v>
      </c>
      <c r="H60" s="43" t="str">
        <v>BRASCOLA LTDA -</v>
      </c>
      <c r="I60" s="201" t="str">
        <v>000331497</v>
      </c>
      <c r="J60" s="44">
        <v>3087.65</v>
      </c>
      <c r="K60" s="27">
        <v>24</v>
      </c>
      <c r="L60" s="28">
        <v>116.032</v>
      </c>
      <c r="M60" s="45">
        <v>279.4</v>
      </c>
      <c r="N60" s="30">
        <v>0.12</v>
      </c>
      <c r="O60" s="31">
        <v>55.88</v>
      </c>
      <c r="P60" s="32">
        <f t="shared" si="0"/>
        <v>39.45088</v>
      </c>
      <c r="Q60" s="46">
        <f t="shared" si="128"/>
        <v>20.88576</v>
      </c>
      <c r="R60" s="46">
        <f t="shared" si="131"/>
        <v>16.24448</v>
      </c>
      <c r="S60" s="33"/>
      <c r="T60" s="34">
        <v>58.02</v>
      </c>
      <c r="U60" s="35">
        <f t="shared" si="127"/>
        <v>0.207659269863994</v>
      </c>
      <c r="V60" s="36">
        <f t="shared" si="93"/>
        <v>190.48112</v>
      </c>
      <c r="W60" s="37">
        <f t="shared" si="112"/>
        <v>0.681750608446672</v>
      </c>
      <c r="X60" s="38">
        <f>(L60*'RESULTADO DIRETO'!N$27)/6*4</f>
        <v>16.1718912344778</v>
      </c>
      <c r="Y60" s="37">
        <f t="shared" si="113"/>
        <v>0.0578807846616959</v>
      </c>
      <c r="Z60" s="38">
        <f>(L60*'RESULTADO DIRETO'!N$15)/6*4</f>
        <v>14.7304180429128</v>
      </c>
      <c r="AA60" s="37">
        <f t="shared" si="114"/>
        <v>0.0527216107477194</v>
      </c>
      <c r="AB60" s="38">
        <f t="shared" si="115"/>
        <v>0.331551857</v>
      </c>
      <c r="AC60" s="38">
        <f t="shared" si="116"/>
        <v>0.331551857</v>
      </c>
      <c r="AD60" s="36">
        <f t="shared" si="117"/>
        <v>222.046532991391</v>
      </c>
      <c r="AE60" s="39">
        <f t="shared" si="118"/>
        <v>0.794726317077275</v>
      </c>
      <c r="AF60" s="38">
        <f t="shared" si="119"/>
        <v>33.528</v>
      </c>
      <c r="AG60" s="38"/>
      <c r="AH60" s="38">
        <f t="shared" si="120"/>
        <v>14.5288</v>
      </c>
      <c r="AI60" s="36">
        <f t="shared" si="129"/>
        <v>48.0568</v>
      </c>
      <c r="AJ60" s="40">
        <f t="shared" si="122"/>
        <v>270.103332991391</v>
      </c>
      <c r="AK60" s="41">
        <f t="shared" si="123"/>
        <v>0.966726317077275</v>
      </c>
      <c r="AL60" s="40">
        <f t="shared" si="124"/>
        <v>9.29666700860935</v>
      </c>
      <c r="AM60" s="42">
        <f t="shared" si="125"/>
        <v>0.0332736829227249</v>
      </c>
      <c r="AN60" s="40">
        <f t="shared" si="130"/>
        <v>2.40795642581357</v>
      </c>
    </row>
    <row r="61" spans="1:40">
      <c r="A61" s="25">
        <v>46259</v>
      </c>
      <c r="B61" s="25" t="str">
        <v>NORMAL</v>
      </c>
      <c r="C61" s="25" t="str">
        <v>MMM1H28</v>
      </c>
      <c r="D61" s="43" t="str">
        <v>JOI</v>
      </c>
      <c r="E61" s="43" t="str">
        <v>SC</v>
      </c>
      <c r="F61" s="43" t="str">
        <v>EJM</v>
      </c>
      <c r="G61" s="43" t="str">
        <v>MG</v>
      </c>
      <c r="H61" s="43" t="str">
        <v>BRASCOLA LTDA -</v>
      </c>
      <c r="I61" s="201" t="str">
        <v>000331474</v>
      </c>
      <c r="J61" s="44">
        <v>4196.51</v>
      </c>
      <c r="K61" s="27">
        <v>66</v>
      </c>
      <c r="L61" s="28">
        <v>374.36</v>
      </c>
      <c r="M61" s="45">
        <v>793.39</v>
      </c>
      <c r="N61" s="30">
        <v>0.12</v>
      </c>
      <c r="O61" s="31">
        <v>158.68</v>
      </c>
      <c r="P61" s="32">
        <f t="shared" si="0"/>
        <v>127.2824</v>
      </c>
      <c r="Q61" s="46">
        <f t="shared" si="128"/>
        <v>67.3848</v>
      </c>
      <c r="R61" s="46">
        <v>0</v>
      </c>
      <c r="S61" s="33"/>
      <c r="T61" s="34">
        <v>317.36</v>
      </c>
      <c r="U61" s="35">
        <f t="shared" si="127"/>
        <v>0.400005041656688</v>
      </c>
      <c r="V61" s="36">
        <f t="shared" si="93"/>
        <v>670.7072</v>
      </c>
      <c r="W61" s="37">
        <f t="shared" si="112"/>
        <v>0.845368860207464</v>
      </c>
      <c r="X61" s="38">
        <f>(L61*'RESULTADO DIRETO'!N$27)/6*4</f>
        <v>52.1762031382646</v>
      </c>
      <c r="Y61" s="37">
        <f t="shared" si="113"/>
        <v>0.0657636258816781</v>
      </c>
      <c r="Z61" s="38">
        <f>(L61*'RESULTADO DIRETO'!N$15)/6*4</f>
        <v>47.5255041587221</v>
      </c>
      <c r="AA61" s="37">
        <f t="shared" si="114"/>
        <v>0.0599018189777059</v>
      </c>
      <c r="AB61" s="38">
        <f t="shared" si="115"/>
        <v>0.4506212438</v>
      </c>
      <c r="AC61" s="38">
        <f t="shared" si="116"/>
        <v>0.4506212438</v>
      </c>
      <c r="AD61" s="36">
        <f t="shared" si="117"/>
        <v>771.310149784587</v>
      </c>
      <c r="AE61" s="39">
        <f t="shared" si="118"/>
        <v>0.972170243870715</v>
      </c>
      <c r="AF61" s="38">
        <f t="shared" si="119"/>
        <v>95.2068</v>
      </c>
      <c r="AG61" s="38"/>
      <c r="AH61" s="38">
        <f t="shared" si="120"/>
        <v>41.25628</v>
      </c>
      <c r="AI61" s="36">
        <f t="shared" si="129"/>
        <v>136.46308</v>
      </c>
      <c r="AJ61" s="40">
        <f t="shared" si="122"/>
        <v>907.773229784587</v>
      </c>
      <c r="AK61" s="41">
        <f t="shared" si="123"/>
        <v>1.14417024387072</v>
      </c>
      <c r="AL61" s="40">
        <f t="shared" si="124"/>
        <v>-114.383229784587</v>
      </c>
      <c r="AM61" s="42">
        <f t="shared" si="125"/>
        <v>-0.144170243870715</v>
      </c>
      <c r="AN61" s="40">
        <f t="shared" si="130"/>
        <v>2.11932364568864</v>
      </c>
    </row>
    <row r="62" spans="1:40">
      <c r="A62" s="25">
        <v>46259</v>
      </c>
      <c r="B62" s="25" t="str">
        <v>NORMAL</v>
      </c>
      <c r="C62" s="25" t="str">
        <v>MMM1H28</v>
      </c>
      <c r="D62" s="43" t="str">
        <v>JOI</v>
      </c>
      <c r="E62" s="43" t="str">
        <v>SC</v>
      </c>
      <c r="F62" s="43" t="str">
        <v>DCC</v>
      </c>
      <c r="G62" s="43" t="str">
        <v>MG</v>
      </c>
      <c r="H62" s="43" t="str">
        <v>BRASCOLA LTDA -</v>
      </c>
      <c r="I62" s="201" t="str">
        <v>000331465</v>
      </c>
      <c r="J62" s="44">
        <v>3360</v>
      </c>
      <c r="K62" s="27">
        <v>12</v>
      </c>
      <c r="L62" s="28">
        <v>246</v>
      </c>
      <c r="M62" s="45">
        <v>479.19</v>
      </c>
      <c r="N62" s="30">
        <v>0.12</v>
      </c>
      <c r="O62" s="31">
        <v>95.84</v>
      </c>
      <c r="P62" s="32">
        <f t="shared" si="0"/>
        <v>83.64</v>
      </c>
      <c r="Q62" s="32">
        <f t="shared" si="128"/>
        <v>44.28</v>
      </c>
      <c r="R62" s="33"/>
      <c r="S62" s="33"/>
      <c r="T62" s="34">
        <v>167.72</v>
      </c>
      <c r="U62" s="35">
        <f t="shared" si="127"/>
        <v>0.350007303992153</v>
      </c>
      <c r="V62" s="36">
        <f t="shared" si="93"/>
        <v>391.48</v>
      </c>
      <c r="W62" s="37">
        <f t="shared" si="112"/>
        <v>0.816961956635155</v>
      </c>
      <c r="X62" s="38">
        <f>(L62*'RESULTADO DIRETO'!N$27)/6*3</f>
        <v>25.7145781574148</v>
      </c>
      <c r="Y62" s="37">
        <f t="shared" si="113"/>
        <v>0.0536625934544019</v>
      </c>
      <c r="Z62" s="38">
        <f>(L62*'RESULTADO DIRETO'!N$15)/6*3</f>
        <v>23.4225224844647</v>
      </c>
      <c r="AA62" s="37">
        <f t="shared" si="114"/>
        <v>0.0488794058399899</v>
      </c>
      <c r="AB62" s="38">
        <f t="shared" si="115"/>
        <v>0.3607968</v>
      </c>
      <c r="AC62" s="38">
        <f t="shared" si="116"/>
        <v>0.3607968</v>
      </c>
      <c r="AD62" s="36">
        <f t="shared" si="117"/>
        <v>441.33869424188</v>
      </c>
      <c r="AE62" s="39">
        <f t="shared" si="118"/>
        <v>0.921009817070222</v>
      </c>
      <c r="AF62" s="38">
        <f t="shared" si="119"/>
        <v>57.5028</v>
      </c>
      <c r="AG62" s="38"/>
      <c r="AH62" s="38">
        <f t="shared" si="120"/>
        <v>24.91788</v>
      </c>
      <c r="AI62" s="36">
        <f t="shared" si="129"/>
        <v>82.42068</v>
      </c>
      <c r="AJ62" s="40">
        <f t="shared" si="122"/>
        <v>523.75937424188</v>
      </c>
      <c r="AK62" s="41">
        <f t="shared" si="123"/>
        <v>1.09300981707022</v>
      </c>
      <c r="AL62" s="40">
        <f t="shared" si="124"/>
        <v>-44.5693742418796</v>
      </c>
      <c r="AM62" s="42">
        <f t="shared" si="125"/>
        <v>-0.0930098170702219</v>
      </c>
      <c r="AN62" s="40">
        <f t="shared" si="130"/>
        <v>1.94792682926829</v>
      </c>
    </row>
    <row r="63" spans="1:40">
      <c r="A63" s="25">
        <v>46259</v>
      </c>
      <c r="B63" s="25" t="str">
        <v>COMPLEMENTAR FRETE</v>
      </c>
      <c r="C63" s="25" t="str">
        <v>MMM1H28</v>
      </c>
      <c r="D63" s="43" t="str">
        <v>JOI</v>
      </c>
      <c r="E63" s="43" t="str">
        <v>SC</v>
      </c>
      <c r="F63" s="43" t="str">
        <v>STJ</v>
      </c>
      <c r="G63" s="43" t="str">
        <v>MG</v>
      </c>
      <c r="H63" s="43" t="str">
        <v>BRASCOLA LTDA -</v>
      </c>
      <c r="I63" s="201" t="str">
        <v>000330540</v>
      </c>
      <c r="J63" s="44">
        <v>1734.34</v>
      </c>
      <c r="K63" s="27">
        <v>10</v>
      </c>
      <c r="L63" s="28">
        <v>39.12</v>
      </c>
      <c r="M63" s="45">
        <v>57</v>
      </c>
      <c r="N63" s="30">
        <v>0.12</v>
      </c>
      <c r="O63" s="51">
        <v>0</v>
      </c>
      <c r="P63" s="50">
        <v>0</v>
      </c>
      <c r="Q63" s="50">
        <v>0</v>
      </c>
      <c r="R63" s="50">
        <v>0</v>
      </c>
      <c r="S63" s="33"/>
      <c r="T63" s="51">
        <v>0</v>
      </c>
      <c r="U63" s="35">
        <f t="shared" si="127"/>
        <v>0</v>
      </c>
      <c r="V63" s="36">
        <f t="shared" si="93"/>
        <v>0</v>
      </c>
      <c r="W63" s="37">
        <f t="shared" si="112"/>
        <v>0</v>
      </c>
      <c r="X63" s="38">
        <f>(L63*'RESULTADO DIRETO'!N$27)/6*4</f>
        <v>5.45232681581609</v>
      </c>
      <c r="Y63" s="37">
        <f t="shared" si="113"/>
        <v>0.0956548564178261</v>
      </c>
      <c r="Z63" s="38">
        <f>(L63*'RESULTADO DIRETO'!N$15)/6*4</f>
        <v>4.9663364747548</v>
      </c>
      <c r="AA63" s="37">
        <f t="shared" si="114"/>
        <v>0.0871287100834175</v>
      </c>
      <c r="AB63" s="38">
        <f t="shared" si="115"/>
        <v>0.1862334292</v>
      </c>
      <c r="AC63" s="38">
        <f t="shared" si="116"/>
        <v>0.1862334292</v>
      </c>
      <c r="AD63" s="36">
        <f t="shared" si="117"/>
        <v>10.7911301489709</v>
      </c>
      <c r="AE63" s="39">
        <f t="shared" si="118"/>
        <v>0.189318072788963</v>
      </c>
      <c r="AF63" s="38">
        <f t="shared" si="119"/>
        <v>6.84</v>
      </c>
      <c r="AG63" s="38"/>
      <c r="AH63" s="38">
        <f t="shared" si="120"/>
        <v>2.964</v>
      </c>
      <c r="AI63" s="36">
        <f t="shared" si="129"/>
        <v>9.804</v>
      </c>
      <c r="AJ63" s="40">
        <f t="shared" si="122"/>
        <v>20.5951301489709</v>
      </c>
      <c r="AK63" s="41">
        <f t="shared" si="123"/>
        <v>0.361318072788963</v>
      </c>
      <c r="AL63" s="40">
        <f t="shared" si="124"/>
        <v>36.4048698510291</v>
      </c>
      <c r="AM63" s="42">
        <f t="shared" si="125"/>
        <v>0.638681927211037</v>
      </c>
      <c r="AN63" s="40">
        <f t="shared" si="130"/>
        <v>1.45705521472393</v>
      </c>
    </row>
    <row r="64" spans="1:40">
      <c r="A64" s="25">
        <v>46259</v>
      </c>
      <c r="B64" s="25" t="str">
        <v>NORMAL</v>
      </c>
      <c r="C64" s="25" t="str">
        <v>MMM1H28</v>
      </c>
      <c r="D64" s="43" t="str">
        <v>JOI</v>
      </c>
      <c r="E64" s="43" t="str">
        <v>SC</v>
      </c>
      <c r="F64" s="43" t="str">
        <v>BHZ</v>
      </c>
      <c r="G64" s="43" t="str">
        <v>MG</v>
      </c>
      <c r="H64" s="43" t="str">
        <v>BRASCOLA LTDA -</v>
      </c>
      <c r="I64" s="201" t="str">
        <v>000331532</v>
      </c>
      <c r="J64" s="44">
        <v>1516.97</v>
      </c>
      <c r="K64" s="27">
        <v>26</v>
      </c>
      <c r="L64" s="28">
        <v>78</v>
      </c>
      <c r="M64" s="45">
        <v>221.33</v>
      </c>
      <c r="N64" s="30">
        <v>0.12</v>
      </c>
      <c r="O64" s="31">
        <v>44.27</v>
      </c>
      <c r="P64" s="32">
        <f t="shared" si="0"/>
        <v>26.52</v>
      </c>
      <c r="Q64" s="46">
        <f t="shared" ref="Q63:Q68" si="132">L64*0.18</f>
        <v>14.04</v>
      </c>
      <c r="R64" s="46">
        <f t="shared" si="131"/>
        <v>10.92</v>
      </c>
      <c r="S64" s="33"/>
      <c r="T64" s="47">
        <v>0</v>
      </c>
      <c r="U64" s="35">
        <f t="shared" si="127"/>
        <v>0</v>
      </c>
      <c r="V64" s="36">
        <f t="shared" si="93"/>
        <v>95.75</v>
      </c>
      <c r="W64" s="37">
        <f t="shared" si="112"/>
        <v>0.432611936926761</v>
      </c>
      <c r="X64" s="38">
        <f>(L64*'RESULTADO DIRETO'!N$27)/6*4</f>
        <v>10.8712037738664</v>
      </c>
      <c r="Y64" s="37">
        <f t="shared" si="113"/>
        <v>0.0491176242437376</v>
      </c>
      <c r="Z64" s="38">
        <f>(L64*'RESULTADO DIRETO'!N$15)/6*4</f>
        <v>9.90220462757859</v>
      </c>
      <c r="AA64" s="37">
        <f t="shared" si="114"/>
        <v>0.0447395501178267</v>
      </c>
      <c r="AB64" s="38">
        <f t="shared" si="115"/>
        <v>0.1628922386</v>
      </c>
      <c r="AC64" s="38">
        <f t="shared" si="116"/>
        <v>0.1628922386</v>
      </c>
      <c r="AD64" s="36">
        <f t="shared" si="117"/>
        <v>116.849192878645</v>
      </c>
      <c r="AE64" s="39">
        <f t="shared" si="118"/>
        <v>0.527941051274771</v>
      </c>
      <c r="AF64" s="38">
        <f t="shared" si="119"/>
        <v>26.5596</v>
      </c>
      <c r="AG64" s="38"/>
      <c r="AH64" s="38">
        <f t="shared" si="120"/>
        <v>11.50916</v>
      </c>
      <c r="AI64" s="36">
        <f t="shared" si="129"/>
        <v>38.06876</v>
      </c>
      <c r="AJ64" s="40">
        <f t="shared" si="122"/>
        <v>154.917952878645</v>
      </c>
      <c r="AK64" s="41">
        <f t="shared" si="123"/>
        <v>0.699941051274771</v>
      </c>
      <c r="AL64" s="40">
        <f t="shared" si="124"/>
        <v>66.412047121355</v>
      </c>
      <c r="AM64" s="42">
        <f t="shared" si="125"/>
        <v>0.300058948725229</v>
      </c>
      <c r="AN64" s="40">
        <f t="shared" si="130"/>
        <v>2.8375641025641</v>
      </c>
    </row>
    <row r="65" spans="1:40">
      <c r="A65" s="25">
        <v>46259</v>
      </c>
      <c r="B65" s="25" t="str">
        <v>NORMAL</v>
      </c>
      <c r="C65" s="25" t="str">
        <v>MMM1H28</v>
      </c>
      <c r="D65" s="43" t="str">
        <v>JOI</v>
      </c>
      <c r="E65" s="43" t="str">
        <v>SC</v>
      </c>
      <c r="F65" s="43" t="str">
        <v>DCC</v>
      </c>
      <c r="G65" s="43" t="str">
        <v>MG</v>
      </c>
      <c r="H65" s="43" t="str">
        <v>BRASCOLA LTDA -</v>
      </c>
      <c r="I65" s="201" t="str">
        <v>000331549</v>
      </c>
      <c r="J65" s="44">
        <v>1745.09</v>
      </c>
      <c r="K65" s="27">
        <v>10</v>
      </c>
      <c r="L65" s="28">
        <v>41.52</v>
      </c>
      <c r="M65" s="45">
        <v>204.99</v>
      </c>
      <c r="N65" s="30">
        <v>0.12</v>
      </c>
      <c r="O65" s="31">
        <v>41</v>
      </c>
      <c r="P65" s="32">
        <f t="shared" si="0"/>
        <v>14.1168</v>
      </c>
      <c r="Q65" s="32">
        <f t="shared" si="132"/>
        <v>7.4736</v>
      </c>
      <c r="R65" s="33"/>
      <c r="S65" s="33"/>
      <c r="T65" s="34">
        <v>71.75</v>
      </c>
      <c r="U65" s="35">
        <f t="shared" si="127"/>
        <v>0.35001707400361</v>
      </c>
      <c r="V65" s="36">
        <f t="shared" si="93"/>
        <v>134.3404</v>
      </c>
      <c r="W65" s="37">
        <f t="shared" si="112"/>
        <v>0.655350992731353</v>
      </c>
      <c r="X65" s="38">
        <f>(L65*'RESULTADO DIRETO'!N$27)/6*3</f>
        <v>4.34011904510514</v>
      </c>
      <c r="Y65" s="37">
        <f t="shared" si="113"/>
        <v>0.0211723452124745</v>
      </c>
      <c r="Z65" s="38">
        <f>(L65*'RESULTADO DIRETO'!N$15)/6*3</f>
        <v>3.95326477054868</v>
      </c>
      <c r="AA65" s="37">
        <f t="shared" si="114"/>
        <v>0.0192851591323903</v>
      </c>
      <c r="AB65" s="38">
        <f t="shared" si="115"/>
        <v>0.1873877642</v>
      </c>
      <c r="AC65" s="38">
        <f t="shared" si="116"/>
        <v>0.1873877642</v>
      </c>
      <c r="AD65" s="36">
        <f t="shared" si="117"/>
        <v>143.008559344054</v>
      </c>
      <c r="AE65" s="39">
        <f t="shared" si="118"/>
        <v>0.697636759569022</v>
      </c>
      <c r="AF65" s="38">
        <f t="shared" si="119"/>
        <v>24.5988</v>
      </c>
      <c r="AG65" s="38"/>
      <c r="AH65" s="38">
        <f t="shared" si="120"/>
        <v>10.65948</v>
      </c>
      <c r="AI65" s="36">
        <f t="shared" si="129"/>
        <v>35.25828</v>
      </c>
      <c r="AJ65" s="40">
        <f t="shared" si="122"/>
        <v>178.266839344054</v>
      </c>
      <c r="AK65" s="41">
        <f t="shared" si="123"/>
        <v>0.869636759569022</v>
      </c>
      <c r="AL65" s="40">
        <f t="shared" si="124"/>
        <v>26.7231606559462</v>
      </c>
      <c r="AM65" s="42">
        <f t="shared" si="125"/>
        <v>0.130363240430978</v>
      </c>
      <c r="AN65" s="40">
        <f t="shared" si="130"/>
        <v>4.9371387283237</v>
      </c>
    </row>
    <row r="66" spans="1:40">
      <c r="A66" s="25">
        <v>46259</v>
      </c>
      <c r="B66" s="25" t="str">
        <v>NORMAL</v>
      </c>
      <c r="C66" s="25" t="str">
        <v>MMM1H28</v>
      </c>
      <c r="D66" s="43" t="str">
        <v>JOI</v>
      </c>
      <c r="E66" s="43" t="str">
        <v>SC</v>
      </c>
      <c r="F66" s="43" t="str">
        <v>BHZ</v>
      </c>
      <c r="G66" s="43" t="str">
        <v>MG</v>
      </c>
      <c r="H66" s="43" t="str">
        <v>BRASCOLA LTDA -</v>
      </c>
      <c r="I66" s="201" t="str">
        <v>000331552</v>
      </c>
      <c r="J66" s="44">
        <v>1528.53</v>
      </c>
      <c r="K66" s="27">
        <v>22</v>
      </c>
      <c r="L66" s="28">
        <v>66</v>
      </c>
      <c r="M66" s="45">
        <v>191.38</v>
      </c>
      <c r="N66" s="30">
        <v>0.12</v>
      </c>
      <c r="O66" s="31">
        <v>38.28</v>
      </c>
      <c r="P66" s="32">
        <f t="shared" ref="P66:P82" si="133">L66*0.34</f>
        <v>22.44</v>
      </c>
      <c r="Q66" s="46">
        <f t="shared" si="132"/>
        <v>11.88</v>
      </c>
      <c r="R66" s="46">
        <f>L66*0.14</f>
        <v>9.24</v>
      </c>
      <c r="S66" s="33"/>
      <c r="T66" s="47">
        <v>0</v>
      </c>
      <c r="U66" s="35">
        <f t="shared" si="127"/>
        <v>0</v>
      </c>
      <c r="V66" s="36">
        <f t="shared" si="93"/>
        <v>81.84</v>
      </c>
      <c r="W66" s="37">
        <f t="shared" si="112"/>
        <v>0.427630891420211</v>
      </c>
      <c r="X66" s="38">
        <f>(L66*'RESULTADO DIRETO'!N$27)/6*4</f>
        <v>9.19871088557929</v>
      </c>
      <c r="Y66" s="37">
        <f t="shared" si="113"/>
        <v>0.0480651629510884</v>
      </c>
      <c r="Z66" s="38">
        <f>(L66*'RESULTADO DIRETO'!N$15)/6*4</f>
        <v>8.37878853102804</v>
      </c>
      <c r="AA66" s="37">
        <f t="shared" si="114"/>
        <v>0.0437808994201486</v>
      </c>
      <c r="AB66" s="38">
        <f t="shared" si="115"/>
        <v>0.1641335514</v>
      </c>
      <c r="AC66" s="38">
        <f t="shared" si="116"/>
        <v>0.1641335514</v>
      </c>
      <c r="AD66" s="36">
        <f t="shared" si="117"/>
        <v>99.7457665194073</v>
      </c>
      <c r="AE66" s="39">
        <f t="shared" si="118"/>
        <v>0.521192217156481</v>
      </c>
      <c r="AF66" s="38">
        <f t="shared" si="119"/>
        <v>22.9656</v>
      </c>
      <c r="AG66" s="38"/>
      <c r="AH66" s="38">
        <f t="shared" si="120"/>
        <v>9.95176</v>
      </c>
      <c r="AI66" s="36">
        <f t="shared" si="129"/>
        <v>32.91736</v>
      </c>
      <c r="AJ66" s="40">
        <f t="shared" si="122"/>
        <v>132.663126519407</v>
      </c>
      <c r="AK66" s="41">
        <f t="shared" si="123"/>
        <v>0.693192217156481</v>
      </c>
      <c r="AL66" s="40">
        <f t="shared" si="124"/>
        <v>58.7168734805927</v>
      </c>
      <c r="AM66" s="42">
        <f t="shared" si="125"/>
        <v>0.306807782843519</v>
      </c>
      <c r="AN66" s="40">
        <f t="shared" si="130"/>
        <v>2.89969696969697</v>
      </c>
    </row>
    <row r="67" spans="1:40">
      <c r="A67" s="25">
        <v>46259</v>
      </c>
      <c r="B67" s="25" t="str">
        <v>NORMAL</v>
      </c>
      <c r="C67" s="25" t="str">
        <v>MMM1H28</v>
      </c>
      <c r="D67" s="43" t="str">
        <v>JOI</v>
      </c>
      <c r="E67" s="43" t="str">
        <v>SC</v>
      </c>
      <c r="F67" s="43" t="str">
        <v>GVR</v>
      </c>
      <c r="G67" s="43" t="str">
        <v>MG</v>
      </c>
      <c r="H67" s="43" t="str">
        <v>BRASCOLA LTDA -</v>
      </c>
      <c r="I67" s="201" t="str">
        <v>000331594</v>
      </c>
      <c r="J67" s="44">
        <v>1715.12</v>
      </c>
      <c r="K67" s="27">
        <v>13</v>
      </c>
      <c r="L67" s="28">
        <v>51.72</v>
      </c>
      <c r="M67" s="45">
        <v>248.39</v>
      </c>
      <c r="N67" s="30">
        <v>0.12</v>
      </c>
      <c r="O67" s="31">
        <v>49.68</v>
      </c>
      <c r="P67" s="32">
        <f t="shared" si="133"/>
        <v>17.5848</v>
      </c>
      <c r="Q67" s="46">
        <f t="shared" si="132"/>
        <v>9.3096</v>
      </c>
      <c r="R67" s="46">
        <f>L67*0.14</f>
        <v>7.2408</v>
      </c>
      <c r="S67" s="33"/>
      <c r="T67" s="34">
        <v>91.44</v>
      </c>
      <c r="U67" s="35">
        <f t="shared" ref="U67:U82" si="134">T67/M67</f>
        <v>0.368130762107975</v>
      </c>
      <c r="V67" s="36">
        <f t="shared" si="93"/>
        <v>175.2552</v>
      </c>
      <c r="W67" s="37">
        <f t="shared" si="112"/>
        <v>0.705564636257498</v>
      </c>
      <c r="X67" s="38">
        <f>(L67*'RESULTADO DIRETO'!N$27)/6*4</f>
        <v>7.20844434851759</v>
      </c>
      <c r="Y67" s="37">
        <f t="shared" si="113"/>
        <v>0.0290206705121687</v>
      </c>
      <c r="Z67" s="38">
        <f>(L67*'RESULTADO DIRETO'!N$15)/6*4</f>
        <v>6.56592337613288</v>
      </c>
      <c r="AA67" s="37">
        <f t="shared" ref="AA67:AA82" si="135">Z67/M67</f>
        <v>0.026433928000857</v>
      </c>
      <c r="AB67" s="38">
        <f t="shared" ref="AB67:AB82" si="136">(J67*0.01%)*7.38%+(J67*0.01%)</f>
        <v>0.1841695856</v>
      </c>
      <c r="AC67" s="38">
        <f t="shared" ref="AC67:AC82" si="137">(J67*0.01%)*7.38%+(J67*0.01%)</f>
        <v>0.1841695856</v>
      </c>
      <c r="AD67" s="36">
        <f t="shared" ref="AD67:AD82" si="138">V67+X67+Z67+AB67+AC67</f>
        <v>189.39790689585</v>
      </c>
      <c r="AE67" s="39">
        <f t="shared" ref="AE67:AE82" si="139">AD67/M67</f>
        <v>0.762502141373849</v>
      </c>
      <c r="AF67" s="38">
        <f t="shared" ref="AF67:AF82" si="140">M67*N67</f>
        <v>29.8068</v>
      </c>
      <c r="AG67" s="38"/>
      <c r="AH67" s="38">
        <f t="shared" ref="AH67:AH82" si="141">M67*0.052</f>
        <v>12.91628</v>
      </c>
      <c r="AI67" s="36">
        <f t="shared" ref="AI67:AI82" si="142">AF67+AG67+AH67</f>
        <v>42.72308</v>
      </c>
      <c r="AJ67" s="40">
        <f t="shared" ref="AJ67:AJ82" si="143">AD67+AI67</f>
        <v>232.12098689585</v>
      </c>
      <c r="AK67" s="41">
        <f t="shared" ref="AK67:AK82" si="144">AJ67/M67</f>
        <v>0.934502141373849</v>
      </c>
      <c r="AL67" s="40">
        <f t="shared" ref="AL67:AL82" si="145">M67-AJ67</f>
        <v>16.2690131041496</v>
      </c>
      <c r="AM67" s="42">
        <f t="shared" ref="AM67:AM83" si="146">AL67/M67</f>
        <v>0.0654978586261507</v>
      </c>
      <c r="AN67" s="40">
        <f t="shared" ref="AN67:AN83" si="147">M67/L67</f>
        <v>4.80259087393658</v>
      </c>
    </row>
    <row r="68" spans="1:40">
      <c r="A68" s="25">
        <v>46259</v>
      </c>
      <c r="B68" s="25" t="str">
        <v>NORMAL</v>
      </c>
      <c r="C68" s="25" t="str">
        <v>MMM1H28</v>
      </c>
      <c r="D68" s="43" t="str">
        <v>JOI</v>
      </c>
      <c r="E68" s="43" t="str">
        <v>SC</v>
      </c>
      <c r="F68" s="43" t="str">
        <v>DCC</v>
      </c>
      <c r="G68" s="43" t="str">
        <v>MG</v>
      </c>
      <c r="H68" s="43" t="str">
        <v>BRASCOLA LTDA -</v>
      </c>
      <c r="I68" s="201" t="str">
        <v>000331603</v>
      </c>
      <c r="J68" s="44">
        <v>1505.54</v>
      </c>
      <c r="K68" s="27">
        <v>13</v>
      </c>
      <c r="L68" s="28">
        <v>43.24</v>
      </c>
      <c r="M68" s="45">
        <v>204.03</v>
      </c>
      <c r="N68" s="30">
        <v>0.12</v>
      </c>
      <c r="O68" s="31">
        <v>40.81</v>
      </c>
      <c r="P68" s="32">
        <f t="shared" si="133"/>
        <v>14.7016</v>
      </c>
      <c r="Q68" s="32">
        <f t="shared" si="132"/>
        <v>7.7832</v>
      </c>
      <c r="R68" s="33"/>
      <c r="S68" s="33"/>
      <c r="T68" s="34">
        <v>71.41</v>
      </c>
      <c r="U68" s="35">
        <f t="shared" si="134"/>
        <v>0.349997549379993</v>
      </c>
      <c r="V68" s="36">
        <f t="shared" si="93"/>
        <v>134.7048</v>
      </c>
      <c r="W68" s="37">
        <f t="shared" si="112"/>
        <v>0.660220555800618</v>
      </c>
      <c r="X68" s="38">
        <f>(L68*'RESULTADO DIRETO'!N$27)/6*3</f>
        <v>4.51991203059601</v>
      </c>
      <c r="Y68" s="37">
        <f t="shared" si="113"/>
        <v>0.0221531737028673</v>
      </c>
      <c r="Z68" s="38">
        <f>(L68*'RESULTADO DIRETO'!N$15)/6*3</f>
        <v>4.11703200092787</v>
      </c>
      <c r="AA68" s="37">
        <f t="shared" si="135"/>
        <v>0.0201785619807277</v>
      </c>
      <c r="AB68" s="38">
        <f t="shared" si="136"/>
        <v>0.1616648852</v>
      </c>
      <c r="AC68" s="38">
        <f t="shared" si="137"/>
        <v>0.1616648852</v>
      </c>
      <c r="AD68" s="36">
        <f t="shared" si="138"/>
        <v>143.665073801924</v>
      </c>
      <c r="AE68" s="39">
        <f t="shared" si="139"/>
        <v>0.704137008292525</v>
      </c>
      <c r="AF68" s="38">
        <f t="shared" si="140"/>
        <v>24.4836</v>
      </c>
      <c r="AG68" s="38"/>
      <c r="AH68" s="38">
        <f t="shared" si="141"/>
        <v>10.60956</v>
      </c>
      <c r="AI68" s="36">
        <f t="shared" si="142"/>
        <v>35.09316</v>
      </c>
      <c r="AJ68" s="40">
        <f t="shared" si="143"/>
        <v>178.758233801924</v>
      </c>
      <c r="AK68" s="41">
        <f t="shared" si="144"/>
        <v>0.876137008292525</v>
      </c>
      <c r="AL68" s="40">
        <f t="shared" si="145"/>
        <v>25.2717661980761</v>
      </c>
      <c r="AM68" s="42">
        <f t="shared" si="146"/>
        <v>0.123862991707475</v>
      </c>
      <c r="AN68" s="40">
        <f t="shared" si="147"/>
        <v>4.71854764107308</v>
      </c>
    </row>
    <row r="69" spans="1:40">
      <c r="A69" s="25">
        <v>46259</v>
      </c>
      <c r="B69" s="25" t="str">
        <v>NORMAL</v>
      </c>
      <c r="C69" s="25" t="str">
        <v>MMM1H28</v>
      </c>
      <c r="D69" s="43" t="str">
        <v>JOI</v>
      </c>
      <c r="E69" s="43" t="str">
        <v>SC</v>
      </c>
      <c r="F69" s="43" t="str">
        <v>TRU</v>
      </c>
      <c r="G69" s="43" t="str">
        <v>MG</v>
      </c>
      <c r="H69" s="43" t="str">
        <v>BRASCOLA LTDA -</v>
      </c>
      <c r="I69" s="201" t="str">
        <v>000331617</v>
      </c>
      <c r="J69" s="44">
        <v>1586.76</v>
      </c>
      <c r="K69" s="27">
        <v>12</v>
      </c>
      <c r="L69" s="28">
        <v>36</v>
      </c>
      <c r="M69" s="45">
        <v>220.64</v>
      </c>
      <c r="N69" s="30">
        <v>0.12</v>
      </c>
      <c r="O69" s="31">
        <v>44.13</v>
      </c>
      <c r="P69" s="32">
        <f t="shared" si="133"/>
        <v>12.24</v>
      </c>
      <c r="Q69" s="33"/>
      <c r="R69" s="32">
        <f>L69*0.09</f>
        <v>3.24</v>
      </c>
      <c r="S69" s="33"/>
      <c r="T69" s="34">
        <v>94.8</v>
      </c>
      <c r="U69" s="35">
        <f t="shared" si="134"/>
        <v>0.429659173313996</v>
      </c>
      <c r="V69" s="36">
        <f t="shared" si="93"/>
        <v>154.41</v>
      </c>
      <c r="W69" s="37">
        <f t="shared" si="112"/>
        <v>0.699827773749094</v>
      </c>
      <c r="X69" s="38">
        <f>(L69*'RESULTADO DIRETO'!N$27)/6*3</f>
        <v>3.76310899864607</v>
      </c>
      <c r="Y69" s="37">
        <f t="shared" si="113"/>
        <v>0.0170554251207672</v>
      </c>
      <c r="Z69" s="38">
        <f>(L69*'RESULTADO DIRETO'!N$15)/6*3</f>
        <v>3.42768621723874</v>
      </c>
      <c r="AA69" s="37">
        <f t="shared" si="135"/>
        <v>0.0155351985915461</v>
      </c>
      <c r="AB69" s="38">
        <f t="shared" si="136"/>
        <v>0.1703862888</v>
      </c>
      <c r="AC69" s="38">
        <f t="shared" si="137"/>
        <v>0.1703862888</v>
      </c>
      <c r="AD69" s="36">
        <f t="shared" si="138"/>
        <v>161.941567793485</v>
      </c>
      <c r="AE69" s="39">
        <f t="shared" si="139"/>
        <v>0.733962870710138</v>
      </c>
      <c r="AF69" s="38">
        <f t="shared" si="140"/>
        <v>26.4768</v>
      </c>
      <c r="AG69" s="38"/>
      <c r="AH69" s="38">
        <f t="shared" si="141"/>
        <v>11.47328</v>
      </c>
      <c r="AI69" s="36">
        <f t="shared" si="142"/>
        <v>37.95008</v>
      </c>
      <c r="AJ69" s="40">
        <f t="shared" si="143"/>
        <v>199.891647793485</v>
      </c>
      <c r="AK69" s="41">
        <f t="shared" si="144"/>
        <v>0.905962870710138</v>
      </c>
      <c r="AL69" s="40">
        <f t="shared" si="145"/>
        <v>20.7483522065152</v>
      </c>
      <c r="AM69" s="42">
        <f t="shared" si="146"/>
        <v>0.0940371292898623</v>
      </c>
      <c r="AN69" s="40">
        <f t="shared" si="147"/>
        <v>6.12888888888889</v>
      </c>
    </row>
    <row r="70" spans="1:40">
      <c r="A70" s="25">
        <v>46261</v>
      </c>
      <c r="B70" s="25" t="str">
        <v>NORMAL</v>
      </c>
      <c r="C70" s="25" t="str">
        <v>MMM1H28</v>
      </c>
      <c r="D70" s="43" t="str">
        <v>JOI</v>
      </c>
      <c r="E70" s="43" t="str">
        <v>SC</v>
      </c>
      <c r="F70" s="43" t="str">
        <v>DCC</v>
      </c>
      <c r="G70" s="43" t="str">
        <v>MG</v>
      </c>
      <c r="H70" s="43" t="str">
        <v>BRASCOLA LTDA -</v>
      </c>
      <c r="I70" s="201" t="str">
        <v>000331714</v>
      </c>
      <c r="J70" s="44">
        <v>1500.32</v>
      </c>
      <c r="K70" s="27">
        <v>9</v>
      </c>
      <c r="L70" s="28">
        <v>49.848</v>
      </c>
      <c r="M70" s="45">
        <v>220.3</v>
      </c>
      <c r="N70" s="30">
        <v>0.12</v>
      </c>
      <c r="O70" s="31">
        <v>44.06</v>
      </c>
      <c r="P70" s="32">
        <f t="shared" si="133"/>
        <v>16.94832</v>
      </c>
      <c r="Q70" s="32">
        <f>L70*0.18</f>
        <v>8.97264</v>
      </c>
      <c r="R70" s="33"/>
      <c r="S70" s="33"/>
      <c r="T70" s="34">
        <v>77.11</v>
      </c>
      <c r="U70" s="35">
        <f t="shared" si="134"/>
        <v>0.350022696323196</v>
      </c>
      <c r="V70" s="36">
        <f t="shared" si="93"/>
        <v>147.09096</v>
      </c>
      <c r="W70" s="37">
        <f t="shared" si="112"/>
        <v>0.667684793463459</v>
      </c>
      <c r="X70" s="38">
        <f>(L70*'RESULTADO DIRETO'!N$27)/6*3</f>
        <v>5.2106515934586</v>
      </c>
      <c r="Y70" s="37">
        <f t="shared" si="113"/>
        <v>0.023652526525005</v>
      </c>
      <c r="Z70" s="38">
        <f>(L70*'RESULTADO DIRETO'!N$15)/6*3</f>
        <v>4.74620284880324</v>
      </c>
      <c r="AA70" s="37">
        <f t="shared" si="135"/>
        <v>0.0215442707617033</v>
      </c>
      <c r="AB70" s="38">
        <f t="shared" si="136"/>
        <v>0.1611043616</v>
      </c>
      <c r="AC70" s="38">
        <f t="shared" si="137"/>
        <v>0.1611043616</v>
      </c>
      <c r="AD70" s="36">
        <f t="shared" si="138"/>
        <v>157.370023165462</v>
      </c>
      <c r="AE70" s="39">
        <f t="shared" si="139"/>
        <v>0.714344181413808</v>
      </c>
      <c r="AF70" s="38">
        <f t="shared" si="140"/>
        <v>26.436</v>
      </c>
      <c r="AG70" s="38"/>
      <c r="AH70" s="38">
        <f t="shared" si="141"/>
        <v>11.4556</v>
      </c>
      <c r="AI70" s="36">
        <f t="shared" si="142"/>
        <v>37.8916</v>
      </c>
      <c r="AJ70" s="40">
        <f t="shared" si="143"/>
        <v>195.261623165462</v>
      </c>
      <c r="AK70" s="41">
        <f t="shared" si="144"/>
        <v>0.886344181413808</v>
      </c>
      <c r="AL70" s="40">
        <f t="shared" si="145"/>
        <v>25.0383768345382</v>
      </c>
      <c r="AM70" s="42">
        <f t="shared" si="146"/>
        <v>0.113655818586192</v>
      </c>
      <c r="AN70" s="40">
        <f t="shared" si="147"/>
        <v>4.41943508265126</v>
      </c>
    </row>
    <row r="71" spans="1:40">
      <c r="A71" s="25">
        <v>46261</v>
      </c>
      <c r="B71" s="25" t="str">
        <v>NORMAL</v>
      </c>
      <c r="C71" s="25" t="str">
        <v>MMM1H28</v>
      </c>
      <c r="D71" s="43" t="str">
        <v>JOI</v>
      </c>
      <c r="E71" s="43" t="str">
        <v>SC</v>
      </c>
      <c r="F71" s="43" t="str">
        <v>VEA</v>
      </c>
      <c r="G71" s="43" t="str">
        <v>MG</v>
      </c>
      <c r="H71" s="43" t="str">
        <v>BRASCOLA LTDA -</v>
      </c>
      <c r="I71" s="201" t="str">
        <v>000331690</v>
      </c>
      <c r="J71" s="44">
        <v>3339.87</v>
      </c>
      <c r="K71" s="27">
        <v>27</v>
      </c>
      <c r="L71" s="28">
        <v>135.42</v>
      </c>
      <c r="M71" s="45">
        <v>341.58</v>
      </c>
      <c r="N71" s="30">
        <v>0.12</v>
      </c>
      <c r="O71" s="31">
        <v>68.32</v>
      </c>
      <c r="P71" s="32">
        <f t="shared" si="133"/>
        <v>46.0428</v>
      </c>
      <c r="Q71" s="48">
        <f t="shared" ref="Q71:Q73" si="148">L71*0.18</f>
        <v>24.3756</v>
      </c>
      <c r="R71" s="49">
        <f>L71*0.06</f>
        <v>8.1252</v>
      </c>
      <c r="S71" s="33"/>
      <c r="T71" s="34">
        <v>102.47</v>
      </c>
      <c r="U71" s="35">
        <f t="shared" si="134"/>
        <v>0.299988289712512</v>
      </c>
      <c r="V71" s="36">
        <f t="shared" si="93"/>
        <v>249.3336</v>
      </c>
      <c r="W71" s="37">
        <f t="shared" si="112"/>
        <v>0.729942034076937</v>
      </c>
      <c r="X71" s="38">
        <f>(L71*'RESULTADO DIRETO'!N$27)/6*4</f>
        <v>18.8740822443204</v>
      </c>
      <c r="Y71" s="37">
        <f t="shared" si="113"/>
        <v>0.0552552322862006</v>
      </c>
      <c r="Z71" s="38">
        <f>(L71*'RESULTADO DIRETO'!N$15)/6*4</f>
        <v>17.191750649573</v>
      </c>
      <c r="AA71" s="37">
        <f t="shared" si="135"/>
        <v>0.0503300856302271</v>
      </c>
      <c r="AB71" s="38">
        <f t="shared" si="136"/>
        <v>0.3586352406</v>
      </c>
      <c r="AC71" s="38">
        <f t="shared" si="137"/>
        <v>0.3586352406</v>
      </c>
      <c r="AD71" s="36">
        <f t="shared" si="138"/>
        <v>286.116703375093</v>
      </c>
      <c r="AE71" s="39">
        <f t="shared" si="139"/>
        <v>0.837627212878662</v>
      </c>
      <c r="AF71" s="38">
        <f t="shared" si="140"/>
        <v>40.9896</v>
      </c>
      <c r="AG71" s="38"/>
      <c r="AH71" s="38">
        <f t="shared" si="141"/>
        <v>17.76216</v>
      </c>
      <c r="AI71" s="36">
        <f t="shared" si="142"/>
        <v>58.75176</v>
      </c>
      <c r="AJ71" s="40">
        <f t="shared" si="143"/>
        <v>344.868463375093</v>
      </c>
      <c r="AK71" s="41">
        <f t="shared" si="144"/>
        <v>1.00962721287866</v>
      </c>
      <c r="AL71" s="40">
        <f t="shared" si="145"/>
        <v>-3.28846337509333</v>
      </c>
      <c r="AM71" s="42">
        <f t="shared" si="146"/>
        <v>-0.00962721287866189</v>
      </c>
      <c r="AN71" s="40">
        <f t="shared" si="147"/>
        <v>2.52237483385024</v>
      </c>
    </row>
    <row r="72" spans="1:40">
      <c r="A72" s="25">
        <v>46262</v>
      </c>
      <c r="B72" s="25" t="str">
        <v>NORMAL</v>
      </c>
      <c r="C72" s="25" t="str">
        <v>MMM1H28</v>
      </c>
      <c r="D72" s="43" t="str">
        <v>JOI</v>
      </c>
      <c r="E72" s="43" t="str">
        <v>SC</v>
      </c>
      <c r="F72" s="43" t="str">
        <v>VEA</v>
      </c>
      <c r="G72" s="43" t="str">
        <v>MG</v>
      </c>
      <c r="H72" s="43" t="str">
        <v>BRASCOLA LTDA -</v>
      </c>
      <c r="I72" s="201" t="str">
        <v>000331805</v>
      </c>
      <c r="J72" s="44">
        <v>1659.49</v>
      </c>
      <c r="K72" s="27">
        <v>14</v>
      </c>
      <c r="L72" s="28">
        <v>56.064</v>
      </c>
      <c r="M72" s="45">
        <v>248.17</v>
      </c>
      <c r="N72" s="30">
        <v>0.12</v>
      </c>
      <c r="O72" s="31">
        <v>49.63</v>
      </c>
      <c r="P72" s="32">
        <f t="shared" si="133"/>
        <v>19.06176</v>
      </c>
      <c r="Q72" s="48">
        <f t="shared" si="148"/>
        <v>10.09152</v>
      </c>
      <c r="R72" s="49">
        <f>L72*0.06</f>
        <v>3.36384</v>
      </c>
      <c r="S72" s="33"/>
      <c r="T72" s="34">
        <v>74.45</v>
      </c>
      <c r="U72" s="35">
        <f t="shared" si="134"/>
        <v>0.29999597050409</v>
      </c>
      <c r="V72" s="36">
        <f t="shared" si="93"/>
        <v>156.59712</v>
      </c>
      <c r="W72" s="37">
        <f t="shared" si="112"/>
        <v>0.631007454567434</v>
      </c>
      <c r="X72" s="38">
        <f>(L72*'RESULTADO DIRETO'!N$27)/6*4</f>
        <v>7.81388677407754</v>
      </c>
      <c r="Y72" s="37">
        <f t="shared" si="113"/>
        <v>0.0314860247978303</v>
      </c>
      <c r="Z72" s="38">
        <f>(L72*'RESULTADO DIRETO'!N$15)/6*4</f>
        <v>7.11740000308418</v>
      </c>
      <c r="AA72" s="37">
        <f t="shared" si="135"/>
        <v>0.0286795342027005</v>
      </c>
      <c r="AB72" s="38">
        <f t="shared" si="136"/>
        <v>0.1781960362</v>
      </c>
      <c r="AC72" s="38">
        <f t="shared" si="137"/>
        <v>0.1781960362</v>
      </c>
      <c r="AD72" s="36">
        <f t="shared" si="138"/>
        <v>171.884798849562</v>
      </c>
      <c r="AE72" s="39">
        <f t="shared" si="139"/>
        <v>0.692609093966079</v>
      </c>
      <c r="AF72" s="38">
        <f t="shared" si="140"/>
        <v>29.7804</v>
      </c>
      <c r="AG72" s="38"/>
      <c r="AH72" s="38">
        <f t="shared" si="141"/>
        <v>12.90484</v>
      </c>
      <c r="AI72" s="36">
        <f t="shared" si="142"/>
        <v>42.68524</v>
      </c>
      <c r="AJ72" s="40">
        <f t="shared" si="143"/>
        <v>214.570038849562</v>
      </c>
      <c r="AK72" s="41">
        <f t="shared" si="144"/>
        <v>0.864609093966079</v>
      </c>
      <c r="AL72" s="40">
        <f t="shared" si="145"/>
        <v>33.5999611504382</v>
      </c>
      <c r="AM72" s="42">
        <f t="shared" si="146"/>
        <v>0.135390906033921</v>
      </c>
      <c r="AN72" s="40">
        <f t="shared" si="147"/>
        <v>4.42654823059361</v>
      </c>
    </row>
    <row r="73" spans="1:40">
      <c r="A73" s="25">
        <v>46262</v>
      </c>
      <c r="B73" s="25" t="str">
        <v>NORMAL</v>
      </c>
      <c r="C73" s="25" t="str">
        <v>MMM1H28</v>
      </c>
      <c r="D73" s="43" t="str">
        <v>JOI</v>
      </c>
      <c r="E73" s="43" t="str">
        <v>SC</v>
      </c>
      <c r="F73" s="43" t="str">
        <v>TAM</v>
      </c>
      <c r="G73" s="43" t="str">
        <v>MG</v>
      </c>
      <c r="H73" s="43" t="str">
        <v>BRASCOLA LTDA -</v>
      </c>
      <c r="I73" s="201" t="str">
        <v>000331790</v>
      </c>
      <c r="J73" s="44">
        <v>10666.9</v>
      </c>
      <c r="K73" s="27">
        <v>1</v>
      </c>
      <c r="L73" s="28">
        <v>362.62</v>
      </c>
      <c r="M73" s="45">
        <v>699.24</v>
      </c>
      <c r="N73" s="30">
        <v>0.12</v>
      </c>
      <c r="O73" s="31">
        <v>139.85</v>
      </c>
      <c r="P73" s="32">
        <f t="shared" si="133"/>
        <v>123.2908</v>
      </c>
      <c r="Q73" s="46">
        <f t="shared" si="148"/>
        <v>65.2716</v>
      </c>
      <c r="R73" s="46">
        <f t="shared" ref="R73:R77" si="149">L73*0.14</f>
        <v>50.7668</v>
      </c>
      <c r="S73" s="33"/>
      <c r="T73" s="34">
        <v>181.31</v>
      </c>
      <c r="U73" s="35">
        <f t="shared" si="134"/>
        <v>0.259295806876037</v>
      </c>
      <c r="V73" s="36">
        <f t="shared" si="93"/>
        <v>560.4892</v>
      </c>
      <c r="W73" s="37">
        <f t="shared" si="112"/>
        <v>0.801569132200675</v>
      </c>
      <c r="X73" s="38">
        <f>(L73*'RESULTADO DIRETO'!N$27)/6*4</f>
        <v>50.5399475958903</v>
      </c>
      <c r="Y73" s="37">
        <f t="shared" si="113"/>
        <v>0.0722783988271414</v>
      </c>
      <c r="Z73" s="38">
        <f>(L73*'RESULTADO DIRETO'!N$15)/6*4</f>
        <v>46.0350954109301</v>
      </c>
      <c r="AA73" s="37">
        <f t="shared" si="135"/>
        <v>0.0658359009938363</v>
      </c>
      <c r="AB73" s="38">
        <f t="shared" si="136"/>
        <v>1.145411722</v>
      </c>
      <c r="AC73" s="38">
        <f t="shared" si="137"/>
        <v>1.145411722</v>
      </c>
      <c r="AD73" s="36">
        <f t="shared" si="138"/>
        <v>659.35506645082</v>
      </c>
      <c r="AE73" s="39">
        <f t="shared" si="139"/>
        <v>0.942959593917425</v>
      </c>
      <c r="AF73" s="38">
        <f t="shared" si="140"/>
        <v>83.9088</v>
      </c>
      <c r="AG73" s="38"/>
      <c r="AH73" s="38">
        <f t="shared" si="141"/>
        <v>36.36048</v>
      </c>
      <c r="AI73" s="36">
        <f t="shared" si="142"/>
        <v>120.26928</v>
      </c>
      <c r="AJ73" s="40">
        <f t="shared" si="143"/>
        <v>779.62434645082</v>
      </c>
      <c r="AK73" s="41">
        <f t="shared" si="144"/>
        <v>1.11495959391743</v>
      </c>
      <c r="AL73" s="40">
        <f t="shared" si="145"/>
        <v>-80.3843464508203</v>
      </c>
      <c r="AM73" s="42">
        <f t="shared" si="146"/>
        <v>-0.114959593917425</v>
      </c>
      <c r="AN73" s="40">
        <f t="shared" si="147"/>
        <v>1.92829959737466</v>
      </c>
    </row>
    <row r="74" spans="1:40">
      <c r="A74" s="25">
        <v>46262</v>
      </c>
      <c r="B74" s="25" t="str">
        <v>NORMAL</v>
      </c>
      <c r="C74" s="25" t="str">
        <v>MMM1H28</v>
      </c>
      <c r="D74" s="43" t="str">
        <v>JOI</v>
      </c>
      <c r="E74" s="43" t="str">
        <v>SC</v>
      </c>
      <c r="F74" s="43" t="str">
        <v>GRF</v>
      </c>
      <c r="G74" s="43" t="str">
        <v>MG</v>
      </c>
      <c r="H74" s="43" t="str">
        <v>BRASCOLA LTDA -</v>
      </c>
      <c r="I74" s="201" t="str">
        <v>000331780</v>
      </c>
      <c r="J74" s="44">
        <v>4132.93</v>
      </c>
      <c r="K74" s="27">
        <v>35</v>
      </c>
      <c r="L74" s="28">
        <v>171.576</v>
      </c>
      <c r="M74" s="45">
        <v>411.83</v>
      </c>
      <c r="N74" s="30">
        <v>0.12</v>
      </c>
      <c r="O74" s="31">
        <v>82.37</v>
      </c>
      <c r="P74" s="32">
        <f t="shared" si="133"/>
        <v>58.33584</v>
      </c>
      <c r="Q74" s="33"/>
      <c r="R74" s="32">
        <f t="shared" ref="R74:R80" si="150">L74*0.09</f>
        <v>15.44184</v>
      </c>
      <c r="S74" s="33"/>
      <c r="T74" s="34">
        <v>209.13</v>
      </c>
      <c r="U74" s="35">
        <f t="shared" si="134"/>
        <v>0.507806619236093</v>
      </c>
      <c r="V74" s="36">
        <f t="shared" si="93"/>
        <v>365.27768</v>
      </c>
      <c r="W74" s="37">
        <f t="shared" si="112"/>
        <v>0.886962290265401</v>
      </c>
      <c r="X74" s="38">
        <f>(L74*'RESULTADO DIRETO'!N$27)/6*3</f>
        <v>17.9349774875472</v>
      </c>
      <c r="Y74" s="37">
        <f t="shared" si="113"/>
        <v>0.0435494681969434</v>
      </c>
      <c r="Z74" s="38">
        <f>(L74*'RESULTADO DIRETO'!N$15)/6*3</f>
        <v>16.3363525113598</v>
      </c>
      <c r="AA74" s="37">
        <f t="shared" si="135"/>
        <v>0.0396677087909085</v>
      </c>
      <c r="AB74" s="38">
        <f t="shared" si="136"/>
        <v>0.4437940234</v>
      </c>
      <c r="AC74" s="38">
        <f t="shared" si="137"/>
        <v>0.4437940234</v>
      </c>
      <c r="AD74" s="36">
        <f t="shared" si="138"/>
        <v>400.436598045707</v>
      </c>
      <c r="AE74" s="39">
        <f t="shared" si="139"/>
        <v>0.972334696466278</v>
      </c>
      <c r="AF74" s="38">
        <f t="shared" si="140"/>
        <v>49.4196</v>
      </c>
      <c r="AG74" s="38"/>
      <c r="AH74" s="38">
        <f t="shared" si="141"/>
        <v>21.41516</v>
      </c>
      <c r="AI74" s="36">
        <f t="shared" si="142"/>
        <v>70.83476</v>
      </c>
      <c r="AJ74" s="40">
        <f t="shared" si="143"/>
        <v>471.271358045707</v>
      </c>
      <c r="AK74" s="41">
        <f t="shared" si="144"/>
        <v>1.14433469646628</v>
      </c>
      <c r="AL74" s="40">
        <f t="shared" si="145"/>
        <v>-59.4413580457071</v>
      </c>
      <c r="AM74" s="42">
        <f t="shared" si="146"/>
        <v>-0.144334696466278</v>
      </c>
      <c r="AN74" s="40">
        <f t="shared" si="147"/>
        <v>2.40027742807852</v>
      </c>
    </row>
    <row r="75" spans="1:40">
      <c r="A75" s="25">
        <v>46265</v>
      </c>
      <c r="B75" s="25" t="str">
        <v>NORMAL</v>
      </c>
      <c r="C75" s="25" t="str">
        <v>MMM1H28</v>
      </c>
      <c r="D75" s="43" t="str">
        <v>JOI</v>
      </c>
      <c r="E75" s="43" t="str">
        <v>SC</v>
      </c>
      <c r="F75" s="43" t="str">
        <v>TAM</v>
      </c>
      <c r="G75" s="43" t="str">
        <v>MG</v>
      </c>
      <c r="H75" s="43" t="str">
        <v>BRASCOLA LTDA -</v>
      </c>
      <c r="I75" s="201" t="str">
        <v>000331845</v>
      </c>
      <c r="J75" s="44">
        <v>1561.55</v>
      </c>
      <c r="K75" s="27">
        <v>15</v>
      </c>
      <c r="L75" s="28">
        <v>73.122</v>
      </c>
      <c r="M75" s="45">
        <v>241.83</v>
      </c>
      <c r="N75" s="30">
        <v>0.12</v>
      </c>
      <c r="O75" s="31">
        <v>48.37</v>
      </c>
      <c r="P75" s="32">
        <f t="shared" si="133"/>
        <v>24.86148</v>
      </c>
      <c r="Q75" s="46">
        <f>L75*0.18</f>
        <v>13.16196</v>
      </c>
      <c r="R75" s="46">
        <f t="shared" si="149"/>
        <v>10.23708</v>
      </c>
      <c r="S75" s="33"/>
      <c r="T75" s="34">
        <v>29.98</v>
      </c>
      <c r="U75" s="35">
        <f t="shared" si="134"/>
        <v>0.123971384857131</v>
      </c>
      <c r="V75" s="36">
        <f t="shared" si="93"/>
        <v>126.61052</v>
      </c>
      <c r="W75" s="37">
        <f t="shared" si="112"/>
        <v>0.523551751230203</v>
      </c>
      <c r="X75" s="38">
        <f>(L75*'RESULTADO DIRETO'!N$27)/6*4</f>
        <v>10.1913354147777</v>
      </c>
      <c r="Y75" s="37">
        <f t="shared" si="113"/>
        <v>0.0421425605374755</v>
      </c>
      <c r="Z75" s="38">
        <f>(L75*'RESULTADO DIRETO'!N$15)/6*4</f>
        <v>9.28293598433079</v>
      </c>
      <c r="AA75" s="37">
        <f t="shared" si="135"/>
        <v>0.0383862051206665</v>
      </c>
      <c r="AB75" s="38">
        <f t="shared" si="136"/>
        <v>0.167679239</v>
      </c>
      <c r="AC75" s="38">
        <f t="shared" si="137"/>
        <v>0.167679239</v>
      </c>
      <c r="AD75" s="36">
        <f t="shared" si="138"/>
        <v>146.420149877108</v>
      </c>
      <c r="AE75" s="39">
        <f t="shared" si="139"/>
        <v>0.605467269888386</v>
      </c>
      <c r="AF75" s="38">
        <f t="shared" si="140"/>
        <v>29.0196</v>
      </c>
      <c r="AG75" s="38"/>
      <c r="AH75" s="38">
        <f t="shared" si="141"/>
        <v>12.57516</v>
      </c>
      <c r="AI75" s="36">
        <f t="shared" si="142"/>
        <v>41.59476</v>
      </c>
      <c r="AJ75" s="40">
        <f t="shared" si="143"/>
        <v>188.014909877108</v>
      </c>
      <c r="AK75" s="41">
        <f t="shared" si="144"/>
        <v>0.777467269888386</v>
      </c>
      <c r="AL75" s="40">
        <f t="shared" si="145"/>
        <v>53.8150901228915</v>
      </c>
      <c r="AM75" s="42">
        <f t="shared" si="146"/>
        <v>0.222532730111614</v>
      </c>
      <c r="AN75" s="40">
        <f t="shared" si="147"/>
        <v>3.30721260359399</v>
      </c>
    </row>
    <row r="76" spans="1:40">
      <c r="A76" s="25">
        <v>46265</v>
      </c>
      <c r="B76" s="25" t="str">
        <v>NORMAL</v>
      </c>
      <c r="C76" s="25" t="str">
        <v>MMM1H28</v>
      </c>
      <c r="D76" s="43" t="str">
        <v>JOI</v>
      </c>
      <c r="E76" s="43" t="str">
        <v>SC</v>
      </c>
      <c r="F76" s="43" t="str">
        <v>DCC</v>
      </c>
      <c r="G76" s="43" t="str">
        <v>MG</v>
      </c>
      <c r="H76" s="43" t="str">
        <v>BRASCOLA LTDA -</v>
      </c>
      <c r="I76" s="201" t="str">
        <v>000331838</v>
      </c>
      <c r="J76" s="44">
        <v>1584</v>
      </c>
      <c r="K76" s="27">
        <v>9</v>
      </c>
      <c r="L76" s="28">
        <v>48.204</v>
      </c>
      <c r="M76" s="45">
        <v>220.63</v>
      </c>
      <c r="N76" s="30">
        <v>0.12</v>
      </c>
      <c r="O76" s="31">
        <v>44.13</v>
      </c>
      <c r="P76" s="32">
        <f t="shared" si="133"/>
        <v>16.38936</v>
      </c>
      <c r="Q76" s="32">
        <f t="shared" ref="Q76:Q82" si="151">L76*0.18</f>
        <v>8.67672</v>
      </c>
      <c r="R76" s="33"/>
      <c r="S76" s="33"/>
      <c r="T76" s="34">
        <v>77.22</v>
      </c>
      <c r="U76" s="35">
        <f t="shared" si="134"/>
        <v>0.349997733762408</v>
      </c>
      <c r="V76" s="36">
        <f t="shared" si="93"/>
        <v>146.41608</v>
      </c>
      <c r="W76" s="37">
        <f t="shared" si="112"/>
        <v>0.663627249240811</v>
      </c>
      <c r="X76" s="38">
        <f>(L76*'RESULTADO DIRETO'!N$27)/6*3</f>
        <v>5.03880294918709</v>
      </c>
      <c r="Y76" s="37">
        <f t="shared" si="113"/>
        <v>0.0228382493277754</v>
      </c>
      <c r="Z76" s="38">
        <f>(L76*'RESULTADO DIRETO'!N$15)/6*3</f>
        <v>4.58967184488268</v>
      </c>
      <c r="AA76" s="37">
        <f t="shared" si="135"/>
        <v>0.0208025737428395</v>
      </c>
      <c r="AB76" s="38">
        <f t="shared" si="136"/>
        <v>0.17008992</v>
      </c>
      <c r="AC76" s="38">
        <f t="shared" si="137"/>
        <v>0.17008992</v>
      </c>
      <c r="AD76" s="36">
        <f t="shared" si="138"/>
        <v>156.38473463407</v>
      </c>
      <c r="AE76" s="39">
        <f t="shared" si="139"/>
        <v>0.70880992899456</v>
      </c>
      <c r="AF76" s="38">
        <f t="shared" si="140"/>
        <v>26.4756</v>
      </c>
      <c r="AG76" s="38"/>
      <c r="AH76" s="38">
        <f t="shared" si="141"/>
        <v>11.47276</v>
      </c>
      <c r="AI76" s="36">
        <f t="shared" si="142"/>
        <v>37.94836</v>
      </c>
      <c r="AJ76" s="40">
        <f t="shared" si="143"/>
        <v>194.33309463407</v>
      </c>
      <c r="AK76" s="41">
        <f t="shared" si="144"/>
        <v>0.88080992899456</v>
      </c>
      <c r="AL76" s="40">
        <f t="shared" si="145"/>
        <v>26.2969053659302</v>
      </c>
      <c r="AM76" s="42">
        <f t="shared" si="146"/>
        <v>0.11919007100544</v>
      </c>
      <c r="AN76" s="40">
        <f t="shared" si="147"/>
        <v>4.57700605758858</v>
      </c>
    </row>
    <row r="77" spans="1:40">
      <c r="A77" s="25">
        <v>46265</v>
      </c>
      <c r="B77" s="25" t="str">
        <v>NORMAL</v>
      </c>
      <c r="C77" s="25" t="str">
        <v>MMM1H28</v>
      </c>
      <c r="D77" s="43" t="str">
        <v>JOI</v>
      </c>
      <c r="E77" s="43" t="str">
        <v>SC</v>
      </c>
      <c r="F77" s="43" t="str">
        <v>TAM</v>
      </c>
      <c r="G77" s="43" t="str">
        <v>MG</v>
      </c>
      <c r="H77" s="43" t="str">
        <v>BRASCOLA LTDA -</v>
      </c>
      <c r="I77" s="201" t="str">
        <v>000331817</v>
      </c>
      <c r="J77" s="44">
        <v>1697.81</v>
      </c>
      <c r="K77" s="27">
        <v>4</v>
      </c>
      <c r="L77" s="28">
        <v>60</v>
      </c>
      <c r="M77" s="45">
        <v>547.73</v>
      </c>
      <c r="N77" s="30">
        <v>0.12</v>
      </c>
      <c r="O77" s="31">
        <v>109.55</v>
      </c>
      <c r="P77" s="32">
        <f t="shared" si="133"/>
        <v>20.4</v>
      </c>
      <c r="Q77" s="46">
        <f t="shared" si="151"/>
        <v>10.8</v>
      </c>
      <c r="R77" s="46">
        <f t="shared" si="149"/>
        <v>8.4</v>
      </c>
      <c r="S77" s="33"/>
      <c r="T77" s="34">
        <v>242</v>
      </c>
      <c r="U77" s="35">
        <f t="shared" si="134"/>
        <v>0.441823526189911</v>
      </c>
      <c r="V77" s="36">
        <f t="shared" si="93"/>
        <v>391.15</v>
      </c>
      <c r="W77" s="37">
        <f t="shared" si="112"/>
        <v>0.714129224252825</v>
      </c>
      <c r="X77" s="38">
        <f>(L77*'RESULTADO DIRETO'!N$27)/6*4</f>
        <v>8.36246444143572</v>
      </c>
      <c r="Y77" s="37">
        <f t="shared" si="113"/>
        <v>0.0152674939138549</v>
      </c>
      <c r="Z77" s="38">
        <f>(L77*'RESULTADO DIRETO'!N$15)/6*4</f>
        <v>7.61708048275276</v>
      </c>
      <c r="AA77" s="37">
        <f t="shared" si="135"/>
        <v>0.0139066337114139</v>
      </c>
      <c r="AB77" s="38">
        <f t="shared" si="136"/>
        <v>0.1823108378</v>
      </c>
      <c r="AC77" s="38">
        <f t="shared" si="137"/>
        <v>0.1823108378</v>
      </c>
      <c r="AD77" s="36">
        <f t="shared" si="138"/>
        <v>407.494166599788</v>
      </c>
      <c r="AE77" s="39">
        <f t="shared" si="139"/>
        <v>0.743969047888172</v>
      </c>
      <c r="AF77" s="38">
        <f t="shared" si="140"/>
        <v>65.7276</v>
      </c>
      <c r="AG77" s="38"/>
      <c r="AH77" s="38">
        <f t="shared" si="141"/>
        <v>28.48196</v>
      </c>
      <c r="AI77" s="36">
        <f t="shared" si="142"/>
        <v>94.20956</v>
      </c>
      <c r="AJ77" s="40">
        <f t="shared" si="143"/>
        <v>501.703726599788</v>
      </c>
      <c r="AK77" s="41">
        <f t="shared" si="144"/>
        <v>0.915969047888172</v>
      </c>
      <c r="AL77" s="40">
        <f t="shared" si="145"/>
        <v>46.0262734002116</v>
      </c>
      <c r="AM77" s="42">
        <f t="shared" si="146"/>
        <v>0.084030952111828</v>
      </c>
      <c r="AN77" s="40">
        <f t="shared" si="147"/>
        <v>9.12883333333333</v>
      </c>
    </row>
    <row r="78" spans="1:40">
      <c r="A78" s="25">
        <v>46265</v>
      </c>
      <c r="B78" s="25" t="str">
        <v>NORMAL</v>
      </c>
      <c r="C78" s="25" t="str">
        <v>MMM1H28</v>
      </c>
      <c r="D78" s="43" t="str">
        <v>JOI</v>
      </c>
      <c r="E78" s="43" t="str">
        <v>SC</v>
      </c>
      <c r="F78" s="43" t="str">
        <v>GRF</v>
      </c>
      <c r="G78" s="43" t="str">
        <v>MG</v>
      </c>
      <c r="H78" s="43" t="str">
        <v>BRASCOLA LTDA -</v>
      </c>
      <c r="I78" s="201" t="str">
        <v>000331855</v>
      </c>
      <c r="J78" s="44">
        <v>2600.23</v>
      </c>
      <c r="K78" s="27">
        <v>20</v>
      </c>
      <c r="L78" s="28">
        <v>83.23</v>
      </c>
      <c r="M78" s="45">
        <v>266.73</v>
      </c>
      <c r="N78" s="30">
        <v>0.12</v>
      </c>
      <c r="O78" s="31">
        <v>53.35</v>
      </c>
      <c r="P78" s="32">
        <f t="shared" si="133"/>
        <v>28.2982</v>
      </c>
      <c r="Q78" s="33"/>
      <c r="R78" s="32">
        <f t="shared" si="150"/>
        <v>7.4907</v>
      </c>
      <c r="S78" s="33"/>
      <c r="T78" s="34">
        <v>138.93</v>
      </c>
      <c r="U78" s="35">
        <f t="shared" si="134"/>
        <v>0.520863794848723</v>
      </c>
      <c r="V78" s="36">
        <f t="shared" si="93"/>
        <v>228.0689</v>
      </c>
      <c r="W78" s="37">
        <f t="shared" si="112"/>
        <v>0.8550552993664</v>
      </c>
      <c r="X78" s="38">
        <f>(L78*'RESULTADO DIRETO'!N$27)/6*3</f>
        <v>8.70009894325869</v>
      </c>
      <c r="Y78" s="37">
        <f t="shared" si="113"/>
        <v>0.0326176243514366</v>
      </c>
      <c r="Z78" s="38">
        <f>(L78*'RESULTADO DIRETO'!N$15)/6*3</f>
        <v>7.9246201072439</v>
      </c>
      <c r="AA78" s="37">
        <f t="shared" si="135"/>
        <v>0.0297102692132265</v>
      </c>
      <c r="AB78" s="38">
        <f t="shared" si="136"/>
        <v>0.2792126974</v>
      </c>
      <c r="AC78" s="38">
        <f t="shared" si="137"/>
        <v>0.2792126974</v>
      </c>
      <c r="AD78" s="36">
        <f t="shared" si="138"/>
        <v>245.252044445303</v>
      </c>
      <c r="AE78" s="39">
        <f t="shared" si="139"/>
        <v>0.919476790932038</v>
      </c>
      <c r="AF78" s="38">
        <f t="shared" si="140"/>
        <v>32.0076</v>
      </c>
      <c r="AG78" s="38"/>
      <c r="AH78" s="38">
        <f t="shared" si="141"/>
        <v>13.86996</v>
      </c>
      <c r="AI78" s="36">
        <f t="shared" si="142"/>
        <v>45.87756</v>
      </c>
      <c r="AJ78" s="40">
        <f t="shared" si="143"/>
        <v>291.129604445303</v>
      </c>
      <c r="AK78" s="41">
        <f t="shared" si="144"/>
        <v>1.09147679093204</v>
      </c>
      <c r="AL78" s="40">
        <f t="shared" si="145"/>
        <v>-24.3996044453026</v>
      </c>
      <c r="AM78" s="42">
        <f t="shared" si="146"/>
        <v>-0.0914767909320384</v>
      </c>
      <c r="AN78" s="40">
        <f t="shared" si="147"/>
        <v>3.2047338699988</v>
      </c>
    </row>
    <row r="79" spans="1:40">
      <c r="A79" s="25">
        <v>46265</v>
      </c>
      <c r="B79" s="25" t="str">
        <v>NORMAL</v>
      </c>
      <c r="C79" s="25" t="str">
        <v>MMM1H28</v>
      </c>
      <c r="D79" s="43" t="str">
        <v>JOI</v>
      </c>
      <c r="E79" s="43" t="str">
        <v>SC</v>
      </c>
      <c r="F79" s="43" t="str">
        <v>TRU</v>
      </c>
      <c r="G79" s="43" t="str">
        <v>MG</v>
      </c>
      <c r="H79" s="43" t="str">
        <v>BRASCOLA LTDA -</v>
      </c>
      <c r="I79" s="201" t="str">
        <v>000331830</v>
      </c>
      <c r="J79" s="44">
        <v>3012.52</v>
      </c>
      <c r="K79" s="27">
        <v>18</v>
      </c>
      <c r="L79" s="28">
        <v>124.6</v>
      </c>
      <c r="M79" s="45">
        <v>320.05</v>
      </c>
      <c r="N79" s="30">
        <v>0.12</v>
      </c>
      <c r="O79" s="31">
        <v>64.01</v>
      </c>
      <c r="P79" s="32">
        <f t="shared" si="133"/>
        <v>42.364</v>
      </c>
      <c r="Q79" s="33"/>
      <c r="R79" s="32">
        <f t="shared" si="150"/>
        <v>11.214</v>
      </c>
      <c r="S79" s="33"/>
      <c r="T79" s="34">
        <v>122.24</v>
      </c>
      <c r="U79" s="35">
        <f t="shared" si="134"/>
        <v>0.381940321824715</v>
      </c>
      <c r="V79" s="36">
        <f t="shared" si="93"/>
        <v>239.828</v>
      </c>
      <c r="W79" s="37">
        <f t="shared" si="112"/>
        <v>0.749345414778941</v>
      </c>
      <c r="X79" s="38">
        <f>(L79*'RESULTADO DIRETO'!N$27)/6*3</f>
        <v>13.0245383675361</v>
      </c>
      <c r="Y79" s="37">
        <f t="shared" si="113"/>
        <v>0.0406953237542138</v>
      </c>
      <c r="Z79" s="38">
        <f>(L79*'RESULTADO DIRETO'!N$15)/6*3</f>
        <v>11.8636028518874</v>
      </c>
      <c r="AA79" s="37">
        <f t="shared" si="135"/>
        <v>0.0370679670422978</v>
      </c>
      <c r="AB79" s="38">
        <f t="shared" si="136"/>
        <v>0.3234843976</v>
      </c>
      <c r="AC79" s="38">
        <f t="shared" si="137"/>
        <v>0.3234843976</v>
      </c>
      <c r="AD79" s="36">
        <f t="shared" si="138"/>
        <v>265.363110014624</v>
      </c>
      <c r="AE79" s="39">
        <f t="shared" si="139"/>
        <v>0.829130167207072</v>
      </c>
      <c r="AF79" s="38">
        <f t="shared" si="140"/>
        <v>38.406</v>
      </c>
      <c r="AG79" s="38"/>
      <c r="AH79" s="38">
        <f t="shared" si="141"/>
        <v>16.6426</v>
      </c>
      <c r="AI79" s="36">
        <f t="shared" si="142"/>
        <v>55.0486</v>
      </c>
      <c r="AJ79" s="40">
        <f t="shared" si="143"/>
        <v>320.411710014624</v>
      </c>
      <c r="AK79" s="41">
        <f t="shared" si="144"/>
        <v>1.00113016720707</v>
      </c>
      <c r="AL79" s="40">
        <f t="shared" si="145"/>
        <v>-0.361710014623497</v>
      </c>
      <c r="AM79" s="42">
        <f t="shared" si="146"/>
        <v>-0.00113016720707232</v>
      </c>
      <c r="AN79" s="40">
        <f t="shared" si="147"/>
        <v>2.56861958266453</v>
      </c>
    </row>
    <row r="80" spans="1:40">
      <c r="A80" s="25">
        <v>46265</v>
      </c>
      <c r="B80" s="25" t="str">
        <v>NORMAL</v>
      </c>
      <c r="C80" s="25" t="str">
        <v>MMM1H28</v>
      </c>
      <c r="D80" s="43" t="str">
        <v>JOI</v>
      </c>
      <c r="E80" s="43" t="str">
        <v>SC</v>
      </c>
      <c r="F80" s="43" t="str">
        <v>GRF</v>
      </c>
      <c r="G80" s="43" t="str">
        <v>MG</v>
      </c>
      <c r="H80" s="43" t="str">
        <v>BRASCOLA LTDA -</v>
      </c>
      <c r="I80" s="201" t="str">
        <v>000331910</v>
      </c>
      <c r="J80" s="44">
        <v>2981.45</v>
      </c>
      <c r="K80" s="27">
        <v>27</v>
      </c>
      <c r="L80" s="28">
        <v>82.362</v>
      </c>
      <c r="M80" s="45">
        <v>268.9</v>
      </c>
      <c r="N80" s="30">
        <v>0.12</v>
      </c>
      <c r="O80" s="31">
        <v>53.78</v>
      </c>
      <c r="P80" s="32">
        <f t="shared" si="133"/>
        <v>28.00308</v>
      </c>
      <c r="Q80" s="33"/>
      <c r="R80" s="32">
        <f t="shared" si="150"/>
        <v>7.41258</v>
      </c>
      <c r="S80" s="33"/>
      <c r="T80" s="34">
        <v>138.93</v>
      </c>
      <c r="U80" s="35">
        <f t="shared" si="134"/>
        <v>0.516660468575679</v>
      </c>
      <c r="V80" s="36">
        <f t="shared" si="93"/>
        <v>228.12566</v>
      </c>
      <c r="W80" s="37">
        <f t="shared" si="112"/>
        <v>0.848366158423206</v>
      </c>
      <c r="X80" s="38">
        <f>(L80*'RESULTADO DIRETO'!N$27)/6*3</f>
        <v>8.60936620406911</v>
      </c>
      <c r="Y80" s="37">
        <f t="shared" si="113"/>
        <v>0.032016981048974</v>
      </c>
      <c r="Z80" s="38">
        <f>(L80*'RESULTADO DIRETO'!N$15)/6*3</f>
        <v>7.84197478400604</v>
      </c>
      <c r="AA80" s="37">
        <f t="shared" si="135"/>
        <v>0.0291631639420083</v>
      </c>
      <c r="AB80" s="38">
        <f t="shared" si="136"/>
        <v>0.320148101</v>
      </c>
      <c r="AC80" s="38">
        <f t="shared" si="137"/>
        <v>0.320148101</v>
      </c>
      <c r="AD80" s="36">
        <f t="shared" si="138"/>
        <v>245.217297190075</v>
      </c>
      <c r="AE80" s="39">
        <f t="shared" si="139"/>
        <v>0.911927471885739</v>
      </c>
      <c r="AF80" s="38">
        <f t="shared" si="140"/>
        <v>32.268</v>
      </c>
      <c r="AG80" s="38"/>
      <c r="AH80" s="38">
        <f t="shared" si="141"/>
        <v>13.9828</v>
      </c>
      <c r="AI80" s="36">
        <f t="shared" si="142"/>
        <v>46.2508</v>
      </c>
      <c r="AJ80" s="40">
        <f t="shared" si="143"/>
        <v>291.468097190075</v>
      </c>
      <c r="AK80" s="41">
        <f t="shared" si="144"/>
        <v>1.08392747188574</v>
      </c>
      <c r="AL80" s="40">
        <f t="shared" si="145"/>
        <v>-22.5680971900752</v>
      </c>
      <c r="AM80" s="42">
        <f t="shared" si="146"/>
        <v>-0.0839274718857388</v>
      </c>
      <c r="AN80" s="40">
        <f t="shared" si="147"/>
        <v>3.2648551516476</v>
      </c>
    </row>
    <row r="81" spans="1:40">
      <c r="A81" s="25">
        <v>46265</v>
      </c>
      <c r="B81" s="25" t="str">
        <v>NORMAL</v>
      </c>
      <c r="C81" s="25" t="str">
        <v>MMM1H28</v>
      </c>
      <c r="D81" s="43" t="str">
        <v>JOI</v>
      </c>
      <c r="E81" s="43" t="str">
        <v>SC</v>
      </c>
      <c r="F81" s="43" t="str">
        <v>DCC</v>
      </c>
      <c r="G81" s="43" t="str">
        <v>MG</v>
      </c>
      <c r="H81" s="43" t="str">
        <v>BRASCOLA LTDA -</v>
      </c>
      <c r="I81" s="201" t="str">
        <v>000331877</v>
      </c>
      <c r="J81" s="44">
        <v>3319.45</v>
      </c>
      <c r="K81" s="27">
        <v>43</v>
      </c>
      <c r="L81" s="28">
        <v>115.937</v>
      </c>
      <c r="M81" s="45">
        <v>280.58</v>
      </c>
      <c r="N81" s="30">
        <v>0.12</v>
      </c>
      <c r="O81" s="31">
        <v>56.12</v>
      </c>
      <c r="P81" s="32">
        <f t="shared" si="133"/>
        <v>39.41858</v>
      </c>
      <c r="Q81" s="32">
        <f t="shared" si="151"/>
        <v>20.86866</v>
      </c>
      <c r="R81" s="33"/>
      <c r="S81" s="33"/>
      <c r="T81" s="34">
        <v>98.2</v>
      </c>
      <c r="U81" s="35">
        <f t="shared" si="134"/>
        <v>0.349989307862285</v>
      </c>
      <c r="V81" s="36">
        <f t="shared" si="93"/>
        <v>214.60724</v>
      </c>
      <c r="W81" s="37">
        <f t="shared" si="112"/>
        <v>0.764870054886307</v>
      </c>
      <c r="X81" s="38">
        <f>(L81*'RESULTADO DIRETO'!N$27)/6*3</f>
        <v>12.1189879993342</v>
      </c>
      <c r="Y81" s="37">
        <f t="shared" si="113"/>
        <v>0.0431926295506956</v>
      </c>
      <c r="Z81" s="38">
        <f>(L81*'RESULTADO DIRETO'!N$15)/6*3</f>
        <v>11.0387682491113</v>
      </c>
      <c r="AA81" s="37">
        <f t="shared" si="135"/>
        <v>0.0393426767735096</v>
      </c>
      <c r="AB81" s="38">
        <f t="shared" si="136"/>
        <v>0.356442541</v>
      </c>
      <c r="AC81" s="38">
        <f t="shared" si="137"/>
        <v>0.356442541</v>
      </c>
      <c r="AD81" s="36">
        <f t="shared" si="138"/>
        <v>238.477881330446</v>
      </c>
      <c r="AE81" s="39">
        <f t="shared" si="139"/>
        <v>0.849946116367687</v>
      </c>
      <c r="AF81" s="38">
        <f t="shared" si="140"/>
        <v>33.6696</v>
      </c>
      <c r="AG81" s="38"/>
      <c r="AH81" s="38">
        <f t="shared" si="141"/>
        <v>14.59016</v>
      </c>
      <c r="AI81" s="36">
        <f t="shared" si="142"/>
        <v>48.25976</v>
      </c>
      <c r="AJ81" s="40">
        <f t="shared" si="143"/>
        <v>286.737641330446</v>
      </c>
      <c r="AK81" s="41">
        <f t="shared" si="144"/>
        <v>1.02194611636769</v>
      </c>
      <c r="AL81" s="40">
        <f t="shared" si="145"/>
        <v>-6.15764133044553</v>
      </c>
      <c r="AM81" s="42">
        <f t="shared" si="146"/>
        <v>-0.0219461163676867</v>
      </c>
      <c r="AN81" s="40">
        <f t="shared" si="147"/>
        <v>2.4201074721616</v>
      </c>
    </row>
    <row r="82" spans="1:40">
      <c r="A82" s="25">
        <v>46265</v>
      </c>
      <c r="B82" s="25" t="str">
        <v>NORMAL</v>
      </c>
      <c r="C82" s="25" t="str">
        <v>MMM1H28</v>
      </c>
      <c r="D82" s="43" t="str">
        <v>JOI</v>
      </c>
      <c r="E82" s="43" t="str">
        <v>SC</v>
      </c>
      <c r="F82" s="43" t="str">
        <v>DCC</v>
      </c>
      <c r="G82" s="43" t="str">
        <v>MG</v>
      </c>
      <c r="H82" s="43" t="str">
        <v>BRASCOLA LTDA -</v>
      </c>
      <c r="I82" s="201" t="str">
        <v>000331880</v>
      </c>
      <c r="J82" s="44">
        <v>17.01</v>
      </c>
      <c r="K82" s="27">
        <v>1</v>
      </c>
      <c r="L82" s="28">
        <v>1</v>
      </c>
      <c r="M82" s="45">
        <v>165.55</v>
      </c>
      <c r="N82" s="30">
        <v>0.12</v>
      </c>
      <c r="O82" s="31">
        <v>33.11</v>
      </c>
      <c r="P82" s="32">
        <f t="shared" si="133"/>
        <v>0.34</v>
      </c>
      <c r="Q82" s="32">
        <f t="shared" si="151"/>
        <v>0.18</v>
      </c>
      <c r="R82" s="33"/>
      <c r="S82" s="33"/>
      <c r="T82" s="34">
        <v>57.94</v>
      </c>
      <c r="U82" s="35">
        <f t="shared" si="134"/>
        <v>0.349984898822108</v>
      </c>
      <c r="V82" s="36">
        <f t="shared" si="93"/>
        <v>91.57</v>
      </c>
      <c r="W82" s="37">
        <f t="shared" si="112"/>
        <v>0.553125943823618</v>
      </c>
      <c r="X82" s="38">
        <f>(L82*'RESULTADO DIRETO'!N$27)/6*3</f>
        <v>0.104530805517946</v>
      </c>
      <c r="Y82" s="37">
        <f t="shared" si="113"/>
        <v>0.000631415315723023</v>
      </c>
      <c r="Z82" s="38">
        <f>(L82*'RESULTADO DIRETO'!N$15)/6*3</f>
        <v>0.0952135060344095</v>
      </c>
      <c r="AA82" s="37">
        <f t="shared" si="135"/>
        <v>0.000575134436933914</v>
      </c>
      <c r="AB82" s="38">
        <f t="shared" si="136"/>
        <v>0.0018265338</v>
      </c>
      <c r="AC82" s="38">
        <f t="shared" si="137"/>
        <v>0.0018265338</v>
      </c>
      <c r="AD82" s="36">
        <f t="shared" si="138"/>
        <v>91.7733973791524</v>
      </c>
      <c r="AE82" s="39">
        <f t="shared" si="139"/>
        <v>0.554354559825747</v>
      </c>
      <c r="AF82" s="38">
        <f t="shared" si="140"/>
        <v>19.866</v>
      </c>
      <c r="AG82" s="38"/>
      <c r="AH82" s="38">
        <f t="shared" si="141"/>
        <v>8.6086</v>
      </c>
      <c r="AI82" s="36">
        <f t="shared" si="142"/>
        <v>28.4746</v>
      </c>
      <c r="AJ82" s="40">
        <f t="shared" si="143"/>
        <v>120.247997379152</v>
      </c>
      <c r="AK82" s="41">
        <f t="shared" si="144"/>
        <v>0.726354559825747</v>
      </c>
      <c r="AL82" s="40">
        <f t="shared" si="145"/>
        <v>45.3020026208476</v>
      </c>
      <c r="AM82" s="42">
        <f t="shared" si="146"/>
        <v>0.273645440174253</v>
      </c>
      <c r="AN82" s="40">
        <f t="shared" si="147"/>
        <v>165.55</v>
      </c>
    </row>
    <row r="83" spans="1:40">
      <c r="A83" s="52"/>
      <c r="B83" s="52"/>
      <c r="C83" s="52"/>
      <c r="D83" s="52"/>
      <c r="E83" s="52"/>
      <c r="F83" s="52"/>
      <c r="G83" s="52"/>
      <c r="H83" s="52"/>
      <c r="I83" s="53">
        <v>82</v>
      </c>
      <c r="J83" s="54">
        <f>SUM(J2:J82)</f>
        <v>339347.57</v>
      </c>
      <c r="K83" s="53">
        <f t="shared" ref="K83:M83" si="152">SUM(K2:K82)</f>
        <v>1371</v>
      </c>
      <c r="L83" s="53">
        <f t="shared" si="152"/>
        <v>13761.699</v>
      </c>
      <c r="M83" s="54">
        <f t="shared" si="152"/>
        <v>33465.1</v>
      </c>
      <c r="N83" s="52" t="e">
        <f>SUM(#REF!)</f>
        <v>#REF!</v>
      </c>
      <c r="O83" s="54">
        <f t="shared" ref="O83:W83" si="153">SUM(O2:O82)</f>
        <v>6681.7</v>
      </c>
      <c r="P83" s="54">
        <f t="shared" si="153"/>
        <v>4665.67686</v>
      </c>
      <c r="Q83" s="54">
        <f t="shared" si="153"/>
        <v>2322.24354</v>
      </c>
      <c r="R83" s="54">
        <f t="shared" si="153"/>
        <v>1133.9599</v>
      </c>
      <c r="S83" s="54">
        <f t="shared" si="153"/>
        <v>0</v>
      </c>
      <c r="T83" s="54">
        <f t="shared" si="153"/>
        <v>8055.45</v>
      </c>
      <c r="U83" s="54"/>
      <c r="V83" s="54">
        <f t="shared" si="153"/>
        <v>22859.0303</v>
      </c>
      <c r="W83" s="54"/>
      <c r="X83" s="54">
        <f t="shared" ref="X83:AD83" si="154">SUM(X2:X82)</f>
        <v>1793.20516703007</v>
      </c>
      <c r="Y83" s="52"/>
      <c r="Z83" s="54">
        <f t="shared" si="154"/>
        <v>1633.36874853259</v>
      </c>
      <c r="AA83" s="52"/>
      <c r="AB83" s="54">
        <f t="shared" si="154"/>
        <v>36.4391420666</v>
      </c>
      <c r="AC83" s="54">
        <f t="shared" si="154"/>
        <v>36.4391420666</v>
      </c>
      <c r="AD83" s="54">
        <f t="shared" si="154"/>
        <v>26358.4824996959</v>
      </c>
      <c r="AE83" s="52"/>
      <c r="AF83" s="54">
        <f t="shared" ref="AF83:AJ83" si="155">SUM(AF2:AF82)</f>
        <v>4015.812</v>
      </c>
      <c r="AG83" s="52"/>
      <c r="AH83" s="54">
        <f t="shared" si="155"/>
        <v>1740.1852</v>
      </c>
      <c r="AI83" s="54">
        <f t="shared" si="155"/>
        <v>5755.9972</v>
      </c>
      <c r="AJ83" s="54">
        <f t="shared" si="155"/>
        <v>32114.4796996959</v>
      </c>
      <c r="AK83" s="52"/>
      <c r="AL83" s="54">
        <f>SUM(AL2:AL82)</f>
        <v>1350.62030030413</v>
      </c>
      <c r="AM83" s="55">
        <f t="shared" si="146"/>
        <v>0.0403590696069676</v>
      </c>
      <c r="AN83" s="56">
        <f t="shared" si="147"/>
        <v>2.43175642774922</v>
      </c>
    </row>
    <row r="84" spans="1:40">
      <c r="U84" s="57"/>
    </row>
    <row r="85" spans="1:40">
      <c r="U85" s="57"/>
    </row>
    <row r="86" spans="1:40">
      <c r="U86" s="57"/>
    </row>
    <row r="87" spans="1:40">
      <c r="U87" s="57"/>
    </row>
    <row r="88" spans="1:40">
      <c r="U88" s="57"/>
    </row>
    <row r="89" spans="1:40">
      <c r="U89" s="57"/>
    </row>
    <row r="90" spans="1:40">
      <c r="U90" s="57"/>
    </row>
    <row r="91" spans="1:40">
      <c r="U91" s="57"/>
    </row>
    <row r="92" spans="1:40">
      <c r="U92" s="57"/>
    </row>
    <row r="93" spans="1:40">
      <c r="U93" s="57"/>
    </row>
    <row r="94" spans="1:40">
      <c r="U94" s="57"/>
    </row>
    <row r="95" spans="1:40">
      <c r="U95" s="57"/>
    </row>
    <row r="96" spans="1:40">
      <c r="U96" s="57"/>
    </row>
    <row r="97" spans="21:21">
      <c r="U97" s="57"/>
    </row>
    <row r="98" spans="21:21">
      <c r="U98" s="57"/>
    </row>
    <row r="99" spans="21:21">
      <c r="U99" s="57"/>
    </row>
    <row r="100" spans="21:21">
      <c r="U100" s="57"/>
    </row>
    <row r="101" spans="21:21">
      <c r="U101" s="57"/>
    </row>
    <row r="102" spans="21:21">
      <c r="U102" s="57"/>
    </row>
    <row r="103" spans="21:21">
      <c r="U103" s="57"/>
    </row>
    <row r="104" spans="21:21">
      <c r="U104" s="57"/>
    </row>
    <row r="105" spans="21:21">
      <c r="U105" s="57"/>
    </row>
    <row r="106" spans="21:21">
      <c r="U106" s="57"/>
    </row>
    <row r="107" spans="21:21">
      <c r="U107" s="57"/>
    </row>
    <row r="108" spans="21:21">
      <c r="U108" s="57"/>
    </row>
    <row r="109" spans="21:21">
      <c r="U109" s="57"/>
    </row>
    <row r="110" spans="21:21">
      <c r="U110" s="57"/>
    </row>
    <row r="111" spans="21:21">
      <c r="U111" s="57"/>
    </row>
    <row r="112" spans="21:21">
      <c r="U112" s="57"/>
    </row>
    <row r="113" spans="21:21">
      <c r="U113" s="57"/>
    </row>
    <row r="114" spans="21:21">
      <c r="U114" s="57"/>
    </row>
    <row r="115" spans="21:21">
      <c r="U115" s="57"/>
    </row>
    <row r="116" spans="21:21">
      <c r="U116" s="57"/>
    </row>
    <row r="117" spans="21:21">
      <c r="U117" s="57"/>
    </row>
    <row r="118" spans="21:21">
      <c r="U118" s="57"/>
    </row>
    <row r="119" spans="21:21">
      <c r="U119" s="57"/>
    </row>
    <row r="120" spans="21:21">
      <c r="U120" s="57"/>
    </row>
    <row r="121" spans="21:21">
      <c r="U121" s="57"/>
    </row>
    <row r="122" spans="21:21">
      <c r="U122" s="57"/>
    </row>
    <row r="123" spans="21:21">
      <c r="U123" s="57"/>
    </row>
    <row r="124" spans="21:21">
      <c r="U124" s="57"/>
    </row>
    <row r="125" spans="21:21">
      <c r="U125" s="57"/>
    </row>
    <row r="126" spans="21:21">
      <c r="U126" s="57"/>
    </row>
    <row r="127" spans="21:21">
      <c r="U127" s="57"/>
    </row>
    <row r="128" spans="21:21">
      <c r="U128" s="57"/>
    </row>
    <row r="129" spans="21:21">
      <c r="U129" s="57"/>
    </row>
    <row r="130" spans="21:21">
      <c r="U130" s="57"/>
    </row>
    <row r="131" spans="21:21">
      <c r="U131" s="57"/>
    </row>
    <row r="132" spans="21:21">
      <c r="U132" s="57"/>
    </row>
    <row r="133" spans="21:21">
      <c r="U133" s="57"/>
    </row>
    <row r="134" spans="21:21">
      <c r="U134" s="57"/>
    </row>
    <row r="135" spans="21:21">
      <c r="U135" s="57"/>
    </row>
    <row r="136" spans="21:21">
      <c r="U136" s="57"/>
    </row>
    <row r="137" spans="21:21">
      <c r="U137" s="57"/>
    </row>
    <row r="138" spans="21:21">
      <c r="U138" s="57"/>
    </row>
    <row r="139" spans="21:21">
      <c r="U139" s="57"/>
    </row>
    <row r="140" spans="21:21">
      <c r="U140" s="57"/>
    </row>
    <row r="141" spans="21:21">
      <c r="U141" s="57"/>
    </row>
    <row r="142" spans="21:21">
      <c r="U142" s="57"/>
    </row>
    <row r="143" spans="21:21">
      <c r="U143" s="57"/>
    </row>
    <row r="144" spans="21:21">
      <c r="U144" s="57"/>
    </row>
    <row r="145" spans="21:21">
      <c r="U145" s="57"/>
    </row>
    <row r="146" spans="21:21">
      <c r="U146" s="57"/>
    </row>
    <row r="147" spans="21:21">
      <c r="U147" s="57"/>
    </row>
    <row r="148" spans="21:21">
      <c r="U148" s="57"/>
    </row>
    <row r="149" spans="21:21">
      <c r="U149" s="57"/>
    </row>
    <row r="150" spans="21:21">
      <c r="U150" s="57"/>
    </row>
    <row r="151" spans="21:21">
      <c r="U151" s="57"/>
    </row>
    <row r="152" spans="21:21">
      <c r="U152" s="57"/>
    </row>
    <row r="153" spans="21:21">
      <c r="U153" s="57"/>
    </row>
    <row r="154" spans="21:21">
      <c r="U154" s="57"/>
    </row>
    <row r="155" spans="21:21">
      <c r="U155" s="57"/>
    </row>
    <row r="156" spans="21:21">
      <c r="U156" s="57"/>
    </row>
    <row r="157" spans="21:21">
      <c r="U157" s="57"/>
    </row>
    <row r="158" spans="21:21">
      <c r="U158" s="57"/>
    </row>
    <row r="159" spans="21:21">
      <c r="U159" s="57"/>
    </row>
    <row r="160" spans="21:21">
      <c r="U160" s="57"/>
    </row>
    <row r="161" spans="21:21">
      <c r="U161" s="57"/>
    </row>
    <row r="162" spans="21:21">
      <c r="U162" s="57"/>
    </row>
    <row r="163" spans="21:21">
      <c r="U163" s="57"/>
    </row>
    <row r="164" spans="21:21">
      <c r="U164" s="57"/>
    </row>
    <row r="165" spans="21:21">
      <c r="U165" s="57"/>
    </row>
    <row r="166" spans="21:21">
      <c r="U166" s="57"/>
    </row>
    <row r="167" spans="21:21">
      <c r="U167" s="57"/>
    </row>
    <row r="168" spans="21:21">
      <c r="U168" s="57"/>
    </row>
    <row r="169" spans="21:21">
      <c r="U169" s="57"/>
    </row>
    <row r="170" spans="21:21">
      <c r="U170" s="57"/>
    </row>
    <row r="171" spans="21:21">
      <c r="U171" s="57"/>
    </row>
    <row r="172" spans="21:21">
      <c r="U172" s="57"/>
    </row>
    <row r="173" spans="21:21">
      <c r="U173" s="57"/>
    </row>
    <row r="174" spans="21:21">
      <c r="U174" s="57"/>
    </row>
    <row r="175" spans="21:21">
      <c r="U175" s="57"/>
    </row>
    <row r="176" spans="21:21">
      <c r="U176" s="57"/>
    </row>
    <row r="177" spans="21:21">
      <c r="U177" s="57"/>
    </row>
    <row r="178" spans="21:21">
      <c r="U178" s="57"/>
    </row>
    <row r="179" spans="21:21">
      <c r="U179" s="57"/>
    </row>
    <row r="180" spans="21:21">
      <c r="U180" s="57"/>
    </row>
    <row r="181" spans="21:21">
      <c r="U181" s="57"/>
    </row>
    <row r="182" spans="21:21">
      <c r="U182" s="57"/>
    </row>
    <row r="183" spans="21:21">
      <c r="U183" s="57"/>
    </row>
    <row r="184" spans="21:21">
      <c r="U184" s="57"/>
    </row>
    <row r="185" spans="21:21">
      <c r="U185" s="57"/>
    </row>
    <row r="186" spans="21:21">
      <c r="U186" s="57"/>
    </row>
    <row r="187" spans="21:21">
      <c r="U187" s="57"/>
    </row>
    <row r="188" spans="21:21">
      <c r="U188" s="57"/>
    </row>
    <row r="189" spans="21:21">
      <c r="U189" s="57"/>
    </row>
    <row r="190" spans="21:21">
      <c r="U190" s="57"/>
    </row>
    <row r="191" spans="21:21">
      <c r="U191" s="57"/>
    </row>
    <row r="192" spans="21:21">
      <c r="U192" s="57"/>
    </row>
    <row r="193" spans="21:21">
      <c r="U193" s="57"/>
    </row>
    <row r="194" spans="21:21">
      <c r="U194" s="57"/>
    </row>
    <row r="195" spans="21:21">
      <c r="U195" s="57"/>
    </row>
    <row r="196" spans="21:21">
      <c r="U196" s="57"/>
    </row>
    <row r="197" spans="21:21">
      <c r="U197" s="57"/>
    </row>
    <row r="198" spans="21:21">
      <c r="U198" s="57"/>
    </row>
    <row r="199" spans="21:21">
      <c r="U199" s="57"/>
    </row>
    <row r="200" spans="21:21">
      <c r="U200" s="57"/>
    </row>
    <row r="201" spans="21:21">
      <c r="U201" s="57"/>
    </row>
    <row r="202" spans="21:21">
      <c r="U202" s="57"/>
    </row>
    <row r="203" spans="21:21">
      <c r="U203" s="57"/>
    </row>
    <row r="204" spans="21:21">
      <c r="U204" s="57"/>
    </row>
    <row r="205" spans="21:21">
      <c r="U205" s="57"/>
    </row>
    <row r="206" spans="21:21">
      <c r="U206" s="57"/>
    </row>
    <row r="207" spans="21:21">
      <c r="U207" s="57"/>
    </row>
    <row r="208" spans="21:21">
      <c r="U208" s="57"/>
    </row>
    <row r="209" spans="21:21">
      <c r="U209" s="57"/>
    </row>
    <row r="210" spans="21:21">
      <c r="U210" s="57"/>
    </row>
    <row r="211" spans="21:21">
      <c r="U211" s="57"/>
    </row>
    <row r="212" spans="21:21">
      <c r="U212" s="57"/>
    </row>
    <row r="213" spans="21:21">
      <c r="U213" s="57"/>
    </row>
    <row r="214" spans="21:21">
      <c r="U214" s="57"/>
    </row>
    <row r="215" spans="21:21">
      <c r="U215" s="57"/>
    </row>
    <row r="216" spans="21:21">
      <c r="U216" s="57"/>
    </row>
    <row r="217" spans="21:21">
      <c r="U217" s="57"/>
    </row>
    <row r="218" spans="21:21">
      <c r="U218" s="57"/>
    </row>
    <row r="219" spans="21:21">
      <c r="U219" s="57"/>
    </row>
    <row r="220" spans="21:21">
      <c r="U220" s="57"/>
    </row>
    <row r="221" spans="21:21">
      <c r="U221" s="57"/>
    </row>
    <row r="222" spans="21:21">
      <c r="U222" s="57"/>
    </row>
    <row r="223" spans="21:21">
      <c r="U223" s="57"/>
    </row>
    <row r="224" spans="21:21">
      <c r="U224" s="57"/>
    </row>
    <row r="225" spans="21:21">
      <c r="U225" s="57"/>
    </row>
    <row r="226" spans="21:21">
      <c r="U226" s="57"/>
    </row>
    <row r="227" spans="21:21">
      <c r="U227" s="57"/>
    </row>
    <row r="228" spans="21:21">
      <c r="U228" s="57"/>
    </row>
    <row r="229" spans="21:21">
      <c r="U229" s="57"/>
    </row>
    <row r="230" spans="21:21">
      <c r="U230" s="57"/>
    </row>
    <row r="231" spans="21:21">
      <c r="U231" s="57"/>
    </row>
    <row r="232" spans="21:21">
      <c r="U232" s="57"/>
    </row>
    <row r="233" spans="21:21">
      <c r="U233" s="57"/>
    </row>
    <row r="234" spans="21:21">
      <c r="U234" s="57"/>
    </row>
    <row r="235" spans="21:21">
      <c r="U235" s="57"/>
    </row>
    <row r="236" spans="21:21">
      <c r="U236" s="57"/>
    </row>
    <row r="237" spans="21:21">
      <c r="U237" s="57"/>
    </row>
    <row r="238" spans="21:21">
      <c r="U238" s="57"/>
    </row>
    <row r="239" spans="21:21">
      <c r="U239" s="57"/>
    </row>
    <row r="240" spans="21:21">
      <c r="U240" s="57"/>
    </row>
    <row r="241" spans="21:21">
      <c r="U241" s="57"/>
    </row>
    <row r="242" spans="21:21">
      <c r="U242" s="57"/>
    </row>
    <row r="243" spans="21:21">
      <c r="U243" s="57"/>
    </row>
    <row r="244" spans="21:21">
      <c r="U244" s="57"/>
    </row>
    <row r="245" spans="21:21">
      <c r="U245" s="57"/>
    </row>
    <row r="246" spans="21:21">
      <c r="U246" s="57"/>
    </row>
    <row r="247" spans="21:21">
      <c r="U247" s="57"/>
    </row>
    <row r="248" spans="21:21">
      <c r="U248" s="57"/>
    </row>
    <row r="249" spans="21:21">
      <c r="U249" s="57"/>
    </row>
    <row r="250" spans="21:21">
      <c r="U250" s="57"/>
    </row>
    <row r="251" spans="21:21">
      <c r="U251" s="57"/>
    </row>
    <row r="252" spans="21:21">
      <c r="U252" s="57"/>
    </row>
    <row r="253" spans="21:21">
      <c r="U253" s="57"/>
    </row>
    <row r="254" spans="21:21">
      <c r="U254" s="57"/>
    </row>
    <row r="255" spans="21:21">
      <c r="U255" s="57"/>
    </row>
    <row r="256" spans="21:21">
      <c r="U256" s="57"/>
    </row>
    <row r="257" spans="21:21">
      <c r="U257" s="57"/>
    </row>
    <row r="258" spans="21:21">
      <c r="U258" s="57"/>
    </row>
    <row r="259" spans="21:21">
      <c r="U259" s="57"/>
    </row>
    <row r="260" spans="21:21">
      <c r="U260" s="57"/>
    </row>
    <row r="261" spans="21:21">
      <c r="U261" s="57"/>
    </row>
    <row r="262" spans="21:21">
      <c r="U262" s="57"/>
    </row>
    <row r="263" spans="21:21">
      <c r="U263" s="57"/>
    </row>
    <row r="264" spans="21:21">
      <c r="U264" s="57"/>
    </row>
    <row r="265" spans="21:21">
      <c r="U265" s="57"/>
    </row>
    <row r="266" spans="21:21">
      <c r="U266" s="57"/>
    </row>
    <row r="267" spans="21:21">
      <c r="U267" s="57"/>
    </row>
    <row r="268" spans="21:21">
      <c r="U268" s="57"/>
    </row>
    <row r="269" spans="21:21">
      <c r="U269" s="57"/>
    </row>
    <row r="270" spans="21:21">
      <c r="U270" s="57"/>
    </row>
    <row r="271" spans="21:21">
      <c r="U271" s="57"/>
    </row>
    <row r="272" spans="21:21">
      <c r="U272" s="57"/>
    </row>
    <row r="273" spans="21:21">
      <c r="U273" s="57"/>
    </row>
    <row r="274" spans="21:21">
      <c r="U274" s="57"/>
    </row>
    <row r="275" spans="21:21">
      <c r="U275" s="57"/>
    </row>
    <row r="276" spans="21:21">
      <c r="U276" s="57"/>
    </row>
    <row r="277" spans="21:21">
      <c r="U277" s="57"/>
    </row>
    <row r="278" spans="21:21">
      <c r="U278" s="57"/>
    </row>
    <row r="279" spans="21:21">
      <c r="U279" s="57"/>
    </row>
    <row r="280" spans="21:21">
      <c r="U280" s="57"/>
    </row>
    <row r="281" spans="21:21">
      <c r="U281" s="57"/>
    </row>
    <row r="282" spans="21:21">
      <c r="U282" s="57"/>
    </row>
    <row r="283" spans="21:21">
      <c r="U283" s="57"/>
    </row>
    <row r="284" spans="21:21">
      <c r="U284" s="57"/>
    </row>
    <row r="285" spans="21:21">
      <c r="U285" s="57"/>
    </row>
    <row r="286" spans="21:21">
      <c r="U286" s="57"/>
    </row>
    <row r="287" spans="21:21">
      <c r="U287" s="57"/>
    </row>
    <row r="288" spans="21:21">
      <c r="U288" s="57"/>
    </row>
    <row r="289" spans="21:21">
      <c r="U289" s="57"/>
    </row>
    <row r="290" spans="21:21">
      <c r="U290" s="57"/>
    </row>
    <row r="291" spans="21:21">
      <c r="U291" s="57"/>
    </row>
    <row r="292" spans="21:21">
      <c r="U292" s="57"/>
    </row>
    <row r="293" spans="21:21">
      <c r="U293" s="57"/>
    </row>
    <row r="294" spans="21:21">
      <c r="U294" s="57"/>
    </row>
    <row r="295" spans="21:21">
      <c r="U295" s="57"/>
    </row>
    <row r="296" spans="21:21">
      <c r="U296" s="57"/>
    </row>
    <row r="297" spans="21:21">
      <c r="U297" s="57"/>
    </row>
    <row r="298" spans="21:21">
      <c r="U298" s="57"/>
    </row>
    <row r="299" spans="21:21">
      <c r="U299" s="57"/>
    </row>
    <row r="300" spans="21:21">
      <c r="U300" s="57"/>
    </row>
    <row r="301" spans="21:21">
      <c r="U301" s="57"/>
    </row>
    <row r="302" spans="21:21">
      <c r="U302" s="57"/>
    </row>
    <row r="303" spans="21:21">
      <c r="U303" s="57"/>
    </row>
    <row r="304" spans="21:21">
      <c r="U304" s="57"/>
    </row>
    <row r="305" spans="21:21">
      <c r="U305" s="57"/>
    </row>
    <row r="306" spans="21:21">
      <c r="U306" s="57"/>
    </row>
    <row r="307" spans="21:21">
      <c r="U307" s="57"/>
    </row>
    <row r="308" spans="21:21">
      <c r="U308" s="57"/>
    </row>
    <row r="309" spans="21:21">
      <c r="U309" s="57"/>
    </row>
    <row r="310" spans="21:21">
      <c r="U310" s="57"/>
    </row>
    <row r="311" spans="21:21">
      <c r="U311" s="57"/>
    </row>
    <row r="312" spans="21:21">
      <c r="U312" s="57"/>
    </row>
    <row r="313" spans="21:21">
      <c r="U313" s="57"/>
    </row>
    <row r="314" spans="21:21">
      <c r="U314" s="57"/>
    </row>
    <row r="315" spans="21:21">
      <c r="U315" s="57"/>
    </row>
    <row r="316" spans="21:21">
      <c r="U316" s="57"/>
    </row>
    <row r="317" spans="21:21">
      <c r="U317" s="57"/>
    </row>
    <row r="318" spans="21:21">
      <c r="U318" s="57"/>
    </row>
    <row r="319" spans="21:21">
      <c r="U319" s="57"/>
    </row>
    <row r="320" spans="21:21">
      <c r="U320" s="57"/>
    </row>
    <row r="321" spans="21:21">
      <c r="U321" s="57"/>
    </row>
    <row r="322" spans="21:21">
      <c r="U322" s="57"/>
    </row>
    <row r="323" spans="21:21">
      <c r="U323" s="57"/>
    </row>
    <row r="324" spans="21:21">
      <c r="U324" s="57"/>
    </row>
    <row r="325" spans="21:21">
      <c r="U325" s="57"/>
    </row>
    <row r="326" spans="21:21">
      <c r="U326" s="57"/>
    </row>
    <row r="327" spans="21:21">
      <c r="U327" s="57"/>
    </row>
    <row r="328" spans="21:21">
      <c r="U328" s="57"/>
    </row>
    <row r="329" spans="21:21">
      <c r="U329" s="57"/>
    </row>
    <row r="330" spans="21:21">
      <c r="U330" s="57"/>
    </row>
    <row r="331" spans="21:21">
      <c r="U331" s="57"/>
    </row>
    <row r="332" spans="21:21">
      <c r="U332" s="57"/>
    </row>
    <row r="333" spans="21:21">
      <c r="U333" s="57"/>
    </row>
    <row r="334" spans="21:21">
      <c r="U334" s="57"/>
    </row>
    <row r="335" spans="21:21">
      <c r="U335" s="57"/>
    </row>
    <row r="336" spans="21:21">
      <c r="U336" s="57"/>
    </row>
    <row r="337" spans="21:21">
      <c r="U337" s="57"/>
    </row>
    <row r="338" spans="21:21">
      <c r="U338" s="57"/>
    </row>
    <row r="339" spans="21:21">
      <c r="U339" s="57"/>
    </row>
    <row r="340" spans="21:21">
      <c r="U340" s="57"/>
    </row>
    <row r="341" spans="21:21">
      <c r="U341" s="57"/>
    </row>
    <row r="342" spans="21:21">
      <c r="U342" s="57"/>
    </row>
    <row r="343" spans="21:21">
      <c r="U343" s="57"/>
    </row>
    <row r="344" spans="21:21">
      <c r="U344" s="57"/>
    </row>
    <row r="345" spans="21:21">
      <c r="U345" s="57"/>
    </row>
    <row r="346" spans="21:21">
      <c r="U346" s="57"/>
    </row>
    <row r="347" spans="21:21">
      <c r="U347" s="57"/>
    </row>
    <row r="348" spans="21:21">
      <c r="U348" s="57"/>
    </row>
    <row r="349" spans="21:21">
      <c r="U349" s="57"/>
    </row>
    <row r="350" spans="21:21">
      <c r="U350" s="57"/>
    </row>
    <row r="351" spans="21:21">
      <c r="U351" s="57"/>
    </row>
    <row r="352" spans="21:21">
      <c r="U352" s="57"/>
    </row>
    <row r="353" spans="21:21">
      <c r="U353" s="57"/>
    </row>
    <row r="354" spans="21:21">
      <c r="U354" s="57"/>
    </row>
    <row r="355" spans="21:21">
      <c r="U355" s="57"/>
    </row>
    <row r="356" spans="21:21">
      <c r="U356" s="57"/>
    </row>
    <row r="357" spans="21:21">
      <c r="U357" s="57"/>
    </row>
    <row r="358" spans="21:21">
      <c r="U358" s="57"/>
    </row>
    <row r="359" spans="21:21">
      <c r="U359" s="57"/>
    </row>
    <row r="360" spans="21:21">
      <c r="U360" s="57"/>
    </row>
    <row r="361" spans="21:21">
      <c r="U361" s="57"/>
    </row>
    <row r="362" spans="21:21">
      <c r="U362" s="57"/>
    </row>
    <row r="363" spans="21:21">
      <c r="U363" s="57"/>
    </row>
    <row r="364" spans="21:21">
      <c r="U364" s="57"/>
    </row>
    <row r="365" spans="21:21">
      <c r="U365" s="57"/>
    </row>
    <row r="366" spans="21:21">
      <c r="U366" s="57"/>
    </row>
    <row r="367" spans="21:21">
      <c r="U367" s="57"/>
    </row>
    <row r="368" spans="21:21">
      <c r="U368" s="57"/>
    </row>
    <row r="369" spans="21:21">
      <c r="U369" s="57"/>
    </row>
    <row r="370" spans="21:21">
      <c r="U370" s="57"/>
    </row>
    <row r="371" spans="21:21">
      <c r="U371" s="57"/>
    </row>
    <row r="372" spans="21:21">
      <c r="U372" s="57"/>
    </row>
    <row r="373" spans="21:21">
      <c r="U373" s="57"/>
    </row>
    <row r="374" spans="21:21">
      <c r="U374" s="57"/>
    </row>
    <row r="375" spans="21:21">
      <c r="U375" s="57"/>
    </row>
    <row r="376" spans="21:21">
      <c r="U376" s="57"/>
    </row>
    <row r="377" spans="21:21">
      <c r="U377" s="57"/>
    </row>
    <row r="378" spans="21:21">
      <c r="U378" s="57"/>
    </row>
    <row r="379" spans="21:21">
      <c r="U379" s="57"/>
    </row>
    <row r="380" spans="21:21">
      <c r="U380" s="57"/>
    </row>
    <row r="381" spans="21:21">
      <c r="U381" s="57"/>
    </row>
    <row r="382" spans="21:21">
      <c r="U382" s="57"/>
    </row>
    <row r="383" spans="21:21">
      <c r="U383" s="57"/>
    </row>
    <row r="384" spans="21:21">
      <c r="U384" s="57"/>
    </row>
    <row r="385" spans="21:21">
      <c r="U385" s="57"/>
    </row>
    <row r="386" spans="21:21">
      <c r="U386" s="57"/>
    </row>
    <row r="387" spans="21:21">
      <c r="U387" s="57"/>
    </row>
    <row r="388" spans="21:21">
      <c r="U388" s="57"/>
    </row>
    <row r="389" spans="21:21">
      <c r="U389" s="57"/>
    </row>
    <row r="390" spans="21:21">
      <c r="U390" s="57"/>
    </row>
    <row r="391" spans="21:21">
      <c r="U391" s="57"/>
    </row>
    <row r="392" spans="21:21">
      <c r="U392" s="57"/>
    </row>
    <row r="393" spans="21:21">
      <c r="U393" s="57"/>
    </row>
    <row r="394" spans="21:21">
      <c r="U394" s="57"/>
    </row>
    <row r="395" spans="21:21">
      <c r="U395" s="57"/>
    </row>
    <row r="396" spans="21:21">
      <c r="U396" s="57"/>
    </row>
    <row r="397" spans="21:21">
      <c r="U397" s="57"/>
    </row>
    <row r="398" spans="21:21">
      <c r="U398" s="57"/>
    </row>
    <row r="399" spans="21:21">
      <c r="U399" s="57"/>
    </row>
    <row r="400" spans="21:21">
      <c r="U400" s="57"/>
    </row>
    <row r="401" spans="21:21">
      <c r="U401" s="57"/>
    </row>
    <row r="402" spans="21:21">
      <c r="U402" s="57"/>
    </row>
    <row r="403" spans="21:21">
      <c r="U403" s="57"/>
    </row>
    <row r="404" spans="21:21">
      <c r="U404" s="57"/>
    </row>
    <row r="405" spans="21:21">
      <c r="U405" s="57"/>
    </row>
    <row r="406" spans="21:21">
      <c r="U406" s="57"/>
    </row>
    <row r="407" spans="21:21">
      <c r="U407" s="57"/>
    </row>
    <row r="408" spans="21:21">
      <c r="U408" s="57"/>
    </row>
    <row r="409" spans="21:21">
      <c r="U409" s="57"/>
    </row>
    <row r="410" spans="21:21">
      <c r="U410" s="57"/>
    </row>
    <row r="411" spans="21:21">
      <c r="U411" s="57"/>
    </row>
    <row r="412" spans="21:21">
      <c r="U412" s="57"/>
    </row>
    <row r="413" spans="21:21">
      <c r="U413" s="57"/>
    </row>
    <row r="414" spans="21:21">
      <c r="U414" s="57"/>
    </row>
    <row r="415" spans="21:21">
      <c r="U415" s="57"/>
    </row>
    <row r="416" spans="21:21">
      <c r="U416" s="57"/>
    </row>
    <row r="417" spans="21:21">
      <c r="U417" s="57"/>
    </row>
    <row r="418" spans="21:21">
      <c r="U418" s="57"/>
    </row>
    <row r="419" spans="21:21">
      <c r="U419" s="57"/>
    </row>
    <row r="420" spans="21:21">
      <c r="U420" s="57"/>
    </row>
    <row r="421" spans="21:21">
      <c r="U421" s="57"/>
    </row>
    <row r="422" spans="21:21">
      <c r="U422" s="57"/>
    </row>
    <row r="423" spans="21:21">
      <c r="U423" s="57"/>
    </row>
    <row r="424" spans="21:21">
      <c r="U424" s="57"/>
    </row>
    <row r="425" spans="21:21">
      <c r="U425" s="57"/>
    </row>
    <row r="426" spans="21:21">
      <c r="U426" s="57"/>
    </row>
    <row r="427" spans="21:21">
      <c r="U427" s="57"/>
    </row>
    <row r="428" spans="21:21">
      <c r="U428" s="57"/>
    </row>
    <row r="429" spans="21:21">
      <c r="U429" s="57"/>
    </row>
    <row r="430" spans="21:21">
      <c r="U430" s="57"/>
    </row>
    <row r="431" spans="21:21">
      <c r="U431" s="57"/>
    </row>
    <row r="432" spans="21:21">
      <c r="U432" s="57"/>
    </row>
    <row r="433" spans="21:21">
      <c r="U433" s="57"/>
    </row>
    <row r="434" spans="21:21">
      <c r="U434" s="57"/>
    </row>
    <row r="435" spans="21:21">
      <c r="U435" s="57"/>
    </row>
    <row r="436" spans="21:21">
      <c r="U436" s="57"/>
    </row>
    <row r="437" spans="21:21">
      <c r="U437" s="57"/>
    </row>
    <row r="438" spans="21:21">
      <c r="U438" s="57"/>
    </row>
    <row r="439" spans="21:21">
      <c r="U439" s="57"/>
    </row>
    <row r="440" spans="21:21">
      <c r="U440" s="57"/>
    </row>
    <row r="441" spans="21:21">
      <c r="U441" s="57"/>
    </row>
    <row r="442" spans="21:21">
      <c r="U442" s="57"/>
    </row>
    <row r="443" spans="21:21">
      <c r="U443" s="57"/>
    </row>
    <row r="444" spans="21:21">
      <c r="U444" s="57"/>
    </row>
    <row r="445" spans="21:21">
      <c r="U445" s="57"/>
    </row>
    <row r="446" spans="21:21">
      <c r="U446" s="57"/>
    </row>
    <row r="447" spans="21:21">
      <c r="U447" s="57"/>
    </row>
    <row r="448" spans="21:21">
      <c r="U448" s="57"/>
    </row>
    <row r="449" spans="21:21">
      <c r="U449" s="57"/>
    </row>
    <row r="450" spans="21:21">
      <c r="U450" s="57"/>
    </row>
    <row r="451" spans="21:21">
      <c r="U451" s="57"/>
    </row>
    <row r="452" spans="21:21">
      <c r="U452" s="57"/>
    </row>
    <row r="453" spans="21:21">
      <c r="U453" s="57"/>
    </row>
    <row r="454" spans="21:21">
      <c r="U454" s="57"/>
    </row>
    <row r="455" spans="21:21">
      <c r="U455" s="57"/>
    </row>
    <row r="456" spans="21:21">
      <c r="U456" s="57"/>
    </row>
    <row r="457" spans="21:21">
      <c r="U457" s="57"/>
    </row>
    <row r="458" spans="21:21">
      <c r="U458" s="57"/>
    </row>
    <row r="459" spans="21:21">
      <c r="U459" s="57"/>
    </row>
    <row r="460" spans="21:21">
      <c r="U460" s="57"/>
    </row>
    <row r="461" spans="21:21">
      <c r="U461" s="57"/>
    </row>
    <row r="462" spans="21:21">
      <c r="U462" s="57"/>
    </row>
    <row r="463" spans="21:21">
      <c r="U463" s="57"/>
    </row>
    <row r="464" spans="21:21">
      <c r="U464" s="57"/>
    </row>
    <row r="465" spans="21:21">
      <c r="U465" s="57"/>
    </row>
    <row r="466" spans="21:21">
      <c r="U466" s="57"/>
    </row>
    <row r="467" spans="21:21">
      <c r="U467" s="57"/>
    </row>
    <row r="468" spans="21:21">
      <c r="U468" s="57"/>
    </row>
    <row r="469" spans="21:21">
      <c r="U469" s="57"/>
    </row>
    <row r="470" spans="21:21">
      <c r="U470" s="57"/>
    </row>
    <row r="471" spans="21:21">
      <c r="U471" s="57"/>
    </row>
    <row r="472" spans="21:21">
      <c r="U472" s="57"/>
    </row>
    <row r="473" spans="21:21">
      <c r="U473" s="57"/>
    </row>
    <row r="474" spans="21:21">
      <c r="U474" s="57"/>
    </row>
    <row r="475" spans="21:21">
      <c r="U475" s="57"/>
    </row>
    <row r="476" spans="21:21">
      <c r="U476" s="57"/>
    </row>
    <row r="477" spans="21:21">
      <c r="U477" s="57"/>
    </row>
    <row r="478" spans="21:21">
      <c r="U478" s="57"/>
    </row>
    <row r="479" spans="21:21">
      <c r="U479" s="57"/>
    </row>
    <row r="480" spans="21:21">
      <c r="U480" s="57"/>
    </row>
    <row r="481" spans="21:21">
      <c r="U481" s="57"/>
    </row>
    <row r="482" spans="21:21">
      <c r="U482" s="57"/>
    </row>
    <row r="483" spans="21:21">
      <c r="U483" s="57"/>
    </row>
    <row r="484" spans="21:21">
      <c r="U484" s="57"/>
    </row>
    <row r="485" spans="21:21">
      <c r="U485" s="57"/>
    </row>
    <row r="486" spans="21:21">
      <c r="U486" s="57"/>
    </row>
    <row r="487" spans="21:21">
      <c r="U487" s="57"/>
    </row>
    <row r="488" spans="21:21">
      <c r="U488" s="57"/>
    </row>
    <row r="489" spans="21:21">
      <c r="U489" s="57"/>
    </row>
    <row r="490" spans="21:21">
      <c r="U490" s="57"/>
    </row>
    <row r="491" spans="21:21">
      <c r="U491" s="57"/>
    </row>
    <row r="492" spans="21:21">
      <c r="U492" s="57"/>
    </row>
    <row r="493" spans="21:21">
      <c r="U493" s="57"/>
    </row>
    <row r="494" spans="21:21">
      <c r="U494" s="57"/>
    </row>
    <row r="495" spans="21:21">
      <c r="U495" s="57"/>
    </row>
    <row r="496" spans="21:21">
      <c r="U496" s="57"/>
    </row>
    <row r="497" spans="21:21">
      <c r="U497" s="57"/>
    </row>
    <row r="498" spans="21:21">
      <c r="U498" s="57"/>
    </row>
    <row r="499" spans="21:21">
      <c r="U499" s="57"/>
    </row>
    <row r="500" spans="21:21">
      <c r="U500" s="57"/>
    </row>
    <row r="501" spans="21:21">
      <c r="U501" s="57"/>
    </row>
    <row r="502" spans="21:21">
      <c r="U502" s="57"/>
    </row>
    <row r="503" spans="21:21">
      <c r="U503" s="57"/>
    </row>
    <row r="504" spans="21:21">
      <c r="U504" s="57"/>
    </row>
    <row r="505" spans="21:21">
      <c r="U505" s="57"/>
    </row>
    <row r="506" spans="21:21">
      <c r="U506" s="57"/>
    </row>
    <row r="507" spans="21:21">
      <c r="U507" s="57"/>
    </row>
    <row r="508" spans="21:21">
      <c r="U508" s="57"/>
    </row>
    <row r="509" spans="21:21">
      <c r="U509" s="57"/>
    </row>
    <row r="510" spans="21:21">
      <c r="U510" s="57"/>
    </row>
    <row r="511" spans="21:21">
      <c r="U511" s="57"/>
    </row>
    <row r="512" spans="21:21">
      <c r="U512" s="57"/>
    </row>
    <row r="513" spans="21:21">
      <c r="U513" s="57"/>
    </row>
    <row r="514" spans="21:21">
      <c r="U514" s="57"/>
    </row>
    <row r="515" spans="21:21">
      <c r="U515" s="57"/>
    </row>
    <row r="516" spans="21:21">
      <c r="U516" s="57"/>
    </row>
    <row r="517" spans="21:21">
      <c r="U517" s="57"/>
    </row>
    <row r="518" spans="21:21">
      <c r="U518" s="57"/>
    </row>
    <row r="519" spans="21:21">
      <c r="U519" s="57"/>
    </row>
    <row r="520" spans="21:21">
      <c r="U520" s="57"/>
    </row>
    <row r="521" spans="21:21">
      <c r="U521" s="57"/>
    </row>
    <row r="522" spans="21:21">
      <c r="U522" s="57"/>
    </row>
    <row r="523" spans="21:21">
      <c r="U523" s="57"/>
    </row>
    <row r="524" spans="21:21">
      <c r="U524" s="57"/>
    </row>
    <row r="525" spans="21:21">
      <c r="U525" s="57"/>
    </row>
    <row r="526" spans="21:21">
      <c r="U526" s="57"/>
    </row>
    <row r="527" spans="21:21">
      <c r="U527" s="57"/>
    </row>
    <row r="528" spans="21:21">
      <c r="U528" s="57"/>
    </row>
    <row r="529" spans="21:21">
      <c r="U529" s="57"/>
    </row>
    <row r="530" spans="21:21">
      <c r="U530" s="57"/>
    </row>
    <row r="531" spans="21:21">
      <c r="U531" s="57"/>
    </row>
    <row r="532" spans="21:21">
      <c r="U532" s="57"/>
    </row>
    <row r="533" spans="21:21">
      <c r="U533" s="57"/>
    </row>
    <row r="534" spans="21:21">
      <c r="U534" s="57"/>
    </row>
    <row r="535" spans="21:21">
      <c r="U535" s="57"/>
    </row>
    <row r="536" spans="21:21">
      <c r="U536" s="57"/>
    </row>
    <row r="537" spans="21:21">
      <c r="U537" s="57"/>
    </row>
    <row r="538" spans="21:21">
      <c r="U538" s="57"/>
    </row>
    <row r="539" spans="21:21">
      <c r="U539" s="57"/>
    </row>
    <row r="540" spans="21:21">
      <c r="U540" s="57"/>
    </row>
    <row r="541" spans="21:21">
      <c r="U541" s="57"/>
    </row>
    <row r="542" spans="21:21">
      <c r="U542" s="57"/>
    </row>
    <row r="543" spans="21:21">
      <c r="U543" s="57"/>
    </row>
    <row r="544" spans="21:21">
      <c r="U544" s="57"/>
    </row>
    <row r="545" spans="21:21">
      <c r="U545" s="57"/>
    </row>
    <row r="546" spans="21:21">
      <c r="U546" s="57"/>
    </row>
    <row r="547" spans="21:21">
      <c r="U547" s="57"/>
    </row>
    <row r="548" spans="21:21">
      <c r="U548" s="57"/>
    </row>
    <row r="549" spans="21:21">
      <c r="U549" s="57"/>
    </row>
    <row r="550" spans="21:21">
      <c r="U550" s="57"/>
    </row>
    <row r="551" spans="21:21">
      <c r="U551" s="57"/>
    </row>
    <row r="552" spans="21:21">
      <c r="U552" s="57"/>
    </row>
    <row r="553" spans="21:21">
      <c r="U553" s="57"/>
    </row>
    <row r="554" spans="21:21">
      <c r="U554" s="57"/>
    </row>
    <row r="555" spans="21:21">
      <c r="U555" s="57"/>
    </row>
    <row r="556" spans="21:21">
      <c r="U556" s="57"/>
    </row>
    <row r="557" spans="21:21">
      <c r="U557" s="57"/>
    </row>
    <row r="558" spans="21:21">
      <c r="U558" s="57"/>
    </row>
    <row r="559" spans="21:21">
      <c r="U559" s="57"/>
    </row>
    <row r="560" spans="21:21">
      <c r="U560" s="57"/>
    </row>
    <row r="561" spans="21:21">
      <c r="U561" s="57"/>
    </row>
    <row r="562" spans="21:21">
      <c r="U562" s="57"/>
    </row>
    <row r="563" spans="21:21">
      <c r="U563" s="57"/>
    </row>
    <row r="564" spans="21:21">
      <c r="U564" s="57"/>
    </row>
    <row r="565" spans="21:21">
      <c r="U565" s="57"/>
    </row>
    <row r="566" spans="21:21">
      <c r="U566" s="57"/>
    </row>
    <row r="567" spans="21:21">
      <c r="U567" s="57"/>
    </row>
    <row r="568" spans="21:21">
      <c r="U568" s="57"/>
    </row>
    <row r="569" spans="21:21">
      <c r="U569" s="57"/>
    </row>
    <row r="570" spans="21:21">
      <c r="U570" s="57"/>
    </row>
    <row r="571" spans="21:21">
      <c r="U571" s="57"/>
    </row>
    <row r="572" spans="21:21">
      <c r="U572" s="57"/>
    </row>
    <row r="573" spans="21:21">
      <c r="U573" s="57"/>
    </row>
    <row r="574" spans="21:21">
      <c r="U574" s="57"/>
    </row>
    <row r="575" spans="21:21">
      <c r="U575" s="57"/>
    </row>
    <row r="576" spans="21:21">
      <c r="U576" s="57"/>
    </row>
    <row r="577" spans="21:21">
      <c r="U577" s="57"/>
    </row>
    <row r="578" spans="21:21">
      <c r="U578" s="57"/>
    </row>
    <row r="579" spans="21:21">
      <c r="U579" s="57"/>
    </row>
    <row r="580" spans="21:21">
      <c r="U580" s="57"/>
    </row>
    <row r="581" spans="21:21">
      <c r="U581" s="57"/>
    </row>
    <row r="582" spans="21:21">
      <c r="U582" s="57"/>
    </row>
    <row r="583" spans="21:21">
      <c r="U583" s="57"/>
    </row>
    <row r="584" spans="21:21">
      <c r="U584" s="57"/>
    </row>
    <row r="585" spans="21:21">
      <c r="U585" s="57"/>
    </row>
    <row r="586" spans="21:21">
      <c r="U586" s="57"/>
    </row>
    <row r="587" spans="21:21">
      <c r="U587" s="57"/>
    </row>
    <row r="588" spans="21:21">
      <c r="U588" s="57"/>
    </row>
    <row r="589" spans="21:21">
      <c r="U589" s="57"/>
    </row>
    <row r="590" spans="21:21">
      <c r="U590" s="57"/>
    </row>
    <row r="591" spans="21:21">
      <c r="U591" s="57"/>
    </row>
    <row r="592" spans="21:21">
      <c r="U592" s="57"/>
    </row>
    <row r="593" spans="21:21">
      <c r="U593" s="57"/>
    </row>
    <row r="594" spans="21:21">
      <c r="U594" s="57"/>
    </row>
    <row r="595" spans="21:21">
      <c r="U595" s="57"/>
    </row>
    <row r="596" spans="21:21">
      <c r="U596" s="57"/>
    </row>
    <row r="597" spans="21:21">
      <c r="U597" s="57"/>
    </row>
    <row r="598" spans="21:21">
      <c r="U598" s="57"/>
    </row>
    <row r="599" spans="21:21">
      <c r="U599" s="57"/>
    </row>
    <row r="600" spans="21:21">
      <c r="U600" s="57"/>
    </row>
    <row r="601" spans="21:21">
      <c r="U601" s="57"/>
    </row>
    <row r="602" spans="21:21">
      <c r="U602" s="57"/>
    </row>
    <row r="603" spans="21:21">
      <c r="U603" s="57"/>
    </row>
    <row r="604" spans="21:21">
      <c r="U604" s="57"/>
    </row>
    <row r="605" spans="21:21">
      <c r="U605" s="57"/>
    </row>
    <row r="606" spans="21:21">
      <c r="U606" s="57"/>
    </row>
    <row r="607" spans="21:21">
      <c r="U607" s="57"/>
    </row>
    <row r="608" spans="21:21">
      <c r="U608" s="57"/>
    </row>
    <row r="609" spans="21:21">
      <c r="U609" s="57"/>
    </row>
    <row r="610" spans="21:21">
      <c r="U610" s="57"/>
    </row>
    <row r="611" spans="21:21">
      <c r="U611" s="57"/>
    </row>
    <row r="612" spans="21:21">
      <c r="U612" s="57"/>
    </row>
    <row r="613" spans="21:21">
      <c r="U613" s="57"/>
    </row>
    <row r="614" spans="21:21">
      <c r="U614" s="57"/>
    </row>
    <row r="615" spans="21:21">
      <c r="U615" s="57"/>
    </row>
    <row r="616" spans="21:21">
      <c r="U616" s="57"/>
    </row>
    <row r="617" spans="21:21">
      <c r="U617" s="57"/>
    </row>
    <row r="618" spans="21:21">
      <c r="U618" s="57"/>
    </row>
    <row r="619" spans="21:21">
      <c r="U619" s="57"/>
    </row>
    <row r="620" spans="21:21">
      <c r="U620" s="57"/>
    </row>
    <row r="621" spans="21:21">
      <c r="U621" s="57"/>
    </row>
    <row r="622" spans="21:21">
      <c r="U622" s="57"/>
    </row>
    <row r="623" spans="21:21">
      <c r="U623" s="57"/>
    </row>
    <row r="624" spans="21:21">
      <c r="U624" s="57"/>
    </row>
    <row r="625" spans="21:21">
      <c r="U625" s="57"/>
    </row>
    <row r="626" spans="21:21">
      <c r="U626" s="57"/>
    </row>
    <row r="627" spans="21:21">
      <c r="U627" s="57"/>
    </row>
    <row r="628" spans="21:21">
      <c r="U628" s="57"/>
    </row>
    <row r="629" spans="21:21">
      <c r="U629" s="57"/>
    </row>
    <row r="630" spans="21:21">
      <c r="U630" s="57"/>
    </row>
    <row r="631" spans="21:21">
      <c r="U631" s="57"/>
    </row>
    <row r="632" spans="21:21">
      <c r="U632" s="57"/>
    </row>
    <row r="633" spans="21:21">
      <c r="U633" s="57"/>
    </row>
    <row r="634" spans="21:21">
      <c r="U634" s="57"/>
    </row>
    <row r="635" spans="21:21">
      <c r="U635" s="57"/>
    </row>
    <row r="636" spans="21:21">
      <c r="U636" s="57"/>
    </row>
    <row r="637" spans="21:21">
      <c r="U637" s="57"/>
    </row>
    <row r="638" spans="21:21">
      <c r="U638" s="57"/>
    </row>
    <row r="639" spans="21:21">
      <c r="U639" s="57"/>
    </row>
    <row r="640" spans="21:21">
      <c r="U640" s="57"/>
    </row>
    <row r="641" spans="21:21">
      <c r="U641" s="57"/>
    </row>
    <row r="642" spans="21:21">
      <c r="U642" s="57"/>
    </row>
    <row r="643" spans="21:21">
      <c r="U643" s="57"/>
    </row>
    <row r="644" spans="21:21">
      <c r="U644" s="57"/>
    </row>
    <row r="645" spans="21:21">
      <c r="U645" s="57"/>
    </row>
    <row r="646" spans="21:21">
      <c r="U646" s="57"/>
    </row>
    <row r="647" spans="21:21">
      <c r="U647" s="57"/>
    </row>
    <row r="648" spans="21:21">
      <c r="U648" s="57"/>
    </row>
    <row r="649" spans="21:21">
      <c r="U649" s="57"/>
    </row>
    <row r="650" spans="21:21">
      <c r="U650" s="57"/>
    </row>
    <row r="651" spans="21:21">
      <c r="U651" s="57"/>
    </row>
    <row r="652" spans="21:21">
      <c r="U652" s="57"/>
    </row>
    <row r="653" spans="21:21">
      <c r="U653" s="57"/>
    </row>
    <row r="654" spans="21:21">
      <c r="U654" s="57"/>
    </row>
    <row r="655" spans="21:21">
      <c r="U655" s="57"/>
    </row>
    <row r="656" spans="21:21">
      <c r="U656" s="57"/>
    </row>
    <row r="657" spans="21:21">
      <c r="U657" s="57"/>
    </row>
    <row r="658" spans="21:21">
      <c r="U658" s="57"/>
    </row>
    <row r="659" spans="21:21">
      <c r="U659" s="57"/>
    </row>
    <row r="660" spans="21:21">
      <c r="U660" s="57"/>
    </row>
    <row r="661" spans="21:21">
      <c r="U661" s="57"/>
    </row>
    <row r="662" spans="21:21">
      <c r="U662" s="57"/>
    </row>
    <row r="663" spans="21:21">
      <c r="U663" s="57"/>
    </row>
    <row r="664" spans="21:21">
      <c r="U664" s="57"/>
    </row>
    <row r="665" spans="21:21">
      <c r="U665" s="57"/>
    </row>
    <row r="666" spans="21:21">
      <c r="U666" s="57"/>
    </row>
    <row r="667" spans="21:21">
      <c r="U667" s="57"/>
    </row>
    <row r="668" spans="21:21">
      <c r="U668" s="57"/>
    </row>
    <row r="669" spans="21:21">
      <c r="U669" s="57"/>
    </row>
    <row r="670" spans="21:21">
      <c r="U670" s="57"/>
    </row>
    <row r="671" spans="21:21">
      <c r="U671" s="57"/>
    </row>
    <row r="672" spans="21:21">
      <c r="U672" s="57"/>
    </row>
    <row r="673" spans="21:21">
      <c r="U673" s="57"/>
    </row>
    <row r="674" spans="21:21">
      <c r="U674" s="57"/>
    </row>
    <row r="675" spans="21:21">
      <c r="U675" s="57"/>
    </row>
    <row r="676" spans="21:21">
      <c r="U676" s="57"/>
    </row>
    <row r="677" spans="21:21">
      <c r="U677" s="57"/>
    </row>
    <row r="678" spans="21:21">
      <c r="U678" s="57"/>
    </row>
    <row r="679" spans="21:21">
      <c r="U679" s="57"/>
    </row>
    <row r="680" spans="21:21">
      <c r="U680" s="57"/>
    </row>
    <row r="681" spans="21:21">
      <c r="U681" s="57"/>
    </row>
    <row r="682" spans="21:21">
      <c r="U682" s="57"/>
    </row>
    <row r="683" spans="21:21">
      <c r="U683" s="57"/>
    </row>
    <row r="684" spans="21:21">
      <c r="U684" s="57"/>
    </row>
    <row r="685" spans="21:21">
      <c r="U685" s="57"/>
    </row>
    <row r="686" spans="21:21">
      <c r="U686" s="57"/>
    </row>
    <row r="687" spans="21:21">
      <c r="U687" s="57"/>
    </row>
    <row r="688" spans="21:21">
      <c r="U688" s="57"/>
    </row>
    <row r="689" spans="21:21">
      <c r="U689" s="57"/>
    </row>
    <row r="690" spans="21:21">
      <c r="U690" s="57"/>
    </row>
    <row r="691" spans="21:21">
      <c r="U691" s="57"/>
    </row>
    <row r="692" spans="21:21">
      <c r="U692" s="57"/>
    </row>
    <row r="693" spans="21:21">
      <c r="U693" s="57"/>
    </row>
    <row r="694" spans="21:21">
      <c r="U694" s="57"/>
    </row>
    <row r="695" spans="21:21">
      <c r="U695" s="57"/>
    </row>
    <row r="696" spans="21:21">
      <c r="U696" s="57"/>
    </row>
    <row r="697" spans="21:21">
      <c r="U697" s="57"/>
    </row>
    <row r="698" spans="21:21">
      <c r="U698" s="57"/>
    </row>
    <row r="699" spans="21:21">
      <c r="U699" s="57"/>
    </row>
    <row r="700" spans="21:21">
      <c r="U700" s="57"/>
    </row>
    <row r="701" spans="21:21">
      <c r="U701" s="57"/>
    </row>
    <row r="702" spans="21:21">
      <c r="U702" s="57"/>
    </row>
    <row r="703" spans="21:21">
      <c r="U703" s="57"/>
    </row>
    <row r="704" spans="21:21">
      <c r="U704" s="57"/>
    </row>
    <row r="705" spans="21:21">
      <c r="U705" s="57"/>
    </row>
    <row r="706" spans="21:21">
      <c r="U706" s="57"/>
    </row>
    <row r="707" spans="21:21">
      <c r="U707" s="57"/>
    </row>
    <row r="708" spans="21:21">
      <c r="U708" s="57"/>
    </row>
    <row r="709" spans="21:21">
      <c r="U709" s="57"/>
    </row>
    <row r="710" spans="21:21">
      <c r="U710" s="57"/>
    </row>
    <row r="711" spans="21:21">
      <c r="U711" s="57"/>
    </row>
    <row r="712" spans="21:21">
      <c r="U712" s="57"/>
    </row>
    <row r="713" spans="21:21">
      <c r="U713" s="57"/>
    </row>
    <row r="714" spans="21:21">
      <c r="U714" s="57"/>
    </row>
    <row r="715" spans="21:21">
      <c r="U715" s="57"/>
    </row>
    <row r="716" spans="21:21">
      <c r="U716" s="57"/>
    </row>
    <row r="717" spans="21:21">
      <c r="U717" s="57"/>
    </row>
    <row r="718" spans="21:21">
      <c r="U718" s="57"/>
    </row>
    <row r="719" spans="21:21">
      <c r="U719" s="57"/>
    </row>
    <row r="720" spans="21:21">
      <c r="U720" s="57"/>
    </row>
    <row r="721" spans="21:21">
      <c r="U721" s="57"/>
    </row>
    <row r="722" spans="21:21">
      <c r="U722" s="57"/>
    </row>
    <row r="723" spans="21:21">
      <c r="U723" s="57"/>
    </row>
    <row r="724" spans="21:21">
      <c r="U724" s="57"/>
    </row>
    <row r="725" spans="21:21">
      <c r="U725" s="57"/>
    </row>
    <row r="726" spans="21:21">
      <c r="U726" s="57"/>
    </row>
    <row r="727" spans="21:21">
      <c r="U727" s="57"/>
    </row>
    <row r="728" spans="21:21">
      <c r="U728" s="57"/>
    </row>
    <row r="729" spans="21:21">
      <c r="U729" s="57"/>
    </row>
    <row r="730" spans="21:21">
      <c r="U730" s="57"/>
    </row>
    <row r="731" spans="21:21">
      <c r="U731" s="57"/>
    </row>
    <row r="732" spans="21:21">
      <c r="U732" s="57"/>
    </row>
    <row r="733" spans="21:21">
      <c r="U733" s="57"/>
    </row>
    <row r="734" spans="21:21">
      <c r="U734" s="57"/>
    </row>
    <row r="735" spans="21:21">
      <c r="U735" s="57"/>
    </row>
    <row r="736" spans="21:21">
      <c r="U736" s="57"/>
    </row>
    <row r="737" spans="21:21">
      <c r="U737" s="57"/>
    </row>
    <row r="738" spans="21:21">
      <c r="U738" s="57"/>
    </row>
    <row r="739" spans="21:21">
      <c r="U739" s="57"/>
    </row>
    <row r="740" spans="21:21">
      <c r="U740" s="57"/>
    </row>
    <row r="741" spans="21:21">
      <c r="U741" s="57"/>
    </row>
    <row r="742" spans="21:21">
      <c r="U742" s="57"/>
    </row>
    <row r="743" spans="21:21">
      <c r="U743" s="57"/>
    </row>
    <row r="744" spans="21:21">
      <c r="U744" s="57"/>
    </row>
    <row r="745" spans="21:21">
      <c r="U745" s="57"/>
    </row>
    <row r="746" spans="21:21">
      <c r="U746" s="57"/>
    </row>
    <row r="747" spans="21:21">
      <c r="U747" s="57"/>
    </row>
    <row r="748" spans="21:21">
      <c r="U748" s="57"/>
    </row>
    <row r="749" spans="21:21">
      <c r="U749" s="57"/>
    </row>
    <row r="750" spans="21:21">
      <c r="U750" s="57"/>
    </row>
    <row r="751" spans="21:21">
      <c r="U751" s="57"/>
    </row>
    <row r="752" spans="21:21">
      <c r="U752" s="57"/>
    </row>
    <row r="753" spans="21:21">
      <c r="U753" s="57"/>
    </row>
    <row r="754" spans="21:21">
      <c r="U754" s="57"/>
    </row>
    <row r="755" spans="21:21">
      <c r="U755" s="57"/>
    </row>
    <row r="756" spans="21:21">
      <c r="U756" s="57"/>
    </row>
    <row r="757" spans="21:21">
      <c r="U757" s="57"/>
    </row>
    <row r="758" spans="21:21">
      <c r="U758" s="57"/>
    </row>
    <row r="759" spans="21:21">
      <c r="U759" s="57"/>
    </row>
    <row r="760" spans="21:21">
      <c r="U760" s="57"/>
    </row>
    <row r="761" spans="21:21">
      <c r="U761" s="57"/>
    </row>
    <row r="762" spans="21:21">
      <c r="U762" s="57"/>
    </row>
    <row r="763" spans="21:21">
      <c r="U763" s="57"/>
    </row>
    <row r="764" spans="21:21">
      <c r="U764" s="57"/>
    </row>
    <row r="765" spans="21:21">
      <c r="U765" s="57"/>
    </row>
    <row r="766" spans="21:21">
      <c r="U766" s="57"/>
    </row>
    <row r="767" spans="21:21">
      <c r="U767" s="57"/>
    </row>
    <row r="768" spans="21:21">
      <c r="U768" s="57"/>
    </row>
    <row r="769" spans="21:21">
      <c r="U769" s="57"/>
    </row>
    <row r="770" spans="21:21">
      <c r="U770" s="57"/>
    </row>
    <row r="771" spans="21:21">
      <c r="U771" s="57"/>
    </row>
    <row r="772" spans="21:21">
      <c r="U772" s="57"/>
    </row>
    <row r="773" spans="21:21">
      <c r="U773" s="57"/>
    </row>
    <row r="774" spans="21:21">
      <c r="U774" s="57"/>
    </row>
    <row r="775" spans="21:21">
      <c r="U775" s="57"/>
    </row>
    <row r="776" spans="21:21">
      <c r="U776" s="57"/>
    </row>
    <row r="777" spans="21:21">
      <c r="U777" s="57"/>
    </row>
    <row r="778" spans="21:21">
      <c r="U778" s="57"/>
    </row>
    <row r="779" spans="21:21">
      <c r="U779" s="57"/>
    </row>
    <row r="780" spans="21:21">
      <c r="U780" s="57"/>
    </row>
    <row r="781" spans="21:21">
      <c r="U781" s="57"/>
    </row>
    <row r="782" spans="21:21">
      <c r="U782" s="57"/>
    </row>
    <row r="783" spans="21:21">
      <c r="U783" s="57"/>
    </row>
    <row r="784" spans="21:21">
      <c r="U784" s="57"/>
    </row>
    <row r="785" spans="21:21">
      <c r="U785" s="57"/>
    </row>
    <row r="786" spans="21:21">
      <c r="U786" s="57"/>
    </row>
    <row r="787" spans="21:21">
      <c r="U787" s="57"/>
    </row>
    <row r="788" spans="21:21">
      <c r="U788" s="57"/>
    </row>
    <row r="789" spans="21:21">
      <c r="U789" s="57"/>
    </row>
    <row r="790" spans="21:21">
      <c r="U790" s="57"/>
    </row>
    <row r="791" spans="21:21">
      <c r="U791" s="57"/>
    </row>
    <row r="792" spans="21:21">
      <c r="U792" s="57"/>
    </row>
    <row r="793" spans="21:21">
      <c r="U793" s="57"/>
    </row>
    <row r="794" spans="21:21">
      <c r="U794" s="57"/>
    </row>
    <row r="795" spans="21:21">
      <c r="U795" s="57"/>
    </row>
    <row r="796" spans="21:21">
      <c r="U796" s="57"/>
    </row>
    <row r="797" spans="21:21">
      <c r="U797" s="57"/>
    </row>
    <row r="798" spans="21:21">
      <c r="U798" s="57"/>
    </row>
    <row r="799" spans="21:21">
      <c r="U799" s="57"/>
    </row>
    <row r="800" spans="21:21">
      <c r="U800" s="57"/>
    </row>
    <row r="801" spans="21:21">
      <c r="U801" s="57"/>
    </row>
    <row r="802" spans="21:21">
      <c r="U802" s="57"/>
    </row>
    <row r="803" spans="21:21">
      <c r="U803" s="57"/>
    </row>
    <row r="804" spans="21:21">
      <c r="U804" s="57"/>
    </row>
    <row r="805" spans="21:21">
      <c r="U805" s="57"/>
    </row>
    <row r="806" spans="21:21">
      <c r="U806" s="57"/>
    </row>
    <row r="807" spans="21:21">
      <c r="U807" s="57"/>
    </row>
    <row r="808" spans="21:21">
      <c r="U808" s="57"/>
    </row>
    <row r="809" spans="21:21">
      <c r="U809" s="57"/>
    </row>
    <row r="810" spans="21:21">
      <c r="U810" s="57"/>
    </row>
    <row r="811" spans="21:21">
      <c r="U811" s="57"/>
    </row>
    <row r="812" spans="21:21">
      <c r="U812" s="57"/>
    </row>
    <row r="813" spans="21:21">
      <c r="U813" s="57"/>
    </row>
    <row r="814" spans="21:21">
      <c r="U814" s="57"/>
    </row>
    <row r="815" spans="21:21">
      <c r="U815" s="57"/>
    </row>
    <row r="816" spans="21:21">
      <c r="U816" s="57"/>
    </row>
    <row r="817" spans="21:21">
      <c r="U817" s="57"/>
    </row>
    <row r="818" spans="21:21">
      <c r="U818" s="57"/>
    </row>
    <row r="819" spans="21:21">
      <c r="U819" s="57"/>
    </row>
    <row r="820" spans="21:21">
      <c r="U820" s="57"/>
    </row>
    <row r="821" spans="21:21">
      <c r="U821" s="57"/>
    </row>
    <row r="822" spans="21:21">
      <c r="U822" s="57"/>
    </row>
    <row r="823" spans="21:21">
      <c r="U823" s="57"/>
    </row>
    <row r="824" spans="21:21">
      <c r="U824" s="57"/>
    </row>
    <row r="825" spans="21:21">
      <c r="U825" s="57"/>
    </row>
    <row r="826" spans="21:21">
      <c r="U826" s="57"/>
    </row>
    <row r="827" spans="21:21">
      <c r="U827" s="57"/>
    </row>
    <row r="828" spans="21:21">
      <c r="U828" s="57"/>
    </row>
    <row r="829" spans="21:21">
      <c r="U829" s="57"/>
    </row>
    <row r="830" spans="21:21">
      <c r="U830" s="57"/>
    </row>
    <row r="831" spans="21:21">
      <c r="U831" s="57"/>
    </row>
    <row r="832" spans="21:21">
      <c r="U832" s="57"/>
    </row>
    <row r="833" spans="21:21">
      <c r="U833" s="57"/>
    </row>
    <row r="834" spans="21:21">
      <c r="U834" s="57"/>
    </row>
    <row r="835" spans="21:21">
      <c r="U835" s="57"/>
    </row>
    <row r="836" spans="21:21">
      <c r="U836" s="57"/>
    </row>
    <row r="837" spans="21:21">
      <c r="U837" s="57"/>
    </row>
    <row r="838" spans="21:21">
      <c r="U838" s="57"/>
    </row>
    <row r="839" spans="21:21">
      <c r="U839" s="57"/>
    </row>
    <row r="840" spans="21:21">
      <c r="U840" s="57"/>
    </row>
    <row r="841" spans="21:21">
      <c r="U841" s="57"/>
    </row>
    <row r="842" spans="21:21">
      <c r="U842" s="57"/>
    </row>
    <row r="843" spans="21:21">
      <c r="U843" s="57"/>
    </row>
    <row r="844" spans="21:21">
      <c r="U844" s="57"/>
    </row>
    <row r="845" spans="21:21">
      <c r="U845" s="57"/>
    </row>
    <row r="846" spans="21:21">
      <c r="U846" s="57"/>
    </row>
    <row r="847" spans="21:21">
      <c r="U847" s="57"/>
    </row>
    <row r="848" spans="21:21">
      <c r="U848" s="57"/>
    </row>
    <row r="849" spans="21:21">
      <c r="U849" s="57"/>
    </row>
    <row r="850" spans="21:21">
      <c r="U850" s="57"/>
    </row>
    <row r="851" spans="21:21">
      <c r="U851" s="57"/>
    </row>
    <row r="852" spans="21:21">
      <c r="U852" s="57"/>
    </row>
    <row r="853" spans="21:21">
      <c r="U853" s="57"/>
    </row>
    <row r="854" spans="21:21">
      <c r="U854" s="57"/>
    </row>
    <row r="855" spans="21:21">
      <c r="U855" s="57"/>
    </row>
    <row r="856" spans="21:21">
      <c r="U856" s="57"/>
    </row>
    <row r="857" spans="21:21">
      <c r="U857" s="57"/>
    </row>
    <row r="858" spans="21:21">
      <c r="U858" s="57"/>
    </row>
    <row r="859" spans="21:21">
      <c r="U859" s="57"/>
    </row>
    <row r="860" spans="21:21">
      <c r="U860" s="57"/>
    </row>
    <row r="861" spans="21:21">
      <c r="U861" s="57"/>
    </row>
    <row r="862" spans="21:21">
      <c r="U862" s="57"/>
    </row>
    <row r="863" spans="21:21">
      <c r="U863" s="57"/>
    </row>
    <row r="864" spans="21:21">
      <c r="U864" s="57"/>
    </row>
    <row r="865" spans="21:21">
      <c r="U865" s="57"/>
    </row>
    <row r="866" spans="21:21">
      <c r="U866" s="57"/>
    </row>
    <row r="867" spans="21:21">
      <c r="U867" s="57"/>
    </row>
    <row r="868" spans="21:21">
      <c r="U868" s="57"/>
    </row>
    <row r="869" spans="21:21">
      <c r="U869" s="57"/>
    </row>
    <row r="870" spans="21:21">
      <c r="U870" s="57"/>
    </row>
    <row r="871" spans="21:21">
      <c r="U871" s="57"/>
    </row>
    <row r="872" spans="21:21">
      <c r="U872" s="57"/>
    </row>
    <row r="873" spans="21:21">
      <c r="U873" s="57"/>
    </row>
    <row r="874" spans="21:21">
      <c r="U874" s="57"/>
    </row>
    <row r="875" spans="21:21">
      <c r="U875" s="57"/>
    </row>
    <row r="876" spans="21:21">
      <c r="U876" s="57"/>
    </row>
    <row r="877" spans="21:21">
      <c r="U877" s="57"/>
    </row>
    <row r="878" spans="21:21">
      <c r="U878" s="57"/>
    </row>
    <row r="879" spans="21:21">
      <c r="U879" s="57"/>
    </row>
    <row r="880" spans="21:21">
      <c r="U880" s="57"/>
    </row>
    <row r="881" spans="21:21">
      <c r="U881" s="57"/>
    </row>
    <row r="882" spans="21:21">
      <c r="U882" s="57"/>
    </row>
    <row r="883" spans="21:21">
      <c r="U883" s="57"/>
    </row>
    <row r="884" spans="21:21">
      <c r="U884" s="57"/>
    </row>
    <row r="885" spans="21:21">
      <c r="U885" s="57"/>
    </row>
    <row r="886" spans="21:21">
      <c r="U886" s="57"/>
    </row>
    <row r="887" spans="21:21">
      <c r="U887" s="57"/>
    </row>
    <row r="888" spans="21:21">
      <c r="U888" s="57"/>
    </row>
    <row r="889" spans="21:21">
      <c r="U889" s="57"/>
    </row>
    <row r="890" spans="21:21">
      <c r="U890" s="57"/>
    </row>
    <row r="891" spans="21:21">
      <c r="U891" s="57"/>
    </row>
    <row r="892" spans="21:21">
      <c r="U892" s="57"/>
    </row>
    <row r="893" spans="21:21">
      <c r="U893" s="57"/>
    </row>
    <row r="894" spans="21:21">
      <c r="U894" s="57"/>
    </row>
    <row r="895" spans="21:21">
      <c r="U895" s="57"/>
    </row>
    <row r="896" spans="21:21">
      <c r="U896" s="57"/>
    </row>
    <row r="897" spans="21:21">
      <c r="U897" s="57"/>
    </row>
    <row r="898" spans="21:21">
      <c r="U898" s="57"/>
    </row>
    <row r="899" spans="21:21">
      <c r="U899" s="57"/>
    </row>
    <row r="900" spans="21:21">
      <c r="U900" s="57"/>
    </row>
    <row r="901" spans="21:21">
      <c r="U901" s="57"/>
    </row>
    <row r="902" spans="21:21">
      <c r="U902" s="57"/>
    </row>
    <row r="903" spans="21:21">
      <c r="U903" s="57"/>
    </row>
    <row r="904" spans="21:21">
      <c r="U904" s="57"/>
    </row>
    <row r="905" spans="21:21">
      <c r="U905" s="57"/>
    </row>
    <row r="906" spans="21:21">
      <c r="U906" s="57"/>
    </row>
    <row r="907" spans="21:21">
      <c r="U907" s="57"/>
    </row>
    <row r="908" spans="21:21">
      <c r="U908" s="57"/>
    </row>
    <row r="909" spans="21:21">
      <c r="U909" s="57"/>
    </row>
    <row r="910" spans="21:21">
      <c r="U910" s="57"/>
    </row>
    <row r="911" spans="21:21">
      <c r="U911" s="57"/>
    </row>
    <row r="912" spans="21:21">
      <c r="U912" s="57"/>
    </row>
    <row r="913" spans="21:21">
      <c r="U913" s="57"/>
    </row>
    <row r="914" spans="21:21">
      <c r="U914" s="57"/>
    </row>
    <row r="915" spans="21:21">
      <c r="U915" s="57"/>
    </row>
    <row r="916" spans="21:21">
      <c r="U916" s="57"/>
    </row>
    <row r="917" spans="21:21">
      <c r="U917" s="57"/>
    </row>
    <row r="918" spans="21:21">
      <c r="U918" s="57"/>
    </row>
    <row r="919" spans="21:21">
      <c r="U919" s="57"/>
    </row>
    <row r="920" spans="21:21">
      <c r="U920" s="57"/>
    </row>
    <row r="921" spans="21:21">
      <c r="U921" s="57"/>
    </row>
    <row r="922" spans="21:21">
      <c r="U922" s="57"/>
    </row>
    <row r="923" spans="21:21">
      <c r="U923" s="57"/>
    </row>
    <row r="924" spans="21:21">
      <c r="U924" s="57"/>
    </row>
    <row r="925" spans="21:21">
      <c r="U925" s="57"/>
    </row>
    <row r="926" spans="21:21">
      <c r="U926" s="57"/>
    </row>
    <row r="927" spans="21:21">
      <c r="U927" s="57"/>
    </row>
    <row r="928" spans="21:21">
      <c r="U928" s="57"/>
    </row>
    <row r="929" spans="21:21">
      <c r="U929" s="57"/>
    </row>
    <row r="930" spans="21:21">
      <c r="U930" s="57"/>
    </row>
    <row r="931" spans="21:21">
      <c r="U931" s="57"/>
    </row>
    <row r="932" spans="21:21">
      <c r="U932" s="57"/>
    </row>
    <row r="933" spans="21:21">
      <c r="U933" s="57"/>
    </row>
    <row r="934" spans="21:21">
      <c r="U934" s="57"/>
    </row>
    <row r="935" spans="21:21">
      <c r="U935" s="57"/>
    </row>
    <row r="936" spans="21:21">
      <c r="U936" s="57"/>
    </row>
    <row r="937" spans="21:21">
      <c r="U937" s="57"/>
    </row>
    <row r="938" spans="21:21">
      <c r="U938" s="57"/>
    </row>
    <row r="939" spans="21:21">
      <c r="U939" s="57"/>
    </row>
    <row r="940" spans="21:21">
      <c r="U940" s="57"/>
    </row>
    <row r="941" spans="21:21">
      <c r="U941" s="57"/>
    </row>
    <row r="942" spans="21:21">
      <c r="U942" s="57"/>
    </row>
    <row r="943" spans="21:21">
      <c r="U943" s="57"/>
    </row>
    <row r="944" spans="21:21">
      <c r="U944" s="57"/>
    </row>
    <row r="945" spans="21:21">
      <c r="U945" s="57"/>
    </row>
    <row r="946" spans="21:21">
      <c r="U946" s="57"/>
    </row>
    <row r="947" spans="21:21">
      <c r="U947" s="57"/>
    </row>
    <row r="948" spans="21:21">
      <c r="U948" s="57"/>
    </row>
    <row r="949" spans="21:21">
      <c r="U949" s="57"/>
    </row>
    <row r="950" spans="21:21">
      <c r="U950" s="57"/>
    </row>
    <row r="951" spans="21:21">
      <c r="U951" s="57"/>
    </row>
    <row r="952" spans="21:21">
      <c r="U952" s="57"/>
    </row>
    <row r="953" spans="21:21">
      <c r="U953" s="57"/>
    </row>
    <row r="954" spans="21:21">
      <c r="U954" s="57"/>
    </row>
    <row r="955" spans="21:21">
      <c r="U955" s="57"/>
    </row>
    <row r="956" spans="21:21">
      <c r="U956" s="57"/>
    </row>
    <row r="957" spans="21:21">
      <c r="U957" s="57"/>
    </row>
    <row r="958" spans="21:21">
      <c r="U958" s="57"/>
    </row>
    <row r="959" spans="21:21">
      <c r="U959" s="57"/>
    </row>
    <row r="960" spans="21:21">
      <c r="U960" s="57"/>
    </row>
    <row r="961" spans="21:21">
      <c r="U961" s="57"/>
    </row>
    <row r="962" spans="21:21">
      <c r="U962" s="57"/>
    </row>
    <row r="963" spans="21:21">
      <c r="U963" s="57"/>
    </row>
    <row r="964" spans="21:21">
      <c r="U964" s="57"/>
    </row>
    <row r="965" spans="21:21">
      <c r="U965" s="57"/>
    </row>
    <row r="966" spans="21:21">
      <c r="U966" s="57"/>
    </row>
    <row r="967" spans="21:21">
      <c r="U967" s="57"/>
    </row>
    <row r="968" spans="21:21">
      <c r="U968" s="57"/>
    </row>
    <row r="969" spans="21:21">
      <c r="U969" s="57"/>
    </row>
    <row r="970" spans="21:21">
      <c r="U970" s="57"/>
    </row>
    <row r="971" spans="21:21">
      <c r="U971" s="57"/>
    </row>
    <row r="972" spans="21:21">
      <c r="U972" s="57"/>
    </row>
    <row r="973" spans="21:21">
      <c r="U973" s="57"/>
    </row>
    <row r="974" spans="21:21">
      <c r="U974" s="57"/>
    </row>
    <row r="975" spans="21:21">
      <c r="U975" s="57"/>
    </row>
    <row r="976" spans="21:21">
      <c r="U976" s="57"/>
    </row>
    <row r="977" spans="21:21">
      <c r="U977" s="57"/>
    </row>
    <row r="978" spans="21:21">
      <c r="U978" s="57"/>
    </row>
    <row r="979" spans="21:21">
      <c r="U979" s="57"/>
    </row>
    <row r="980" spans="21:21">
      <c r="U980" s="57"/>
    </row>
    <row r="981" spans="21:21">
      <c r="U981" s="57"/>
    </row>
    <row r="982" spans="21:21">
      <c r="U982" s="57"/>
    </row>
    <row r="983" spans="21:21">
      <c r="U983" s="57"/>
    </row>
    <row r="984" spans="21:21">
      <c r="U984" s="57"/>
    </row>
    <row r="985" spans="21:21">
      <c r="U985" s="57"/>
    </row>
    <row r="986" spans="21:21">
      <c r="U986" s="57"/>
    </row>
    <row r="987" spans="21:21">
      <c r="U987" s="57"/>
    </row>
    <row r="988" spans="21:21">
      <c r="U988" s="57"/>
    </row>
    <row r="989" spans="21:21">
      <c r="U989" s="57"/>
    </row>
    <row r="990" spans="21:21">
      <c r="U990" s="57"/>
    </row>
    <row r="991" spans="21:21">
      <c r="U991" s="57"/>
    </row>
    <row r="992" spans="21:21">
      <c r="U992" s="57"/>
    </row>
    <row r="993" spans="21:21">
      <c r="U993" s="57"/>
    </row>
    <row r="994" spans="21:21">
      <c r="U994" s="57"/>
    </row>
    <row r="995" spans="21:21">
      <c r="U995" s="57"/>
    </row>
    <row r="996" spans="21:21">
      <c r="U996" s="57"/>
    </row>
    <row r="997" spans="21:21">
      <c r="U997" s="57"/>
    </row>
    <row r="998" spans="21:21">
      <c r="U998" s="57"/>
    </row>
    <row r="999" spans="21:21">
      <c r="U999" s="57"/>
    </row>
    <row r="1000" spans="21:21">
      <c r="U1000" s="57"/>
    </row>
    <row r="1001" spans="21:21">
      <c r="U1001" s="57"/>
    </row>
    <row r="1002" spans="21:21">
      <c r="U1002" s="57"/>
    </row>
    <row r="1003" spans="21:21">
      <c r="U1003" s="57"/>
    </row>
    <row r="1004" spans="21:21">
      <c r="U1004" s="57"/>
    </row>
    <row r="1005" spans="21:21">
      <c r="U1005" s="57"/>
    </row>
    <row r="1006" spans="21:21">
      <c r="U1006" s="57"/>
    </row>
    <row r="1007" spans="21:21">
      <c r="U1007" s="57"/>
    </row>
    <row r="1008" spans="21:21">
      <c r="U1008" s="57"/>
    </row>
    <row r="1009" spans="21:21">
      <c r="U1009" s="57"/>
    </row>
    <row r="1010" spans="21:21">
      <c r="U1010" s="57"/>
    </row>
    <row r="1011" spans="21:21">
      <c r="U1011" s="57"/>
    </row>
    <row r="1012" spans="21:21">
      <c r="U1012" s="57"/>
    </row>
    <row r="1013" spans="21:21">
      <c r="U1013" s="57"/>
    </row>
    <row r="1014" spans="21:21">
      <c r="U1014" s="57"/>
    </row>
    <row r="1015" spans="21:21">
      <c r="U1015" s="57"/>
    </row>
    <row r="1016" spans="21:21">
      <c r="U1016" s="57"/>
    </row>
    <row r="1017" spans="21:21">
      <c r="U1017" s="57"/>
    </row>
    <row r="1018" spans="21:21">
      <c r="U1018" s="57"/>
    </row>
    <row r="1019" spans="21:21">
      <c r="U1019" s="57"/>
    </row>
    <row r="1020" spans="21:21">
      <c r="U1020" s="57"/>
    </row>
    <row r="1021" spans="21:21">
      <c r="U1021" s="57"/>
    </row>
    <row r="1022" spans="21:21">
      <c r="U1022" s="57"/>
    </row>
    <row r="1023" spans="21:21">
      <c r="U1023" s="57"/>
    </row>
    <row r="1024" spans="21:21">
      <c r="U1024" s="57"/>
    </row>
    <row r="1025" spans="21:21">
      <c r="U1025" s="57"/>
    </row>
    <row r="1026" spans="21:21">
      <c r="U1026" s="57"/>
    </row>
    <row r="1027" spans="21:21">
      <c r="U1027" s="57"/>
    </row>
    <row r="1028" spans="21:21">
      <c r="U1028" s="57"/>
    </row>
    <row r="1029" spans="21:21">
      <c r="U1029" s="57"/>
    </row>
    <row r="1030" spans="21:21">
      <c r="U1030" s="57"/>
    </row>
    <row r="1031" spans="21:21">
      <c r="U1031" s="57"/>
    </row>
    <row r="1032" spans="21:21">
      <c r="U1032" s="57"/>
    </row>
    <row r="1033" spans="21:21">
      <c r="U1033" s="57"/>
    </row>
    <row r="1034" spans="21:21">
      <c r="U1034" s="57"/>
    </row>
    <row r="1035" spans="21:21">
      <c r="U1035" s="57"/>
    </row>
    <row r="1036" spans="21:21">
      <c r="U1036" s="57"/>
    </row>
    <row r="1037" spans="21:21">
      <c r="U1037" s="57"/>
    </row>
    <row r="1038" spans="21:21">
      <c r="U1038" s="57"/>
    </row>
    <row r="1039" spans="21:21">
      <c r="U1039" s="57"/>
    </row>
    <row r="1040" spans="21:21">
      <c r="U1040" s="57"/>
    </row>
    <row r="1041" spans="21:21">
      <c r="U1041" s="57"/>
    </row>
    <row r="1042" spans="21:21">
      <c r="U1042" s="57"/>
    </row>
    <row r="1043" spans="21:21">
      <c r="U1043" s="57"/>
    </row>
    <row r="1044" spans="21:21">
      <c r="U1044" s="57"/>
    </row>
    <row r="1045" spans="21:21">
      <c r="U1045" s="57"/>
    </row>
    <row r="1046" spans="21:21">
      <c r="U1046" s="57"/>
    </row>
    <row r="1047" spans="21:21">
      <c r="U1047" s="57"/>
    </row>
    <row r="1048" spans="21:21">
      <c r="U1048" s="57"/>
    </row>
    <row r="1049" spans="21:21">
      <c r="U1049" s="57"/>
    </row>
    <row r="1050" spans="21:21">
      <c r="U1050" s="57"/>
    </row>
    <row r="1051" spans="21:21">
      <c r="U1051" s="57"/>
    </row>
    <row r="1052" spans="21:21">
      <c r="U1052" s="57"/>
    </row>
    <row r="1053" spans="21:21">
      <c r="U1053" s="57"/>
    </row>
    <row r="1054" spans="21:21">
      <c r="U1054" s="57"/>
    </row>
    <row r="1055" spans="21:21">
      <c r="U1055" s="57"/>
    </row>
    <row r="1056" spans="21:21">
      <c r="U1056" s="57"/>
    </row>
    <row r="1057" spans="21:21">
      <c r="U1057" s="57"/>
    </row>
    <row r="1058" spans="21:21">
      <c r="U1058" s="57"/>
    </row>
    <row r="1059" spans="21:21">
      <c r="U1059" s="57"/>
    </row>
    <row r="1060" spans="21:21">
      <c r="U1060" s="57"/>
    </row>
    <row r="1061" spans="21:21">
      <c r="U1061" s="57"/>
    </row>
    <row r="1062" spans="21:21">
      <c r="U1062" s="57"/>
    </row>
    <row r="1063" spans="21:21">
      <c r="U1063" s="57"/>
    </row>
    <row r="1064" spans="21:21">
      <c r="U1064" s="57"/>
    </row>
    <row r="1065" spans="21:21">
      <c r="U1065" s="57"/>
    </row>
    <row r="1066" spans="21:21">
      <c r="U1066" s="57"/>
    </row>
    <row r="1067" spans="21:21">
      <c r="U1067" s="57"/>
    </row>
    <row r="1068" spans="21:21">
      <c r="U1068" s="57"/>
    </row>
    <row r="1069" spans="21:21">
      <c r="U1069" s="57"/>
    </row>
    <row r="1070" spans="21:21">
      <c r="U1070" s="57"/>
    </row>
    <row r="1071" spans="21:21">
      <c r="U1071" s="57"/>
    </row>
    <row r="1072" spans="21:21">
      <c r="U1072" s="57"/>
    </row>
    <row r="1073" spans="21:21">
      <c r="U1073" s="57"/>
    </row>
    <row r="1074" spans="21:21">
      <c r="U1074" s="57"/>
    </row>
    <row r="1075" spans="21:21">
      <c r="U1075" s="57"/>
    </row>
    <row r="1076" spans="21:21">
      <c r="U1076" s="57"/>
    </row>
    <row r="1077" spans="21:21">
      <c r="U1077" s="57"/>
    </row>
    <row r="1078" spans="21:21">
      <c r="U1078" s="57"/>
    </row>
    <row r="1079" spans="21:21">
      <c r="U1079" s="57"/>
    </row>
    <row r="1080" spans="21:21">
      <c r="U1080" s="57"/>
    </row>
    <row r="1081" spans="21:21">
      <c r="U1081" s="57"/>
    </row>
    <row r="1082" spans="21:21">
      <c r="U1082" s="57"/>
    </row>
    <row r="1083" spans="21:21">
      <c r="U1083" s="57"/>
    </row>
    <row r="1084" spans="21:21">
      <c r="U1084" s="57"/>
    </row>
    <row r="1085" spans="21:21">
      <c r="U1085" s="57"/>
    </row>
    <row r="1086" spans="21:21">
      <c r="U1086" s="57"/>
    </row>
    <row r="1087" spans="21:21">
      <c r="U1087" s="57"/>
    </row>
    <row r="1088" spans="21:21">
      <c r="U1088" s="57"/>
    </row>
    <row r="1089" spans="21:21">
      <c r="U1089" s="57"/>
    </row>
    <row r="1090" spans="21:21">
      <c r="U1090" s="57"/>
    </row>
    <row r="1091" spans="21:21">
      <c r="U1091" s="57"/>
    </row>
    <row r="1092" spans="21:21">
      <c r="U1092" s="57"/>
    </row>
    <row r="1093" spans="21:21">
      <c r="U1093" s="57"/>
    </row>
    <row r="1094" spans="21:21">
      <c r="U1094" s="57"/>
    </row>
    <row r="1095" spans="21:21">
      <c r="U1095" s="57"/>
    </row>
    <row r="1096" spans="21:21">
      <c r="U1096" s="57"/>
    </row>
    <row r="1097" spans="21:21">
      <c r="U1097" s="57"/>
    </row>
    <row r="1098" spans="21:21">
      <c r="U1098" s="57"/>
    </row>
    <row r="1099" spans="21:21">
      <c r="U1099" s="57"/>
    </row>
    <row r="1100" spans="21:21">
      <c r="U1100" s="57"/>
    </row>
    <row r="1101" spans="21:21">
      <c r="U1101" s="57"/>
    </row>
    <row r="1102" spans="21:21">
      <c r="U1102" s="57"/>
    </row>
    <row r="1103" spans="21:21">
      <c r="U1103" s="57"/>
    </row>
    <row r="1104" spans="21:21">
      <c r="U1104" s="57"/>
    </row>
    <row r="1105" spans="21:21">
      <c r="U1105" s="57"/>
    </row>
    <row r="1106" spans="21:21">
      <c r="U1106" s="57"/>
    </row>
    <row r="1107" spans="21:21">
      <c r="U1107" s="57"/>
    </row>
    <row r="1108" spans="21:21">
      <c r="U1108" s="57"/>
    </row>
    <row r="1109" spans="21:21">
      <c r="U1109" s="57"/>
    </row>
    <row r="1110" spans="21:21">
      <c r="U1110" s="57"/>
    </row>
    <row r="1111" spans="21:21">
      <c r="U1111" s="57"/>
    </row>
    <row r="1112" spans="21:21">
      <c r="U1112" s="57"/>
    </row>
    <row r="1113" spans="21:21">
      <c r="U1113" s="57"/>
    </row>
    <row r="1114" spans="21:21">
      <c r="U1114" s="57"/>
    </row>
    <row r="1115" spans="21:21">
      <c r="U1115" s="57"/>
    </row>
    <row r="1116" spans="21:21">
      <c r="U1116" s="57"/>
    </row>
    <row r="1117" spans="21:21">
      <c r="U1117" s="57"/>
    </row>
    <row r="1118" spans="21:21">
      <c r="U1118" s="57"/>
    </row>
    <row r="1119" spans="21:21">
      <c r="U1119" s="57"/>
    </row>
    <row r="1120" spans="21:21">
      <c r="U1120" s="57"/>
    </row>
    <row r="1121" spans="21:21">
      <c r="U1121" s="57"/>
    </row>
    <row r="1122" spans="21:21">
      <c r="U1122" s="57"/>
    </row>
    <row r="1123" spans="21:21">
      <c r="U1123" s="57"/>
    </row>
    <row r="1124" spans="21:21">
      <c r="U1124" s="57"/>
    </row>
    <row r="1125" spans="21:21">
      <c r="U1125" s="57"/>
    </row>
    <row r="1126" spans="21:21">
      <c r="U1126" s="57"/>
    </row>
    <row r="1127" spans="21:21">
      <c r="U1127" s="57"/>
    </row>
    <row r="1128" spans="21:21">
      <c r="U1128" s="57"/>
    </row>
    <row r="1129" spans="21:21">
      <c r="U1129" s="57"/>
    </row>
    <row r="1130" spans="21:21">
      <c r="U1130" s="57"/>
    </row>
    <row r="1131" spans="21:21">
      <c r="U1131" s="57"/>
    </row>
    <row r="1132" spans="21:21">
      <c r="U1132" s="57"/>
    </row>
    <row r="1133" spans="21:21">
      <c r="U1133" s="57"/>
    </row>
    <row r="1134" spans="21:21">
      <c r="U1134" s="57"/>
    </row>
    <row r="1135" spans="21:21">
      <c r="U1135" s="57"/>
    </row>
    <row r="1136" spans="21:21">
      <c r="U1136" s="57"/>
    </row>
    <row r="1137" spans="21:21">
      <c r="U1137" s="57"/>
    </row>
    <row r="1138" spans="21:21">
      <c r="U1138" s="57"/>
    </row>
    <row r="1139" spans="21:21">
      <c r="U1139" s="57"/>
    </row>
    <row r="1140" spans="21:21">
      <c r="U1140" s="57"/>
    </row>
    <row r="1141" spans="21:21">
      <c r="U1141" s="57"/>
    </row>
    <row r="1142" spans="21:21">
      <c r="U1142" s="57"/>
    </row>
    <row r="1143" spans="21:21">
      <c r="U1143" s="57"/>
    </row>
    <row r="1144" spans="21:21">
      <c r="U1144" s="57"/>
    </row>
    <row r="1145" spans="21:21">
      <c r="U1145" s="57"/>
    </row>
    <row r="1146" spans="21:21">
      <c r="U1146" s="57"/>
    </row>
    <row r="1147" spans="21:21">
      <c r="U1147" s="57"/>
    </row>
    <row r="1148" spans="21:21">
      <c r="U1148" s="57"/>
    </row>
    <row r="1149" spans="21:21">
      <c r="U1149" s="57"/>
    </row>
    <row r="1150" spans="21:21">
      <c r="U1150" s="57"/>
    </row>
    <row r="1151" spans="21:21">
      <c r="U1151" s="57"/>
    </row>
    <row r="1152" spans="21:21">
      <c r="U1152" s="57"/>
    </row>
    <row r="1153" spans="21:21">
      <c r="U1153" s="57"/>
    </row>
    <row r="1154" spans="21:21">
      <c r="U1154" s="57"/>
    </row>
    <row r="1155" spans="21:21">
      <c r="U1155" s="57"/>
    </row>
    <row r="1156" spans="21:21">
      <c r="U1156" s="57"/>
    </row>
    <row r="1157" spans="21:21">
      <c r="U1157" s="57"/>
    </row>
    <row r="1158" spans="21:21">
      <c r="U1158" s="57"/>
    </row>
    <row r="1159" spans="21:21">
      <c r="U1159" s="57"/>
    </row>
    <row r="1160" spans="21:21">
      <c r="U1160" s="57"/>
    </row>
    <row r="1161" spans="21:21">
      <c r="U1161" s="57"/>
    </row>
    <row r="1162" spans="21:21">
      <c r="U1162" s="57"/>
    </row>
    <row r="1163" spans="21:21">
      <c r="U1163" s="57"/>
    </row>
    <row r="1164" spans="21:21">
      <c r="U1164" s="57"/>
    </row>
    <row r="1165" spans="21:21">
      <c r="U1165" s="57"/>
    </row>
    <row r="1166" spans="21:21">
      <c r="U1166" s="57"/>
    </row>
    <row r="1167" spans="21:21">
      <c r="U1167" s="57"/>
    </row>
    <row r="1168" spans="21:21">
      <c r="U1168" s="57"/>
    </row>
    <row r="1169" spans="21:21">
      <c r="U1169" s="57"/>
    </row>
    <row r="1170" spans="21:21">
      <c r="U1170" s="57"/>
    </row>
    <row r="1171" spans="21:21">
      <c r="U1171" s="57"/>
    </row>
    <row r="1172" spans="21:21">
      <c r="U1172" s="57"/>
    </row>
    <row r="1173" spans="21:21">
      <c r="U1173" s="57"/>
    </row>
    <row r="1174" spans="21:21">
      <c r="U1174" s="57"/>
    </row>
    <row r="1175" spans="21:21">
      <c r="U1175" s="57"/>
    </row>
    <row r="1176" spans="21:21">
      <c r="U1176" s="57"/>
    </row>
    <row r="1177" spans="21:21">
      <c r="U1177" s="57"/>
    </row>
    <row r="1178" spans="21:21">
      <c r="U1178" s="57"/>
    </row>
    <row r="1179" spans="21:21">
      <c r="U1179" s="57"/>
    </row>
    <row r="1180" spans="21:21">
      <c r="U1180" s="57"/>
    </row>
    <row r="1181" spans="21:21">
      <c r="U1181" s="57"/>
    </row>
    <row r="1182" spans="21:21">
      <c r="U1182" s="57"/>
    </row>
    <row r="1183" spans="21:21">
      <c r="U1183" s="57"/>
    </row>
    <row r="1184" spans="21:21">
      <c r="U1184" s="57"/>
    </row>
    <row r="1185" spans="21:21">
      <c r="U1185" s="57"/>
    </row>
    <row r="1186" spans="21:21">
      <c r="U1186" s="57"/>
    </row>
    <row r="1187" spans="21:21">
      <c r="U1187" s="57"/>
    </row>
    <row r="1188" spans="21:21">
      <c r="U1188" s="57"/>
    </row>
    <row r="1189" spans="21:21">
      <c r="U1189" s="57"/>
    </row>
    <row r="1190" spans="21:21">
      <c r="U1190" s="57"/>
    </row>
    <row r="1191" spans="21:21">
      <c r="U1191" s="57"/>
    </row>
    <row r="1192" spans="21:21">
      <c r="U1192" s="57"/>
    </row>
    <row r="1193" spans="21:21">
      <c r="U1193" s="57"/>
    </row>
    <row r="1194" spans="21:21">
      <c r="U1194" s="57"/>
    </row>
    <row r="1195" spans="21:21">
      <c r="U1195" s="57"/>
    </row>
    <row r="1196" spans="21:21">
      <c r="U1196" s="57"/>
    </row>
    <row r="1197" spans="21:21">
      <c r="U1197" s="57"/>
    </row>
    <row r="1198" spans="21:21">
      <c r="U1198" s="57"/>
    </row>
    <row r="1199" spans="21:21">
      <c r="U1199" s="57"/>
    </row>
    <row r="1200" spans="21:21">
      <c r="U1200" s="57"/>
    </row>
    <row r="1201" spans="21:21">
      <c r="U1201" s="57"/>
    </row>
    <row r="1202" spans="21:21">
      <c r="U1202" s="57"/>
    </row>
    <row r="1203" spans="21:21">
      <c r="U1203" s="57"/>
    </row>
    <row r="1204" spans="21:21">
      <c r="U1204" s="57"/>
    </row>
    <row r="1205" spans="21:21">
      <c r="U1205" s="57"/>
    </row>
    <row r="1206" spans="21:21">
      <c r="U1206" s="57"/>
    </row>
    <row r="1207" spans="21:21">
      <c r="U1207" s="57"/>
    </row>
    <row r="1208" spans="21:21">
      <c r="U1208" s="57"/>
    </row>
    <row r="1209" spans="21:21">
      <c r="U1209" s="57"/>
    </row>
    <row r="1210" spans="21:21">
      <c r="U1210" s="57"/>
    </row>
    <row r="1211" spans="21:21">
      <c r="U1211" s="57"/>
    </row>
    <row r="1212" spans="21:21">
      <c r="U1212" s="57"/>
    </row>
    <row r="1213" spans="21:21">
      <c r="U1213" s="57"/>
    </row>
    <row r="1214" spans="21:21">
      <c r="U1214" s="57"/>
    </row>
    <row r="1215" spans="21:21">
      <c r="U1215" s="57"/>
    </row>
    <row r="1216" spans="21:21">
      <c r="U1216" s="57"/>
    </row>
    <row r="1217" spans="21:21">
      <c r="U1217" s="57"/>
    </row>
    <row r="1218" spans="21:21">
      <c r="U1218" s="57"/>
    </row>
    <row r="1219" spans="21:21">
      <c r="U1219" s="57"/>
    </row>
    <row r="1220" spans="21:21">
      <c r="U1220" s="57"/>
    </row>
    <row r="1221" spans="21:21">
      <c r="U1221" s="57"/>
    </row>
    <row r="1222" spans="21:21">
      <c r="U1222" s="57"/>
    </row>
    <row r="1223" spans="21:21">
      <c r="U1223" s="57"/>
    </row>
    <row r="1224" spans="21:21">
      <c r="U1224" s="57"/>
    </row>
    <row r="1225" spans="21:21">
      <c r="U1225" s="57"/>
    </row>
    <row r="1226" spans="21:21">
      <c r="U1226" s="57"/>
    </row>
    <row r="1227" spans="21:21">
      <c r="U1227" s="57"/>
    </row>
    <row r="1228" spans="21:21">
      <c r="U1228" s="57"/>
    </row>
    <row r="1229" spans="21:21">
      <c r="U1229" s="57"/>
    </row>
    <row r="1230" spans="21:21">
      <c r="U1230" s="57"/>
    </row>
    <row r="1231" spans="21:21">
      <c r="U1231" s="57"/>
    </row>
    <row r="1232" spans="21:21">
      <c r="U1232" s="57"/>
    </row>
    <row r="1233" spans="21:21">
      <c r="U1233" s="57"/>
    </row>
    <row r="1234" spans="21:21">
      <c r="U1234" s="57"/>
    </row>
    <row r="1235" spans="21:21">
      <c r="U1235" s="57"/>
    </row>
    <row r="1236" spans="21:21">
      <c r="U1236" s="57"/>
    </row>
    <row r="1237" spans="21:21">
      <c r="U1237" s="57"/>
    </row>
    <row r="1238" spans="21:21">
      <c r="U1238" s="57"/>
    </row>
    <row r="1239" spans="21:21">
      <c r="U1239" s="57"/>
    </row>
    <row r="1240" spans="21:21">
      <c r="U1240" s="57"/>
    </row>
    <row r="1241" spans="21:21">
      <c r="U1241" s="57"/>
    </row>
    <row r="1242" spans="21:21">
      <c r="U1242" s="57"/>
    </row>
    <row r="1243" spans="21:21">
      <c r="U1243" s="57"/>
    </row>
    <row r="1244" spans="21:21">
      <c r="U1244" s="57"/>
    </row>
    <row r="1245" spans="21:21">
      <c r="U1245" s="57"/>
    </row>
    <row r="1246" spans="21:21">
      <c r="U1246" s="57"/>
    </row>
    <row r="1247" spans="21:21">
      <c r="U1247" s="57"/>
    </row>
    <row r="1248" spans="21:21">
      <c r="U1248" s="57"/>
    </row>
    <row r="1249" spans="21:21">
      <c r="U1249" s="57"/>
    </row>
    <row r="1250" spans="21:21">
      <c r="U1250" s="57"/>
    </row>
    <row r="1251" spans="21:21">
      <c r="U1251" s="57"/>
    </row>
    <row r="1252" spans="21:21">
      <c r="U1252" s="57"/>
    </row>
    <row r="1253" spans="21:21">
      <c r="U1253" s="57"/>
    </row>
    <row r="1254" spans="21:21">
      <c r="U1254" s="57"/>
    </row>
    <row r="1255" spans="21:21">
      <c r="U1255" s="57"/>
    </row>
    <row r="1256" spans="21:21">
      <c r="U1256" s="57"/>
    </row>
    <row r="1257" spans="21:21">
      <c r="U1257" s="57"/>
    </row>
    <row r="1258" spans="21:21">
      <c r="U1258" s="57"/>
    </row>
    <row r="1259" spans="21:21">
      <c r="U1259" s="57"/>
    </row>
    <row r="1260" spans="21:21">
      <c r="U1260" s="57"/>
    </row>
    <row r="1261" spans="21:21">
      <c r="U1261" s="57"/>
    </row>
    <row r="1262" spans="21:21">
      <c r="U1262" s="57"/>
    </row>
    <row r="1263" spans="21:21">
      <c r="U1263" s="57"/>
    </row>
    <row r="1264" spans="21:21">
      <c r="U1264" s="57"/>
    </row>
    <row r="1265" spans="21:21">
      <c r="U1265" s="57"/>
    </row>
    <row r="1266" spans="21:21">
      <c r="U1266" s="57"/>
    </row>
    <row r="1267" spans="21:21">
      <c r="U1267" s="57"/>
    </row>
    <row r="1268" spans="21:21">
      <c r="U1268" s="57"/>
    </row>
    <row r="1269" spans="21:21">
      <c r="U1269" s="57"/>
    </row>
    <row r="1270" spans="21:21">
      <c r="U1270" s="57"/>
    </row>
    <row r="1271" spans="21:21">
      <c r="U1271" s="57"/>
    </row>
    <row r="1272" spans="21:21">
      <c r="U1272" s="57"/>
    </row>
    <row r="1273" spans="21:21">
      <c r="U1273" s="57"/>
    </row>
    <row r="1274" spans="21:21">
      <c r="U1274" s="57"/>
    </row>
    <row r="1275" spans="21:21">
      <c r="U1275" s="57"/>
    </row>
    <row r="1276" spans="21:21">
      <c r="U1276" s="57"/>
    </row>
    <row r="1277" spans="21:21">
      <c r="U1277" s="57"/>
    </row>
    <row r="1278" spans="21:21">
      <c r="U1278" s="57"/>
    </row>
    <row r="1279" spans="21:21">
      <c r="U1279" s="57"/>
    </row>
    <row r="1280" spans="21:21">
      <c r="U1280" s="57"/>
    </row>
    <row r="1281" spans="21:21">
      <c r="U1281" s="57"/>
    </row>
    <row r="1282" spans="21:21">
      <c r="U1282" s="57"/>
    </row>
    <row r="1283" spans="21:21">
      <c r="U1283" s="57"/>
    </row>
    <row r="1284" spans="21:21">
      <c r="U1284" s="57"/>
    </row>
    <row r="1285" spans="21:21">
      <c r="U1285" s="57"/>
    </row>
    <row r="1286" spans="21:21">
      <c r="U1286" s="57"/>
    </row>
    <row r="1287" spans="21:21">
      <c r="U1287" s="57"/>
    </row>
    <row r="1288" spans="21:21">
      <c r="U1288" s="57"/>
    </row>
    <row r="1289" spans="21:21">
      <c r="U1289" s="57"/>
    </row>
    <row r="1290" spans="21:21">
      <c r="U1290" s="57"/>
    </row>
    <row r="1291" spans="21:21">
      <c r="U1291" s="57"/>
    </row>
    <row r="1292" spans="21:21">
      <c r="U1292" s="57"/>
    </row>
    <row r="1293" spans="21:21">
      <c r="U1293" s="57"/>
    </row>
    <row r="1294" spans="21:21">
      <c r="U1294" s="57"/>
    </row>
    <row r="1295" spans="21:21">
      <c r="U1295" s="57"/>
    </row>
    <row r="1296" spans="21:21">
      <c r="U1296" s="57"/>
    </row>
    <row r="1297" spans="21:21">
      <c r="U1297" s="57"/>
    </row>
    <row r="1298" spans="21:21">
      <c r="U1298" s="57"/>
    </row>
    <row r="1299" spans="21:21">
      <c r="U1299" s="57"/>
    </row>
    <row r="1300" spans="21:21">
      <c r="U1300" s="57"/>
    </row>
    <row r="1301" spans="21:21">
      <c r="U1301" s="57"/>
    </row>
    <row r="1302" spans="21:21">
      <c r="U1302" s="57"/>
    </row>
    <row r="1303" spans="21:21">
      <c r="U1303" s="57"/>
    </row>
    <row r="1304" spans="21:21">
      <c r="U1304" s="57"/>
    </row>
    <row r="1305" spans="21:21">
      <c r="U1305" s="57"/>
    </row>
    <row r="1306" spans="21:21">
      <c r="U1306" s="57"/>
    </row>
    <row r="1307" spans="21:21">
      <c r="U1307" s="57"/>
    </row>
    <row r="1308" spans="21:21">
      <c r="U1308" s="57"/>
    </row>
    <row r="1309" spans="21:21">
      <c r="U1309" s="57"/>
    </row>
    <row r="1310" spans="21:21">
      <c r="U1310" s="57"/>
    </row>
    <row r="1311" spans="21:21">
      <c r="U1311" s="57"/>
    </row>
    <row r="1312" spans="21:21">
      <c r="U1312" s="57"/>
    </row>
    <row r="1313" spans="21:21">
      <c r="U1313" s="57"/>
    </row>
    <row r="1314" spans="21:21">
      <c r="U1314" s="57"/>
    </row>
    <row r="1315" spans="21:21">
      <c r="U1315" s="57"/>
    </row>
    <row r="1316" spans="21:21">
      <c r="U1316" s="57"/>
    </row>
    <row r="1317" spans="21:21">
      <c r="U1317" s="57"/>
    </row>
    <row r="1318" spans="21:21">
      <c r="U1318" s="57"/>
    </row>
    <row r="1319" spans="21:21">
      <c r="U1319" s="57"/>
    </row>
    <row r="1320" spans="21:21">
      <c r="U1320" s="57"/>
    </row>
    <row r="1321" spans="21:21">
      <c r="U1321" s="57"/>
    </row>
    <row r="1322" spans="21:21">
      <c r="U1322" s="57"/>
    </row>
    <row r="1323" spans="21:21">
      <c r="U1323" s="57"/>
    </row>
    <row r="1324" spans="21:21">
      <c r="U1324" s="57"/>
    </row>
    <row r="1325" spans="21:21">
      <c r="U1325" s="57"/>
    </row>
    <row r="1326" spans="21:21">
      <c r="U1326" s="57"/>
    </row>
    <row r="1327" spans="21:21">
      <c r="U1327" s="57"/>
    </row>
    <row r="1328" spans="21:21">
      <c r="U1328" s="57"/>
    </row>
    <row r="1329" spans="21:21">
      <c r="U1329" s="57"/>
    </row>
    <row r="1330" spans="21:21">
      <c r="U1330" s="57"/>
    </row>
    <row r="1331" spans="21:21">
      <c r="U1331" s="57"/>
    </row>
    <row r="1332" spans="21:21">
      <c r="U1332" s="57"/>
    </row>
    <row r="1333" spans="21:21">
      <c r="U1333" s="57"/>
    </row>
    <row r="1334" spans="21:21">
      <c r="U1334" s="57"/>
    </row>
    <row r="1335" spans="21:21">
      <c r="U1335" s="57"/>
    </row>
    <row r="1336" spans="21:21">
      <c r="U1336" s="57"/>
    </row>
    <row r="1337" spans="21:21">
      <c r="U1337" s="57"/>
    </row>
    <row r="1338" spans="21:21">
      <c r="U1338" s="57"/>
    </row>
    <row r="1339" spans="21:21">
      <c r="U1339" s="57"/>
    </row>
    <row r="1340" spans="21:21">
      <c r="U1340" s="57"/>
    </row>
    <row r="1341" spans="21:21">
      <c r="U1341" s="57"/>
    </row>
    <row r="1342" spans="21:21">
      <c r="U1342" s="57"/>
    </row>
    <row r="1343" spans="21:21">
      <c r="U1343" s="57"/>
    </row>
    <row r="1344" spans="21:21">
      <c r="U1344" s="57"/>
    </row>
    <row r="1345" spans="21:21">
      <c r="U1345" s="57"/>
    </row>
    <row r="1346" spans="21:21">
      <c r="U1346" s="57"/>
    </row>
    <row r="1347" spans="21:21">
      <c r="U1347" s="57"/>
    </row>
    <row r="1348" spans="21:21">
      <c r="U1348" s="57"/>
    </row>
    <row r="1349" spans="21:21">
      <c r="U1349" s="57"/>
    </row>
    <row r="1350" spans="21:21">
      <c r="U1350" s="57"/>
    </row>
    <row r="1351" spans="21:21">
      <c r="U1351" s="57"/>
    </row>
    <row r="1352" spans="21:21">
      <c r="U1352" s="57"/>
    </row>
    <row r="1353" spans="21:21">
      <c r="U1353" s="57"/>
    </row>
    <row r="1354" spans="21:21">
      <c r="U1354" s="57"/>
    </row>
    <row r="1355" spans="21:21">
      <c r="U1355" s="57"/>
    </row>
    <row r="1356" spans="21:21">
      <c r="U1356" s="57"/>
    </row>
    <row r="1357" spans="21:21">
      <c r="U1357" s="57"/>
    </row>
    <row r="1358" spans="21:21">
      <c r="U1358" s="57"/>
    </row>
    <row r="1359" spans="21:21">
      <c r="U1359" s="57"/>
    </row>
    <row r="1360" spans="21:21">
      <c r="U1360" s="57"/>
    </row>
    <row r="1361" spans="21:21">
      <c r="U1361" s="57"/>
    </row>
    <row r="1362" spans="21:21">
      <c r="U1362" s="57"/>
    </row>
    <row r="1363" spans="21:21">
      <c r="U1363" s="57"/>
    </row>
    <row r="1364" spans="21:21">
      <c r="U1364" s="57"/>
    </row>
    <row r="1365" spans="21:21">
      <c r="U1365" s="57"/>
    </row>
    <row r="1366" spans="21:21">
      <c r="U1366" s="57"/>
    </row>
    <row r="1367" spans="21:21">
      <c r="U1367" s="57"/>
    </row>
    <row r="1368" spans="21:21">
      <c r="U1368" s="57"/>
    </row>
    <row r="1369" spans="21:21">
      <c r="U1369" s="57"/>
    </row>
    <row r="1370" spans="21:21">
      <c r="U1370" s="57"/>
    </row>
    <row r="1371" spans="21:21">
      <c r="U1371" s="57"/>
    </row>
    <row r="1372" spans="21:21">
      <c r="U1372" s="57"/>
    </row>
    <row r="1373" spans="21:21">
      <c r="U1373" s="57"/>
    </row>
    <row r="1374" spans="21:21">
      <c r="U1374" s="57"/>
    </row>
    <row r="1375" spans="21:21">
      <c r="U1375" s="57"/>
    </row>
    <row r="1376" spans="21:21">
      <c r="U1376" s="57"/>
    </row>
    <row r="1377" spans="21:21">
      <c r="U1377" s="57"/>
    </row>
    <row r="1378" spans="21:21">
      <c r="U1378" s="57"/>
    </row>
    <row r="1379" spans="21:21">
      <c r="U1379" s="57"/>
    </row>
    <row r="1380" spans="21:21">
      <c r="U1380" s="57"/>
    </row>
    <row r="1381" spans="21:21">
      <c r="U1381" s="57"/>
    </row>
    <row r="1382" spans="21:21">
      <c r="U1382" s="57"/>
    </row>
    <row r="1383" spans="21:21">
      <c r="U1383" s="57"/>
    </row>
    <row r="1384" spans="21:21">
      <c r="U1384" s="57"/>
    </row>
    <row r="1385" spans="21:21">
      <c r="U1385" s="57"/>
    </row>
    <row r="1386" spans="21:21">
      <c r="U1386" s="57"/>
    </row>
    <row r="1387" spans="21:21">
      <c r="U1387" s="57"/>
    </row>
    <row r="1388" spans="21:21">
      <c r="U1388" s="57"/>
    </row>
    <row r="1389" spans="21:21">
      <c r="U1389" s="57"/>
    </row>
    <row r="1390" spans="21:21">
      <c r="U1390" s="57"/>
    </row>
    <row r="1391" spans="21:21">
      <c r="U1391" s="57"/>
    </row>
    <row r="1392" spans="21:21">
      <c r="U1392" s="57"/>
    </row>
    <row r="1393" spans="21:21">
      <c r="U1393" s="57"/>
    </row>
    <row r="1394" spans="21:21">
      <c r="U1394" s="57"/>
    </row>
    <row r="1395" spans="21:21">
      <c r="U1395" s="57"/>
    </row>
    <row r="1396" spans="21:21">
      <c r="U1396" s="57"/>
    </row>
    <row r="1397" spans="21:21">
      <c r="U1397" s="57"/>
    </row>
    <row r="1398" spans="21:21">
      <c r="U1398" s="57"/>
    </row>
    <row r="1399" spans="21:21">
      <c r="U1399" s="57"/>
    </row>
    <row r="1400" spans="21:21">
      <c r="U1400" s="57"/>
    </row>
    <row r="1401" spans="21:21">
      <c r="U1401" s="57"/>
    </row>
    <row r="1402" spans="21:21">
      <c r="U1402" s="57"/>
    </row>
    <row r="1403" spans="21:21">
      <c r="U1403" s="57"/>
    </row>
    <row r="1404" spans="21:21">
      <c r="U1404" s="57"/>
    </row>
    <row r="1405" spans="21:21">
      <c r="U1405" s="57"/>
    </row>
    <row r="1406" spans="21:21">
      <c r="U1406" s="57"/>
    </row>
    <row r="1407" spans="21:21">
      <c r="U1407" s="57"/>
    </row>
    <row r="1408" spans="21:21">
      <c r="U1408" s="57"/>
    </row>
    <row r="1409" spans="21:21">
      <c r="U1409" s="57"/>
    </row>
    <row r="1410" spans="21:21">
      <c r="U1410" s="57"/>
    </row>
    <row r="1411" spans="21:21">
      <c r="U1411" s="57"/>
    </row>
    <row r="1412" spans="21:21">
      <c r="U1412" s="57"/>
    </row>
    <row r="1413" spans="21:21">
      <c r="U1413" s="57"/>
    </row>
    <row r="1414" spans="21:21">
      <c r="U1414" s="57"/>
    </row>
    <row r="1415" spans="21:21">
      <c r="U1415" s="57"/>
    </row>
    <row r="1416" spans="21:21">
      <c r="U1416" s="57"/>
    </row>
    <row r="1417" spans="21:21">
      <c r="U1417" s="57"/>
    </row>
    <row r="1418" spans="21:21">
      <c r="U1418" s="57"/>
    </row>
    <row r="1419" spans="21:21">
      <c r="U1419" s="57"/>
    </row>
    <row r="1420" spans="21:21">
      <c r="U1420" s="57"/>
    </row>
    <row r="1421" spans="21:21">
      <c r="U1421" s="57"/>
    </row>
    <row r="1422" spans="21:21">
      <c r="U1422" s="57"/>
    </row>
    <row r="1423" spans="21:21">
      <c r="U1423" s="57"/>
    </row>
    <row r="1424" spans="21:21">
      <c r="U1424" s="57"/>
    </row>
    <row r="1425" spans="21:21">
      <c r="U1425" s="57"/>
    </row>
    <row r="1426" spans="21:21">
      <c r="U1426" s="57"/>
    </row>
    <row r="1427" spans="21:21">
      <c r="U1427" s="57"/>
    </row>
    <row r="1428" spans="21:21">
      <c r="U1428" s="57"/>
    </row>
    <row r="1429" spans="21:21">
      <c r="U1429" s="57"/>
    </row>
    <row r="1430" spans="21:21">
      <c r="U1430" s="57"/>
    </row>
    <row r="1431" spans="21:21">
      <c r="U1431" s="57"/>
    </row>
    <row r="1432" spans="21:21">
      <c r="U1432" s="57"/>
    </row>
    <row r="1433" spans="21:21">
      <c r="U1433" s="57"/>
    </row>
    <row r="1434" spans="21:21">
      <c r="U1434" s="57"/>
    </row>
    <row r="1435" spans="21:21">
      <c r="U1435" s="57"/>
    </row>
    <row r="1436" spans="21:21">
      <c r="U1436" s="57"/>
    </row>
    <row r="1437" spans="21:21">
      <c r="U1437" s="57"/>
    </row>
    <row r="1438" spans="21:21">
      <c r="U1438" s="57"/>
    </row>
    <row r="1439" spans="21:21">
      <c r="U1439" s="57"/>
    </row>
    <row r="1440" spans="21:21">
      <c r="U1440" s="57"/>
    </row>
    <row r="1441" spans="21:21">
      <c r="U1441" s="57"/>
    </row>
    <row r="1442" spans="21:21">
      <c r="U1442" s="57"/>
    </row>
    <row r="1443" spans="21:21">
      <c r="U1443" s="57"/>
    </row>
    <row r="1444" spans="21:21">
      <c r="U1444" s="57"/>
    </row>
    <row r="1445" spans="21:21">
      <c r="U1445" s="57"/>
    </row>
    <row r="1446" spans="21:21">
      <c r="U1446" s="57"/>
    </row>
    <row r="1447" spans="21:21">
      <c r="U1447" s="57"/>
    </row>
    <row r="1448" spans="21:21">
      <c r="U1448" s="57"/>
    </row>
    <row r="1449" spans="21:21">
      <c r="U1449" s="57"/>
    </row>
    <row r="1450" spans="21:21">
      <c r="U1450" s="57"/>
    </row>
    <row r="1451" spans="21:21">
      <c r="U1451" s="57"/>
    </row>
    <row r="1452" spans="21:21">
      <c r="U1452" s="57"/>
    </row>
    <row r="1453" spans="21:21">
      <c r="U1453" s="57"/>
    </row>
    <row r="1454" spans="21:21">
      <c r="U1454" s="57"/>
    </row>
    <row r="1455" spans="21:21">
      <c r="U1455" s="57"/>
    </row>
    <row r="1456" spans="21:21">
      <c r="U1456" s="57"/>
    </row>
    <row r="1457" spans="21:21">
      <c r="U1457" s="57"/>
    </row>
    <row r="1458" spans="21:21">
      <c r="U1458" s="57"/>
    </row>
    <row r="1459" spans="21:21">
      <c r="U1459" s="57"/>
    </row>
    <row r="1460" spans="21:21">
      <c r="U1460" s="57"/>
    </row>
    <row r="1461" spans="21:21">
      <c r="U1461" s="57"/>
    </row>
    <row r="1462" spans="21:21">
      <c r="U1462" s="57"/>
    </row>
    <row r="1463" spans="21:21">
      <c r="U1463" s="57"/>
    </row>
    <row r="1464" spans="21:21">
      <c r="U1464" s="57"/>
    </row>
    <row r="1465" spans="21:21">
      <c r="U1465" s="57"/>
    </row>
    <row r="1466" spans="21:21">
      <c r="U1466" s="57"/>
    </row>
    <row r="1467" spans="21:21">
      <c r="U1467" s="57"/>
    </row>
    <row r="1468" spans="21:21">
      <c r="U1468" s="57"/>
    </row>
    <row r="1469" spans="21:21">
      <c r="U1469" s="57"/>
    </row>
    <row r="1470" spans="21:21">
      <c r="U1470" s="57"/>
    </row>
    <row r="1471" spans="21:21">
      <c r="U1471" s="57"/>
    </row>
    <row r="1472" spans="21:21">
      <c r="U1472" s="57"/>
    </row>
    <row r="1473" spans="21:21">
      <c r="U1473" s="57"/>
    </row>
    <row r="1474" spans="21:21">
      <c r="U1474" s="57"/>
    </row>
    <row r="1475" spans="21:21">
      <c r="U1475" s="57"/>
    </row>
    <row r="1476" spans="21:21">
      <c r="U1476" s="57"/>
    </row>
    <row r="1477" spans="21:21">
      <c r="U1477" s="57"/>
    </row>
    <row r="1478" spans="21:21">
      <c r="U1478" s="57"/>
    </row>
    <row r="1479" spans="21:21">
      <c r="U1479" s="57"/>
    </row>
    <row r="1480" spans="21:21">
      <c r="U1480" s="57"/>
    </row>
    <row r="1481" spans="21:21">
      <c r="U1481" s="57"/>
    </row>
    <row r="1482" spans="21:21">
      <c r="U1482" s="57"/>
    </row>
    <row r="1483" spans="21:21">
      <c r="U1483" s="57"/>
    </row>
    <row r="1484" spans="21:21">
      <c r="U1484" s="57"/>
    </row>
    <row r="1485" spans="21:21">
      <c r="U1485" s="57"/>
    </row>
    <row r="1486" spans="21:21">
      <c r="U1486" s="57"/>
    </row>
    <row r="1487" spans="21:21">
      <c r="U1487" s="57"/>
    </row>
    <row r="1488" spans="21:21">
      <c r="U1488" s="57"/>
    </row>
    <row r="1489" spans="21:21">
      <c r="U1489" s="57"/>
    </row>
    <row r="1490" spans="21:21">
      <c r="U1490" s="57"/>
    </row>
    <row r="1491" spans="21:21">
      <c r="U1491" s="57"/>
    </row>
    <row r="1492" spans="21:21">
      <c r="U1492" s="57"/>
    </row>
    <row r="1493" spans="21:21">
      <c r="U1493" s="57"/>
    </row>
    <row r="1494" spans="21:21">
      <c r="U1494" s="57"/>
    </row>
    <row r="1495" spans="21:21">
      <c r="U1495" s="57"/>
    </row>
    <row r="1496" spans="21:21">
      <c r="U1496" s="57"/>
    </row>
    <row r="1497" spans="21:21">
      <c r="U1497" s="57"/>
    </row>
    <row r="1498" spans="21:21">
      <c r="U1498" s="57"/>
    </row>
    <row r="1499" spans="21:21">
      <c r="U1499" s="57"/>
    </row>
    <row r="1500" spans="21:21">
      <c r="U1500" s="57"/>
    </row>
    <row r="1501" spans="21:21">
      <c r="U1501" s="57"/>
    </row>
    <row r="1502" spans="21:21">
      <c r="U1502" s="57"/>
    </row>
    <row r="1503" spans="21:21">
      <c r="U1503" s="57"/>
    </row>
    <row r="1504" spans="21:21">
      <c r="U1504" s="57"/>
    </row>
    <row r="1505" spans="21:21">
      <c r="U1505" s="57"/>
    </row>
    <row r="1506" spans="21:21">
      <c r="U1506" s="57"/>
    </row>
    <row r="1507" spans="21:21">
      <c r="U1507" s="57"/>
    </row>
    <row r="1508" spans="21:21">
      <c r="U1508" s="57"/>
    </row>
    <row r="1509" spans="21:21">
      <c r="U1509" s="57"/>
    </row>
    <row r="1510" spans="21:21">
      <c r="U1510" s="57"/>
    </row>
    <row r="1511" spans="21:21">
      <c r="U1511" s="57"/>
    </row>
    <row r="1512" spans="21:21">
      <c r="U1512" s="57"/>
    </row>
    <row r="1513" spans="21:21">
      <c r="U1513" s="57"/>
    </row>
    <row r="1514" spans="21:21">
      <c r="U1514" s="57"/>
    </row>
    <row r="1515" spans="21:21">
      <c r="U1515" s="57"/>
    </row>
    <row r="1516" spans="21:21">
      <c r="U1516" s="57"/>
    </row>
    <row r="1517" spans="21:21">
      <c r="U1517" s="57"/>
    </row>
    <row r="1518" spans="21:21">
      <c r="U1518" s="57"/>
    </row>
    <row r="1519" spans="21:21">
      <c r="U1519" s="57"/>
    </row>
    <row r="1520" spans="21:21">
      <c r="U1520" s="57"/>
    </row>
    <row r="1521" spans="21:21">
      <c r="U1521" s="57"/>
    </row>
    <row r="1522" spans="21:21">
      <c r="U1522" s="57"/>
    </row>
    <row r="1523" spans="21:21">
      <c r="U1523" s="57"/>
    </row>
    <row r="1524" spans="21:21">
      <c r="U1524" s="57"/>
    </row>
    <row r="1525" spans="21:21">
      <c r="U1525" s="57"/>
    </row>
    <row r="1526" spans="21:21">
      <c r="U1526" s="57"/>
    </row>
    <row r="1527" spans="21:21">
      <c r="U1527" s="57"/>
    </row>
    <row r="1528" spans="21:21">
      <c r="U1528" s="57"/>
    </row>
    <row r="1529" spans="21:21">
      <c r="U1529" s="57"/>
    </row>
    <row r="1530" spans="21:21">
      <c r="U1530" s="57"/>
    </row>
    <row r="1531" spans="21:21">
      <c r="U1531" s="57"/>
    </row>
    <row r="1532" spans="21:21">
      <c r="U1532" s="57"/>
    </row>
    <row r="1533" spans="21:21">
      <c r="U1533" s="57"/>
    </row>
    <row r="1534" spans="21:21">
      <c r="U1534" s="57"/>
    </row>
    <row r="1535" spans="21:21">
      <c r="U1535" s="57"/>
    </row>
    <row r="1536" spans="21:21">
      <c r="U1536" s="57"/>
    </row>
    <row r="1537" spans="21:21">
      <c r="U1537" s="57"/>
    </row>
    <row r="1538" spans="21:21">
      <c r="U1538" s="57"/>
    </row>
    <row r="1539" spans="21:21">
      <c r="U1539" s="57"/>
    </row>
    <row r="1540" spans="21:21">
      <c r="U1540" s="57"/>
    </row>
    <row r="1541" spans="21:21">
      <c r="U1541" s="57"/>
    </row>
    <row r="1542" spans="21:21">
      <c r="U1542" s="57"/>
    </row>
    <row r="1543" spans="21:21">
      <c r="U1543" s="57"/>
    </row>
    <row r="1544" spans="21:21">
      <c r="U1544" s="57"/>
    </row>
    <row r="1545" spans="21:21">
      <c r="U1545" s="57"/>
    </row>
    <row r="1546" spans="21:21">
      <c r="U1546" s="57"/>
    </row>
    <row r="1547" spans="21:21">
      <c r="U1547" s="57"/>
    </row>
    <row r="1548" spans="21:21">
      <c r="U1548" s="57"/>
    </row>
    <row r="1549" spans="21:21">
      <c r="U1549" s="57"/>
    </row>
    <row r="1550" spans="21:21">
      <c r="U1550" s="57"/>
    </row>
    <row r="1551" spans="21:21">
      <c r="U1551" s="57"/>
    </row>
    <row r="1552" spans="21:21">
      <c r="U1552" s="57"/>
    </row>
    <row r="1553" spans="21:21">
      <c r="U1553" s="57"/>
    </row>
    <row r="1554" spans="21:21">
      <c r="U1554" s="57"/>
    </row>
    <row r="1555" spans="21:21">
      <c r="U1555" s="57"/>
    </row>
    <row r="1556" spans="21:21">
      <c r="U1556" s="57"/>
    </row>
    <row r="1557" spans="21:21">
      <c r="U1557" s="57"/>
    </row>
    <row r="1558" spans="21:21">
      <c r="U1558" s="57"/>
    </row>
    <row r="1559" spans="21:21">
      <c r="U1559" s="57"/>
    </row>
    <row r="1560" spans="21:21">
      <c r="U1560" s="57"/>
    </row>
    <row r="1561" spans="21:21">
      <c r="U1561" s="57"/>
    </row>
    <row r="1562" spans="21:21">
      <c r="U1562" s="57"/>
    </row>
    <row r="1563" spans="21:21">
      <c r="U1563" s="57"/>
    </row>
    <row r="1564" spans="21:21">
      <c r="U1564" s="57"/>
    </row>
    <row r="1565" spans="21:21">
      <c r="U1565" s="57"/>
    </row>
    <row r="1566" spans="21:21">
      <c r="U1566" s="57"/>
    </row>
    <row r="1567" spans="21:21">
      <c r="U1567" s="57"/>
    </row>
    <row r="1568" spans="21:21">
      <c r="U1568" s="57"/>
    </row>
    <row r="1569" spans="21:21">
      <c r="U1569" s="57"/>
    </row>
    <row r="1570" spans="21:21">
      <c r="U1570" s="57"/>
    </row>
    <row r="1571" spans="21:21">
      <c r="U1571" s="57"/>
    </row>
    <row r="1572" spans="21:21">
      <c r="U1572" s="57"/>
    </row>
    <row r="1573" spans="21:21">
      <c r="U1573" s="57"/>
    </row>
    <row r="1574" spans="21:21">
      <c r="U1574" s="57"/>
    </row>
    <row r="1575" spans="21:21">
      <c r="U1575" s="57"/>
    </row>
    <row r="1576" spans="21:21">
      <c r="U1576" s="57"/>
    </row>
    <row r="1577" spans="21:21">
      <c r="U1577" s="57"/>
    </row>
    <row r="1578" spans="21:21">
      <c r="U1578" s="57"/>
    </row>
    <row r="1579" spans="21:21">
      <c r="U1579" s="57"/>
    </row>
    <row r="1580" spans="21:21">
      <c r="U1580" s="57"/>
    </row>
    <row r="1581" spans="21:21">
      <c r="U1581" s="57"/>
    </row>
    <row r="1582" spans="21:21">
      <c r="U1582" s="57"/>
    </row>
    <row r="1583" spans="21:21">
      <c r="U1583" s="57"/>
    </row>
    <row r="1584" spans="21:21">
      <c r="U1584" s="57"/>
    </row>
    <row r="1585" spans="21:21">
      <c r="U1585" s="57"/>
    </row>
    <row r="1586" spans="21:21">
      <c r="U1586" s="57"/>
    </row>
    <row r="1587" spans="21:21">
      <c r="U1587" s="57"/>
    </row>
    <row r="1588" spans="21:21">
      <c r="U1588" s="57"/>
    </row>
    <row r="1589" spans="21:21">
      <c r="U1589" s="57"/>
    </row>
    <row r="1590" spans="21:21">
      <c r="U1590" s="57"/>
    </row>
    <row r="1591" spans="21:21">
      <c r="U1591" s="57"/>
    </row>
    <row r="1592" spans="21:21">
      <c r="U1592" s="57"/>
    </row>
    <row r="1593" spans="21:21">
      <c r="U1593" s="57"/>
    </row>
    <row r="1594" spans="21:21">
      <c r="U1594" s="57"/>
    </row>
    <row r="1595" spans="21:21">
      <c r="U1595" s="57"/>
    </row>
    <row r="1596" spans="21:21">
      <c r="U1596" s="57"/>
    </row>
    <row r="1597" spans="21:21">
      <c r="U1597" s="57"/>
    </row>
    <row r="1598" spans="21:21">
      <c r="U1598" s="57"/>
    </row>
    <row r="1599" spans="21:21">
      <c r="U1599" s="57"/>
    </row>
    <row r="1600" spans="21:21">
      <c r="U1600" s="57"/>
    </row>
    <row r="1601" spans="21:21">
      <c r="U1601" s="57"/>
    </row>
    <row r="1602" spans="21:21">
      <c r="U1602" s="57"/>
    </row>
    <row r="1603" spans="21:21">
      <c r="U1603" s="57"/>
    </row>
    <row r="1604" spans="21:21">
      <c r="U1604" s="57"/>
    </row>
    <row r="1605" spans="21:21">
      <c r="U1605" s="57"/>
    </row>
    <row r="1606" spans="21:21">
      <c r="U1606" s="57"/>
    </row>
    <row r="1607" spans="21:21">
      <c r="U1607" s="57"/>
    </row>
    <row r="1608" spans="21:21">
      <c r="U1608" s="57"/>
    </row>
    <row r="1609" spans="21:21">
      <c r="U1609" s="57"/>
    </row>
    <row r="1610" spans="21:21">
      <c r="U1610" s="57"/>
    </row>
    <row r="1611" spans="21:21">
      <c r="U1611" s="57"/>
    </row>
    <row r="1612" spans="21:21">
      <c r="U1612" s="57"/>
    </row>
    <row r="1613" spans="21:21">
      <c r="U1613" s="57"/>
    </row>
    <row r="1614" spans="21:21">
      <c r="U1614" s="57"/>
    </row>
    <row r="1615" spans="21:21">
      <c r="U1615" s="57"/>
    </row>
    <row r="1616" spans="21:21">
      <c r="U1616" s="57"/>
    </row>
    <row r="1617" spans="21:21">
      <c r="U1617" s="57"/>
    </row>
    <row r="1618" spans="21:21">
      <c r="U1618" s="57"/>
    </row>
    <row r="1619" spans="21:21">
      <c r="U1619" s="57"/>
    </row>
    <row r="1620" spans="21:21">
      <c r="U1620" s="57"/>
    </row>
    <row r="1621" spans="21:21">
      <c r="U1621" s="57"/>
    </row>
    <row r="1622" spans="21:21">
      <c r="U1622" s="57"/>
    </row>
    <row r="1623" spans="21:21">
      <c r="U1623" s="57"/>
    </row>
    <row r="1624" spans="21:21">
      <c r="U1624" s="57"/>
    </row>
    <row r="1625" spans="21:21">
      <c r="U1625" s="57"/>
    </row>
    <row r="1626" spans="21:21">
      <c r="U1626" s="57"/>
    </row>
    <row r="1627" spans="21:21">
      <c r="U1627" s="57"/>
    </row>
    <row r="1628" spans="21:21">
      <c r="U1628" s="57"/>
    </row>
    <row r="1629" spans="21:21">
      <c r="U1629" s="57"/>
    </row>
    <row r="1630" spans="21:21">
      <c r="U1630" s="57"/>
    </row>
    <row r="1631" spans="21:21">
      <c r="U1631" s="57"/>
    </row>
    <row r="1632" spans="21:21">
      <c r="U1632" s="57"/>
    </row>
    <row r="1633" spans="21:21">
      <c r="U1633" s="57"/>
    </row>
    <row r="1634" spans="21:21">
      <c r="U1634" s="57"/>
    </row>
    <row r="1635" spans="21:21">
      <c r="U1635" s="57"/>
    </row>
    <row r="1636" spans="21:21">
      <c r="U1636" s="57"/>
    </row>
    <row r="1637" spans="21:21">
      <c r="U1637" s="57"/>
    </row>
    <row r="1638" spans="21:21">
      <c r="U1638" s="57"/>
    </row>
    <row r="1639" spans="21:21">
      <c r="U1639" s="57"/>
    </row>
    <row r="1640" spans="21:21">
      <c r="U1640" s="57"/>
    </row>
    <row r="1641" spans="21:21">
      <c r="U1641" s="57"/>
    </row>
    <row r="1642" spans="21:21">
      <c r="U1642" s="57"/>
    </row>
    <row r="1643" spans="21:21">
      <c r="U1643" s="57"/>
    </row>
    <row r="1644" spans="21:21">
      <c r="U1644" s="57"/>
    </row>
    <row r="1645" spans="21:21">
      <c r="U1645" s="57"/>
    </row>
    <row r="1646" spans="21:21">
      <c r="U1646" s="57"/>
    </row>
    <row r="1647" spans="21:21">
      <c r="U1647" s="57"/>
    </row>
    <row r="1648" spans="21:21">
      <c r="U1648" s="57"/>
    </row>
    <row r="1649" spans="21:21">
      <c r="U1649" s="57"/>
    </row>
    <row r="1650" spans="21:21">
      <c r="U1650" s="57"/>
    </row>
    <row r="1651" spans="21:21">
      <c r="U1651" s="57"/>
    </row>
    <row r="1652" spans="21:21">
      <c r="U1652" s="57"/>
    </row>
    <row r="1653" spans="21:21">
      <c r="U1653" s="57"/>
    </row>
    <row r="1654" spans="21:21">
      <c r="U1654" s="57"/>
    </row>
    <row r="1655" spans="21:21">
      <c r="U1655" s="57"/>
    </row>
    <row r="1656" spans="21:21">
      <c r="U1656" s="57"/>
    </row>
    <row r="1657" spans="21:21">
      <c r="U1657" s="57"/>
    </row>
    <row r="1658" spans="21:21">
      <c r="U1658" s="57"/>
    </row>
    <row r="1659" spans="21:21">
      <c r="U1659" s="57"/>
    </row>
    <row r="1660" spans="21:21">
      <c r="U1660" s="57"/>
    </row>
    <row r="1661" spans="21:21">
      <c r="U1661" s="57"/>
    </row>
    <row r="1662" spans="21:21">
      <c r="U1662" s="57"/>
    </row>
    <row r="1663" spans="21:21">
      <c r="U1663" s="57"/>
    </row>
    <row r="1664" spans="21:21">
      <c r="U1664" s="57"/>
    </row>
    <row r="1665" spans="21:21">
      <c r="U1665" s="57"/>
    </row>
    <row r="1666" spans="21:21">
      <c r="U1666" s="57"/>
    </row>
    <row r="1667" spans="21:21">
      <c r="U1667" s="57"/>
    </row>
    <row r="1668" spans="21:21">
      <c r="U1668" s="57"/>
    </row>
    <row r="1669" spans="21:21">
      <c r="U1669" s="57"/>
    </row>
    <row r="1670" spans="21:21">
      <c r="U1670" s="57"/>
    </row>
    <row r="1671" spans="21:21">
      <c r="U1671" s="57"/>
    </row>
    <row r="1672" spans="21:21">
      <c r="U1672" s="57"/>
    </row>
    <row r="1673" spans="21:21">
      <c r="U1673" s="57"/>
    </row>
    <row r="1674" spans="21:21">
      <c r="U1674" s="57"/>
    </row>
    <row r="1675" spans="21:21">
      <c r="U1675" s="57"/>
    </row>
    <row r="1676" spans="21:21">
      <c r="U1676" s="57"/>
    </row>
    <row r="1677" spans="21:21">
      <c r="U1677" s="57"/>
    </row>
    <row r="1678" spans="21:21">
      <c r="U1678" s="57"/>
    </row>
    <row r="1679" spans="21:21">
      <c r="U1679" s="57"/>
    </row>
    <row r="1680" spans="21:21">
      <c r="U1680" s="57"/>
    </row>
    <row r="1681" spans="21:21">
      <c r="U1681" s="57"/>
    </row>
    <row r="1682" spans="21:21">
      <c r="U1682" s="57"/>
    </row>
    <row r="1683" spans="21:21">
      <c r="U1683" s="57"/>
    </row>
    <row r="1684" spans="21:21">
      <c r="U1684" s="57"/>
    </row>
    <row r="1685" spans="21:21">
      <c r="U1685" s="57"/>
    </row>
    <row r="1686" spans="21:21">
      <c r="U1686" s="57"/>
    </row>
    <row r="1687" spans="21:21">
      <c r="U1687" s="57"/>
    </row>
    <row r="1688" spans="21:21">
      <c r="U1688" s="57"/>
    </row>
    <row r="1689" spans="21:21">
      <c r="U1689" s="57"/>
    </row>
    <row r="1690" spans="21:21">
      <c r="U1690" s="57"/>
    </row>
    <row r="1691" spans="21:21">
      <c r="U1691" s="57"/>
    </row>
    <row r="1692" spans="21:21">
      <c r="U1692" s="57"/>
    </row>
    <row r="1693" spans="21:21">
      <c r="U1693" s="57"/>
    </row>
    <row r="1694" spans="21:21">
      <c r="U1694" s="57"/>
    </row>
    <row r="1695" spans="21:21">
      <c r="U1695" s="57"/>
    </row>
    <row r="1696" spans="21:21">
      <c r="U1696" s="57"/>
    </row>
    <row r="1697" spans="21:21">
      <c r="U1697" s="57"/>
    </row>
    <row r="1698" spans="21:21">
      <c r="U1698" s="57"/>
    </row>
    <row r="1699" spans="21:21">
      <c r="U1699" s="57"/>
    </row>
    <row r="1700" spans="21:21">
      <c r="U1700" s="57"/>
    </row>
    <row r="1701" spans="21:21">
      <c r="U1701" s="57"/>
    </row>
    <row r="1702" spans="21:21">
      <c r="U1702" s="57"/>
    </row>
    <row r="1703" spans="21:21">
      <c r="U1703" s="57"/>
    </row>
    <row r="1704" spans="21:21">
      <c r="U1704" s="57"/>
    </row>
    <row r="1705" spans="21:21">
      <c r="U1705" s="57"/>
    </row>
    <row r="1706" spans="21:21">
      <c r="U1706" s="57"/>
    </row>
    <row r="1707" spans="21:21">
      <c r="U1707" s="57"/>
    </row>
    <row r="1708" spans="21:21">
      <c r="U1708" s="57"/>
    </row>
    <row r="1709" spans="21:21">
      <c r="U1709" s="57"/>
    </row>
    <row r="1710" spans="21:21">
      <c r="U1710" s="57"/>
    </row>
    <row r="1711" spans="21:21">
      <c r="U1711" s="57"/>
    </row>
    <row r="1712" spans="21:21">
      <c r="U1712" s="57"/>
    </row>
    <row r="1713" spans="21:21">
      <c r="U1713" s="57"/>
    </row>
    <row r="1714" spans="21:21">
      <c r="U1714" s="57"/>
    </row>
    <row r="1715" spans="21:21">
      <c r="U1715" s="57"/>
    </row>
    <row r="1716" spans="21:21">
      <c r="U1716" s="57"/>
    </row>
    <row r="1717" spans="21:21">
      <c r="U1717" s="57"/>
    </row>
    <row r="1718" spans="21:21">
      <c r="U1718" s="57"/>
    </row>
    <row r="1719" spans="21:21">
      <c r="U1719" s="57"/>
    </row>
    <row r="1720" spans="21:21">
      <c r="U1720" s="57"/>
    </row>
    <row r="1721" spans="21:21">
      <c r="U1721" s="57"/>
    </row>
    <row r="1722" spans="21:21">
      <c r="U1722" s="57"/>
    </row>
    <row r="1723" spans="21:21">
      <c r="U1723" s="57"/>
    </row>
    <row r="1724" spans="21:21">
      <c r="U1724" s="57"/>
    </row>
    <row r="1725" spans="21:21">
      <c r="U1725" s="57"/>
    </row>
    <row r="1726" spans="21:21">
      <c r="U1726" s="57"/>
    </row>
    <row r="1727" spans="21:21">
      <c r="U1727" s="57"/>
    </row>
    <row r="1728" spans="21:21">
      <c r="U1728" s="57"/>
    </row>
    <row r="1729" spans="21:21">
      <c r="U1729" s="57"/>
    </row>
    <row r="1730" spans="21:21">
      <c r="U1730" s="57"/>
    </row>
    <row r="1731" spans="21:21">
      <c r="U1731" s="57"/>
    </row>
    <row r="1732" spans="21:21">
      <c r="U1732" s="57"/>
    </row>
    <row r="1733" spans="21:21">
      <c r="U1733" s="57"/>
    </row>
    <row r="1734" spans="21:21">
      <c r="U1734" s="57"/>
    </row>
    <row r="1735" spans="21:21">
      <c r="U1735" s="57"/>
    </row>
    <row r="1736" spans="21:21">
      <c r="U1736" s="57"/>
    </row>
    <row r="1737" spans="21:21">
      <c r="U1737" s="57"/>
    </row>
    <row r="1738" spans="21:21">
      <c r="U1738" s="57"/>
    </row>
    <row r="1739" spans="21:21">
      <c r="U1739" s="57"/>
    </row>
    <row r="1740" spans="21:21">
      <c r="U1740" s="57"/>
    </row>
    <row r="1741" spans="21:21">
      <c r="U1741" s="57"/>
    </row>
    <row r="1742" spans="21:21">
      <c r="U1742" s="57"/>
    </row>
    <row r="1743" spans="21:21">
      <c r="U1743" s="57"/>
    </row>
    <row r="1744" spans="21:21">
      <c r="U1744" s="57"/>
    </row>
    <row r="1745" spans="21:21">
      <c r="U1745" s="57"/>
    </row>
    <row r="1746" spans="21:21">
      <c r="U1746" s="57"/>
    </row>
    <row r="1747" spans="21:21">
      <c r="U1747" s="57"/>
    </row>
    <row r="1748" spans="21:21">
      <c r="U1748" s="57"/>
    </row>
    <row r="1749" spans="21:21">
      <c r="U1749" s="57"/>
    </row>
    <row r="1750" spans="21:21">
      <c r="U1750" s="57"/>
    </row>
    <row r="1751" spans="21:21">
      <c r="U1751" s="57"/>
    </row>
    <row r="1752" spans="21:21">
      <c r="U1752" s="57"/>
    </row>
    <row r="1753" spans="21:21">
      <c r="U1753" s="57"/>
    </row>
    <row r="1754" spans="21:21">
      <c r="U1754" s="57"/>
    </row>
    <row r="1755" spans="21:21">
      <c r="U1755" s="57"/>
    </row>
    <row r="1756" spans="21:21">
      <c r="U1756" s="57"/>
    </row>
    <row r="1757" spans="21:21">
      <c r="U1757" s="57"/>
    </row>
    <row r="1758" spans="21:21">
      <c r="U1758" s="57"/>
    </row>
    <row r="1759" spans="21:21">
      <c r="U1759" s="57"/>
    </row>
    <row r="1760" spans="21:21">
      <c r="U1760" s="57"/>
    </row>
    <row r="1761" spans="21:21">
      <c r="U1761" s="57"/>
    </row>
    <row r="1762" spans="21:21">
      <c r="U1762" s="57"/>
    </row>
    <row r="1763" spans="21:21">
      <c r="U1763" s="57"/>
    </row>
    <row r="1764" spans="21:21">
      <c r="U1764" s="57"/>
    </row>
    <row r="1765" spans="21:21">
      <c r="U1765" s="57"/>
    </row>
    <row r="1766" spans="21:21">
      <c r="U1766" s="57"/>
    </row>
    <row r="1767" spans="21:21">
      <c r="U1767" s="57"/>
    </row>
    <row r="1768" spans="21:21">
      <c r="U1768" s="57"/>
    </row>
    <row r="1769" spans="21:21">
      <c r="U1769" s="57"/>
    </row>
    <row r="1770" spans="21:21">
      <c r="U1770" s="57"/>
    </row>
    <row r="1771" spans="21:21">
      <c r="U1771" s="57"/>
    </row>
    <row r="1772" spans="21:21">
      <c r="U1772" s="57"/>
    </row>
    <row r="1773" spans="21:21">
      <c r="U1773" s="57"/>
    </row>
    <row r="1774" spans="21:21">
      <c r="U1774" s="57"/>
    </row>
    <row r="1775" spans="21:21">
      <c r="U1775" s="57"/>
    </row>
    <row r="1776" spans="21:21">
      <c r="U1776" s="57"/>
    </row>
    <row r="1777" spans="21:21">
      <c r="U1777" s="57"/>
    </row>
    <row r="1778" spans="21:21">
      <c r="U1778" s="57"/>
    </row>
    <row r="1779" spans="21:21">
      <c r="U1779" s="57"/>
    </row>
    <row r="1780" spans="21:21">
      <c r="U1780" s="57"/>
    </row>
    <row r="1781" spans="21:21">
      <c r="U1781" s="57"/>
    </row>
    <row r="1782" spans="21:21">
      <c r="U1782" s="57"/>
    </row>
    <row r="1783" spans="21:21">
      <c r="U1783" s="57"/>
    </row>
    <row r="1784" spans="21:21">
      <c r="U1784" s="57"/>
    </row>
    <row r="1785" spans="21:21">
      <c r="U1785" s="57"/>
    </row>
    <row r="1786" spans="21:21">
      <c r="U1786" s="57"/>
    </row>
    <row r="1787" spans="21:21">
      <c r="U1787" s="57"/>
    </row>
    <row r="1788" spans="21:21">
      <c r="U1788" s="57"/>
    </row>
    <row r="1789" spans="21:21">
      <c r="U1789" s="57"/>
    </row>
    <row r="1790" spans="21:21">
      <c r="U1790" s="57"/>
    </row>
    <row r="1791" spans="21:21">
      <c r="U1791" s="57"/>
    </row>
    <row r="1792" spans="21:21">
      <c r="U1792" s="57"/>
    </row>
    <row r="1793" spans="21:21">
      <c r="U1793" s="57"/>
    </row>
    <row r="1794" spans="21:21">
      <c r="U1794" s="57"/>
    </row>
    <row r="1795" spans="21:21">
      <c r="U1795" s="57"/>
    </row>
    <row r="1796" spans="21:21">
      <c r="U1796" s="57"/>
    </row>
    <row r="1797" spans="21:21">
      <c r="U1797" s="57"/>
    </row>
    <row r="1798" spans="21:21">
      <c r="U1798" s="57"/>
    </row>
    <row r="1799" spans="21:21">
      <c r="U1799" s="57"/>
    </row>
    <row r="1800" spans="21:21">
      <c r="U1800" s="57"/>
    </row>
    <row r="1801" spans="21:21">
      <c r="U1801" s="57"/>
    </row>
    <row r="1802" spans="21:21">
      <c r="U1802" s="57"/>
    </row>
    <row r="1803" spans="21:21">
      <c r="U1803" s="57"/>
    </row>
    <row r="1804" spans="21:21">
      <c r="U1804" s="57"/>
    </row>
    <row r="1805" spans="21:21">
      <c r="U1805" s="57"/>
    </row>
    <row r="1806" spans="21:21">
      <c r="U1806" s="57"/>
    </row>
    <row r="1807" spans="21:21">
      <c r="U1807" s="57"/>
    </row>
    <row r="1808" spans="21:21">
      <c r="U1808" s="57"/>
    </row>
    <row r="1809" spans="21:21">
      <c r="U1809" s="57"/>
    </row>
    <row r="1810" spans="21:21">
      <c r="U1810" s="57"/>
    </row>
    <row r="1811" spans="21:21">
      <c r="U1811" s="57"/>
    </row>
    <row r="1812" spans="21:21">
      <c r="U1812" s="57"/>
    </row>
    <row r="1813" spans="21:21">
      <c r="U1813" s="57"/>
    </row>
    <row r="1814" spans="21:21">
      <c r="U1814" s="57"/>
    </row>
    <row r="1815" spans="21:21">
      <c r="U1815" s="57"/>
    </row>
    <row r="1816" spans="21:21">
      <c r="U1816" s="57"/>
    </row>
    <row r="1817" spans="21:21">
      <c r="U1817" s="57"/>
    </row>
    <row r="1818" spans="21:21">
      <c r="U1818" s="57"/>
    </row>
    <row r="1819" spans="21:21">
      <c r="U1819" s="57"/>
    </row>
    <row r="1820" spans="21:21">
      <c r="U1820" s="57"/>
    </row>
    <row r="1821" spans="21:21">
      <c r="U1821" s="57"/>
    </row>
    <row r="1822" spans="21:21">
      <c r="U1822" s="57"/>
    </row>
    <row r="1823" spans="21:21">
      <c r="U1823" s="57"/>
    </row>
    <row r="1824" spans="21:21">
      <c r="U1824" s="57"/>
    </row>
    <row r="1825" spans="21:21">
      <c r="U1825" s="57"/>
    </row>
    <row r="1826" spans="21:21">
      <c r="U1826" s="57"/>
    </row>
    <row r="1827" spans="21:21">
      <c r="U1827" s="57"/>
    </row>
    <row r="1828" spans="21:21">
      <c r="U1828" s="57"/>
    </row>
    <row r="1829" spans="21:21">
      <c r="U1829" s="57"/>
    </row>
    <row r="1830" spans="21:21">
      <c r="U1830" s="57"/>
    </row>
    <row r="1831" spans="21:21">
      <c r="U1831" s="57"/>
    </row>
    <row r="1832" spans="21:21">
      <c r="U1832" s="57"/>
    </row>
    <row r="1833" spans="21:21">
      <c r="U1833" s="57"/>
    </row>
    <row r="1834" spans="21:21">
      <c r="U1834" s="57"/>
    </row>
    <row r="1835" spans="21:21">
      <c r="U1835" s="57"/>
    </row>
    <row r="1836" spans="21:21">
      <c r="U1836" s="57"/>
    </row>
    <row r="1837" spans="21:21">
      <c r="U1837" s="57"/>
    </row>
    <row r="1838" spans="21:21">
      <c r="U1838" s="57"/>
    </row>
    <row r="1839" spans="21:21">
      <c r="U1839" s="57"/>
    </row>
    <row r="1840" spans="21:21">
      <c r="U1840" s="57"/>
    </row>
    <row r="1841" spans="21:21">
      <c r="U1841" s="57"/>
    </row>
    <row r="1842" spans="21:21">
      <c r="U1842" s="57"/>
    </row>
    <row r="1843" spans="21:21">
      <c r="U1843" s="57"/>
    </row>
    <row r="1844" spans="21:21">
      <c r="U1844" s="57"/>
    </row>
    <row r="1845" spans="21:21">
      <c r="U1845" s="57"/>
    </row>
    <row r="1846" spans="21:21">
      <c r="U1846" s="57"/>
    </row>
    <row r="1847" spans="21:21">
      <c r="U1847" s="57"/>
    </row>
    <row r="1848" spans="21:21">
      <c r="U1848" s="57"/>
    </row>
    <row r="1849" spans="21:21">
      <c r="U1849" s="57"/>
    </row>
    <row r="1850" spans="21:21">
      <c r="U1850" s="57"/>
    </row>
    <row r="1851" spans="21:21">
      <c r="U1851" s="57"/>
    </row>
    <row r="1852" spans="21:21">
      <c r="U1852" s="57"/>
    </row>
    <row r="1853" spans="21:21">
      <c r="U1853" s="57"/>
    </row>
    <row r="1854" spans="21:21">
      <c r="U1854" s="57"/>
    </row>
    <row r="1855" spans="21:21">
      <c r="U1855" s="57"/>
    </row>
    <row r="1856" spans="21:21">
      <c r="U1856" s="57"/>
    </row>
    <row r="1857" spans="21:21">
      <c r="U1857" s="57"/>
    </row>
    <row r="1858" spans="21:21">
      <c r="U1858" s="57"/>
    </row>
    <row r="1859" spans="21:21">
      <c r="U1859" s="57"/>
    </row>
    <row r="1860" spans="21:21">
      <c r="U1860" s="57"/>
    </row>
    <row r="1861" spans="21:21">
      <c r="U1861" s="57"/>
    </row>
    <row r="1862" spans="21:21">
      <c r="U1862" s="57"/>
    </row>
    <row r="1863" spans="21:21">
      <c r="U1863" s="57"/>
    </row>
    <row r="1864" spans="21:21">
      <c r="U1864" s="57"/>
    </row>
    <row r="1865" spans="21:21">
      <c r="U1865" s="57"/>
    </row>
    <row r="1866" spans="21:21">
      <c r="U1866" s="57"/>
    </row>
    <row r="1867" spans="21:21">
      <c r="U1867" s="57"/>
    </row>
    <row r="1868" spans="21:21">
      <c r="U1868" s="57"/>
    </row>
    <row r="1869" spans="21:21">
      <c r="U1869" s="57"/>
    </row>
    <row r="1870" spans="21:21">
      <c r="U1870" s="57"/>
    </row>
    <row r="1871" spans="21:21">
      <c r="U1871" s="57"/>
    </row>
    <row r="1872" spans="21:21">
      <c r="U1872" s="57"/>
    </row>
    <row r="1873" spans="21:21">
      <c r="U1873" s="57"/>
    </row>
    <row r="1874" spans="21:21">
      <c r="U1874" s="57"/>
    </row>
    <row r="1875" spans="21:21">
      <c r="U1875" s="57"/>
    </row>
    <row r="1876" spans="21:21">
      <c r="U1876" s="57"/>
    </row>
    <row r="1877" spans="21:21">
      <c r="U1877" s="57"/>
    </row>
    <row r="1878" spans="21:21">
      <c r="U1878" s="57"/>
    </row>
    <row r="1879" spans="21:21">
      <c r="U1879" s="57"/>
    </row>
    <row r="1880" spans="21:21">
      <c r="U1880" s="57"/>
    </row>
    <row r="1881" spans="21:21">
      <c r="U1881" s="57"/>
    </row>
    <row r="1882" spans="21:21">
      <c r="U1882" s="57"/>
    </row>
    <row r="1883" spans="21:21">
      <c r="U1883" s="57"/>
    </row>
    <row r="1884" spans="21:21">
      <c r="U1884" s="57"/>
    </row>
    <row r="1885" spans="21:21">
      <c r="U1885" s="57"/>
    </row>
    <row r="1886" spans="21:21">
      <c r="U1886" s="57"/>
    </row>
    <row r="1887" spans="21:21">
      <c r="U1887" s="57"/>
    </row>
    <row r="1888" spans="21:21">
      <c r="U1888" s="57"/>
    </row>
    <row r="1889" spans="21:21">
      <c r="U1889" s="57"/>
    </row>
    <row r="1890" spans="21:21">
      <c r="U1890" s="57"/>
    </row>
    <row r="1891" spans="21:21">
      <c r="U1891" s="57"/>
    </row>
    <row r="1892" spans="21:21">
      <c r="U1892" s="57"/>
    </row>
    <row r="1893" spans="21:21">
      <c r="U1893" s="57"/>
    </row>
    <row r="1894" spans="21:21">
      <c r="U1894" s="57"/>
    </row>
    <row r="1895" spans="21:21">
      <c r="U1895" s="57"/>
    </row>
    <row r="1896" spans="21:21">
      <c r="U1896" s="57"/>
    </row>
    <row r="1897" spans="21:21">
      <c r="U1897" s="57"/>
    </row>
    <row r="1898" spans="21:21">
      <c r="U1898" s="57"/>
    </row>
    <row r="1899" spans="21:21">
      <c r="U1899" s="57"/>
    </row>
    <row r="1900" spans="21:21">
      <c r="U1900" s="57"/>
    </row>
    <row r="1901" spans="21:21">
      <c r="U1901" s="57"/>
    </row>
    <row r="1902" spans="21:21">
      <c r="U1902" s="57"/>
    </row>
    <row r="1903" spans="21:21">
      <c r="U1903" s="57"/>
    </row>
    <row r="1904" spans="21:21">
      <c r="U1904" s="57"/>
    </row>
    <row r="1905" spans="21:21">
      <c r="U1905" s="57"/>
    </row>
    <row r="1906" spans="21:21">
      <c r="U1906" s="57"/>
    </row>
    <row r="1907" spans="21:21">
      <c r="U1907" s="57"/>
    </row>
    <row r="1908" spans="21:21">
      <c r="U1908" s="57"/>
    </row>
    <row r="1909" spans="21:21">
      <c r="U1909" s="57"/>
    </row>
    <row r="1910" spans="21:21">
      <c r="U1910" s="57"/>
    </row>
    <row r="1911" spans="21:21">
      <c r="U1911" s="57"/>
    </row>
    <row r="1912" spans="21:21">
      <c r="U1912" s="57"/>
    </row>
    <row r="1913" spans="21:21">
      <c r="U1913" s="57"/>
    </row>
    <row r="1914" spans="21:21">
      <c r="U1914" s="57"/>
    </row>
    <row r="1915" spans="21:21">
      <c r="U1915" s="57"/>
    </row>
    <row r="1916" spans="21:21">
      <c r="U1916" s="57"/>
    </row>
    <row r="1917" spans="21:21">
      <c r="U1917" s="57"/>
    </row>
    <row r="1918" spans="21:21">
      <c r="U1918" s="57"/>
    </row>
    <row r="1919" spans="21:21">
      <c r="U1919" s="57"/>
    </row>
    <row r="1920" spans="21:21">
      <c r="U1920" s="57"/>
    </row>
    <row r="1921" spans="21:21">
      <c r="U1921" s="57"/>
    </row>
    <row r="1922" spans="21:21">
      <c r="U1922" s="57"/>
    </row>
    <row r="1923" spans="21:21">
      <c r="U1923" s="57"/>
    </row>
    <row r="1924" spans="21:21">
      <c r="U1924" s="57"/>
    </row>
    <row r="1925" spans="21:21">
      <c r="U1925" s="57"/>
    </row>
    <row r="1926" spans="21:21">
      <c r="U1926" s="57"/>
    </row>
    <row r="1927" spans="21:21">
      <c r="U1927" s="57"/>
    </row>
    <row r="1928" spans="21:21">
      <c r="U1928" s="57"/>
    </row>
    <row r="1929" spans="21:21">
      <c r="U1929" s="57"/>
    </row>
    <row r="1930" spans="21:21">
      <c r="U1930" s="57"/>
    </row>
    <row r="1931" spans="21:21">
      <c r="U1931" s="57"/>
    </row>
    <row r="1932" spans="21:21">
      <c r="U1932" s="57"/>
    </row>
    <row r="1933" spans="21:21">
      <c r="U1933" s="57"/>
    </row>
    <row r="1934" spans="21:21">
      <c r="U1934" s="57"/>
    </row>
    <row r="1935" spans="21:21">
      <c r="U1935" s="57"/>
    </row>
    <row r="1936" spans="21:21">
      <c r="U1936" s="57"/>
    </row>
    <row r="1937" spans="21:21">
      <c r="U1937" s="57"/>
    </row>
    <row r="1938" spans="21:21">
      <c r="U1938" s="57"/>
    </row>
    <row r="1939" spans="21:21">
      <c r="U1939" s="57"/>
    </row>
    <row r="1940" spans="21:21">
      <c r="U1940" s="57"/>
    </row>
    <row r="1941" spans="21:21">
      <c r="U1941" s="57"/>
    </row>
    <row r="1942" spans="21:21">
      <c r="U1942" s="57"/>
    </row>
    <row r="1943" spans="21:21">
      <c r="U1943" s="57"/>
    </row>
    <row r="1944" spans="21:21">
      <c r="U1944" s="57"/>
    </row>
    <row r="1945" spans="21:21">
      <c r="U1945" s="57"/>
    </row>
    <row r="1946" spans="21:21">
      <c r="U1946" s="57"/>
    </row>
    <row r="1947" spans="21:21">
      <c r="U1947" s="57"/>
    </row>
    <row r="1948" spans="21:21">
      <c r="U1948" s="57"/>
    </row>
    <row r="1949" spans="21:21">
      <c r="U1949" s="57"/>
    </row>
    <row r="1950" spans="21:21">
      <c r="U1950" s="57"/>
    </row>
    <row r="1951" spans="21:21">
      <c r="U1951" s="57"/>
    </row>
    <row r="1952" spans="21:21">
      <c r="U1952" s="57"/>
    </row>
    <row r="1953" spans="21:21">
      <c r="U1953" s="57"/>
    </row>
    <row r="1954" spans="21:21">
      <c r="U1954" s="57"/>
    </row>
    <row r="1955" spans="21:21">
      <c r="U1955" s="57"/>
    </row>
    <row r="1956" spans="21:21">
      <c r="U1956" s="57"/>
    </row>
    <row r="1957" spans="21:21">
      <c r="U1957" s="57"/>
    </row>
    <row r="1958" spans="21:21">
      <c r="U1958" s="57"/>
    </row>
    <row r="1959" spans="21:21">
      <c r="U1959" s="57"/>
    </row>
    <row r="1960" spans="21:21">
      <c r="U1960" s="57"/>
    </row>
    <row r="1961" spans="21:21">
      <c r="U1961" s="57"/>
    </row>
    <row r="1962" spans="21:21">
      <c r="U1962" s="57"/>
    </row>
    <row r="1963" spans="21:21">
      <c r="U1963" s="57"/>
    </row>
    <row r="1964" spans="21:21">
      <c r="U1964" s="57"/>
    </row>
    <row r="1965" spans="21:21">
      <c r="U1965" s="57"/>
    </row>
    <row r="1966" spans="21:21">
      <c r="U1966" s="57"/>
    </row>
    <row r="1967" spans="21:21">
      <c r="U1967" s="57"/>
    </row>
    <row r="1968" spans="21:21">
      <c r="U1968" s="57"/>
    </row>
    <row r="1969" spans="21:21">
      <c r="U1969" s="57"/>
    </row>
    <row r="1970" spans="21:21">
      <c r="U1970" s="57"/>
    </row>
    <row r="1971" spans="21:21">
      <c r="U1971" s="57"/>
    </row>
    <row r="1972" spans="21:21">
      <c r="U1972" s="57"/>
    </row>
    <row r="1973" spans="21:21">
      <c r="U1973" s="57"/>
    </row>
    <row r="1974" spans="21:21">
      <c r="U1974" s="57"/>
    </row>
    <row r="1975" spans="21:21">
      <c r="U1975" s="57"/>
    </row>
    <row r="1976" spans="21:21">
      <c r="U1976" s="57"/>
    </row>
    <row r="1977" spans="21:21">
      <c r="U1977" s="57"/>
    </row>
    <row r="1978" spans="21:21">
      <c r="U1978" s="57"/>
    </row>
    <row r="1979" spans="21:21">
      <c r="U1979" s="57"/>
    </row>
    <row r="1980" spans="21:21">
      <c r="U1980" s="57"/>
    </row>
    <row r="1981" spans="21:21">
      <c r="U1981" s="57"/>
    </row>
    <row r="1982" spans="21:21">
      <c r="U1982" s="57"/>
    </row>
    <row r="1983" spans="21:21">
      <c r="U1983" s="57"/>
    </row>
    <row r="1984" spans="21:21">
      <c r="U1984" s="57"/>
    </row>
    <row r="1985" spans="21:21">
      <c r="U1985" s="57"/>
    </row>
    <row r="1986" spans="21:21">
      <c r="U1986" s="57"/>
    </row>
    <row r="1987" spans="21:21">
      <c r="U1987" s="57"/>
    </row>
    <row r="1988" spans="21:21">
      <c r="U1988" s="57"/>
    </row>
    <row r="1989" spans="21:21">
      <c r="U1989" s="57"/>
    </row>
    <row r="1990" spans="21:21">
      <c r="U1990" s="57"/>
    </row>
    <row r="1991" spans="21:21">
      <c r="U1991" s="57"/>
    </row>
    <row r="1992" spans="21:21">
      <c r="U1992" s="57"/>
    </row>
    <row r="1993" spans="21:21">
      <c r="U1993" s="57"/>
    </row>
    <row r="1994" spans="21:21">
      <c r="U1994" s="57"/>
    </row>
    <row r="1995" spans="21:21">
      <c r="U1995" s="57"/>
    </row>
    <row r="1996" spans="21:21">
      <c r="U1996" s="57"/>
    </row>
    <row r="1997" spans="21:21">
      <c r="U1997" s="57"/>
    </row>
    <row r="1998" spans="21:21">
      <c r="U1998" s="57"/>
    </row>
    <row r="1999" spans="21:21">
      <c r="U1999" s="57"/>
    </row>
    <row r="2000" spans="21:21">
      <c r="U2000" s="57"/>
    </row>
    <row r="2001" spans="21:21">
      <c r="U2001" s="57"/>
    </row>
    <row r="2002" spans="21:21">
      <c r="U2002" s="57"/>
    </row>
    <row r="2003" spans="21:21">
      <c r="U2003" s="57"/>
    </row>
    <row r="2004" spans="21:21">
      <c r="U2004" s="57"/>
    </row>
    <row r="2005" spans="21:21">
      <c r="U2005" s="57"/>
    </row>
    <row r="2006" spans="21:21">
      <c r="U2006" s="57"/>
    </row>
    <row r="2007" spans="21:21">
      <c r="U2007" s="57"/>
    </row>
    <row r="2008" spans="21:21">
      <c r="U2008" s="57"/>
    </row>
    <row r="2009" spans="21:21">
      <c r="U2009" s="57"/>
    </row>
    <row r="2010" spans="21:21">
      <c r="U2010" s="57"/>
    </row>
    <row r="2011" spans="21:21">
      <c r="U2011" s="57"/>
    </row>
    <row r="2012" spans="21:21">
      <c r="U2012" s="57"/>
    </row>
    <row r="2013" spans="21:21">
      <c r="U2013" s="57"/>
    </row>
    <row r="2014" spans="21:21">
      <c r="U2014" s="57"/>
    </row>
    <row r="2015" spans="21:21">
      <c r="U2015" s="57"/>
    </row>
    <row r="2016" spans="21:21">
      <c r="U2016" s="57"/>
    </row>
    <row r="2017" spans="21:21">
      <c r="U2017" s="57"/>
    </row>
    <row r="2018" spans="21:21">
      <c r="U2018" s="57"/>
    </row>
    <row r="2019" spans="21:21">
      <c r="U2019" s="57"/>
    </row>
    <row r="2020" spans="21:21">
      <c r="U2020" s="57"/>
    </row>
    <row r="2021" spans="21:21">
      <c r="U2021" s="57"/>
    </row>
    <row r="2022" spans="21:21">
      <c r="U2022" s="57"/>
    </row>
    <row r="2023" spans="21:21">
      <c r="U2023" s="57"/>
    </row>
    <row r="2024" spans="21:21">
      <c r="U2024" s="57"/>
    </row>
    <row r="2025" spans="21:21">
      <c r="U2025" s="57"/>
    </row>
    <row r="2026" spans="21:21">
      <c r="U2026" s="57"/>
    </row>
    <row r="2027" spans="21:21">
      <c r="U2027" s="57"/>
    </row>
    <row r="2028" spans="21:21">
      <c r="U2028" s="57"/>
    </row>
    <row r="2029" spans="21:21">
      <c r="U2029" s="57"/>
    </row>
    <row r="2030" spans="21:21">
      <c r="U2030" s="57"/>
    </row>
    <row r="2031" spans="21:21">
      <c r="U2031" s="57"/>
    </row>
    <row r="2032" spans="21:21">
      <c r="U2032" s="57"/>
    </row>
    <row r="2033" spans="21:21">
      <c r="U2033" s="57"/>
    </row>
    <row r="2034" spans="21:21">
      <c r="U2034" s="57"/>
    </row>
    <row r="2035" spans="21:21">
      <c r="U2035" s="57"/>
    </row>
    <row r="2036" spans="21:21">
      <c r="U2036" s="57"/>
    </row>
    <row r="2037" spans="21:21">
      <c r="U2037" s="57"/>
    </row>
    <row r="2038" spans="21:21">
      <c r="U2038" s="57"/>
    </row>
    <row r="2039" spans="21:21">
      <c r="U2039" s="57"/>
    </row>
    <row r="2040" spans="21:21">
      <c r="U2040" s="57"/>
    </row>
    <row r="2041" spans="21:21">
      <c r="U2041" s="57"/>
    </row>
    <row r="2042" spans="21:21">
      <c r="U2042" s="57"/>
    </row>
    <row r="2043" spans="21:21">
      <c r="U2043" s="57"/>
    </row>
    <row r="2044" spans="21:21">
      <c r="U2044" s="57"/>
    </row>
    <row r="2045" spans="21:21">
      <c r="U2045" s="57"/>
    </row>
    <row r="2046" spans="21:21">
      <c r="U2046" s="57"/>
    </row>
    <row r="2047" spans="21:21">
      <c r="U2047" s="57"/>
    </row>
    <row r="2048" spans="21:21">
      <c r="U2048" s="57"/>
    </row>
    <row r="2049" spans="21:21">
      <c r="U2049" s="57"/>
    </row>
    <row r="2050" spans="21:21">
      <c r="U2050" s="57"/>
    </row>
    <row r="2051" spans="21:21">
      <c r="U2051" s="57"/>
    </row>
    <row r="2052" spans="21:21">
      <c r="U2052" s="57"/>
    </row>
    <row r="2053" spans="21:21">
      <c r="U2053" s="57"/>
    </row>
    <row r="2054" spans="21:21">
      <c r="U2054" s="57"/>
    </row>
    <row r="2055" spans="21:21">
      <c r="U2055" s="57"/>
    </row>
    <row r="2056" spans="21:21">
      <c r="U2056" s="57"/>
    </row>
    <row r="2057" spans="21:21">
      <c r="U2057" s="57"/>
    </row>
    <row r="2058" spans="21:21">
      <c r="U2058" s="57"/>
    </row>
    <row r="2059" spans="21:21">
      <c r="U2059" s="57"/>
    </row>
    <row r="2060" spans="21:21">
      <c r="U2060" s="57"/>
    </row>
    <row r="2061" spans="21:21">
      <c r="U2061" s="57"/>
    </row>
    <row r="2062" spans="21:21">
      <c r="U2062" s="57"/>
    </row>
    <row r="2063" spans="21:21">
      <c r="U2063" s="57"/>
    </row>
    <row r="2064" spans="21:21">
      <c r="U2064" s="57"/>
    </row>
    <row r="2065" spans="21:21">
      <c r="U2065" s="57"/>
    </row>
    <row r="2066" spans="21:21">
      <c r="U2066" s="57"/>
    </row>
    <row r="2067" spans="21:21">
      <c r="U2067" s="57"/>
    </row>
    <row r="2068" spans="21:21">
      <c r="U2068" s="57"/>
    </row>
    <row r="2069" spans="21:21">
      <c r="U2069" s="57"/>
    </row>
    <row r="2070" spans="21:21">
      <c r="U2070" s="57"/>
    </row>
    <row r="2071" spans="21:21">
      <c r="U2071" s="57"/>
    </row>
    <row r="2072" spans="21:21">
      <c r="U2072" s="57"/>
    </row>
    <row r="2073" spans="21:21">
      <c r="U2073" s="57"/>
    </row>
    <row r="2074" spans="21:21">
      <c r="U2074" s="57"/>
    </row>
    <row r="2075" spans="21:21">
      <c r="U2075" s="57"/>
    </row>
    <row r="2076" spans="21:21">
      <c r="U2076" s="57"/>
    </row>
    <row r="2077" spans="21:21">
      <c r="U2077" s="57"/>
    </row>
    <row r="2078" spans="21:21">
      <c r="U2078" s="57"/>
    </row>
    <row r="2079" spans="21:21">
      <c r="U2079" s="57"/>
    </row>
    <row r="2080" spans="21:21">
      <c r="U2080" s="57"/>
    </row>
    <row r="2081" spans="21:21">
      <c r="U2081" s="57"/>
    </row>
    <row r="2082" spans="21:21">
      <c r="U2082" s="57"/>
    </row>
    <row r="2083" spans="21:21">
      <c r="U2083" s="57"/>
    </row>
    <row r="2084" spans="21:21">
      <c r="U2084" s="57"/>
    </row>
    <row r="2085" spans="21:21">
      <c r="U2085" s="57"/>
    </row>
    <row r="2086" spans="21:21">
      <c r="U2086" s="57"/>
    </row>
    <row r="2087" spans="21:21">
      <c r="U2087" s="57"/>
    </row>
    <row r="2088" spans="21:21">
      <c r="U2088" s="57"/>
    </row>
    <row r="2089" spans="21:21">
      <c r="U2089" s="57"/>
    </row>
    <row r="2090" spans="21:21">
      <c r="U2090" s="57"/>
    </row>
    <row r="2091" spans="21:21">
      <c r="U2091" s="57"/>
    </row>
    <row r="2092" spans="21:21">
      <c r="U2092" s="57"/>
    </row>
    <row r="2093" spans="21:21">
      <c r="U2093" s="57"/>
    </row>
    <row r="2094" spans="21:21">
      <c r="U2094" s="57"/>
    </row>
    <row r="2095" spans="21:21">
      <c r="U2095" s="57"/>
    </row>
    <row r="2096" spans="21:21">
      <c r="U2096" s="57"/>
    </row>
    <row r="2097" spans="21:21">
      <c r="U2097" s="57"/>
    </row>
    <row r="2098" spans="21:21">
      <c r="U2098" s="57"/>
    </row>
    <row r="2099" spans="21:21">
      <c r="U2099" s="57"/>
    </row>
    <row r="2100" spans="21:21">
      <c r="U2100" s="57"/>
    </row>
    <row r="2101" spans="21:21">
      <c r="U2101" s="57"/>
    </row>
    <row r="2102" spans="21:21">
      <c r="U2102" s="57"/>
    </row>
    <row r="2103" spans="21:21">
      <c r="U2103" s="57"/>
    </row>
    <row r="2104" spans="21:21">
      <c r="U2104" s="57"/>
    </row>
    <row r="2105" spans="21:21">
      <c r="U2105" s="57"/>
    </row>
    <row r="2106" spans="21:21">
      <c r="U2106" s="57"/>
    </row>
    <row r="2107" spans="21:21">
      <c r="U2107" s="57"/>
    </row>
    <row r="2108" spans="21:21">
      <c r="U2108" s="57"/>
    </row>
    <row r="2109" spans="21:21">
      <c r="U2109" s="57"/>
    </row>
    <row r="2110" spans="21:21">
      <c r="U2110" s="57"/>
    </row>
    <row r="2111" spans="21:21">
      <c r="U2111" s="57"/>
    </row>
    <row r="2112" spans="21:21">
      <c r="U2112" s="57"/>
    </row>
    <row r="2113" spans="21:21">
      <c r="U2113" s="57"/>
    </row>
    <row r="2114" spans="21:21">
      <c r="U2114" s="57"/>
    </row>
    <row r="2115" spans="21:21">
      <c r="U2115" s="57"/>
    </row>
    <row r="2116" spans="21:21">
      <c r="U2116" s="57"/>
    </row>
    <row r="2117" spans="21:21">
      <c r="U2117" s="57"/>
    </row>
    <row r="2118" spans="21:21">
      <c r="U2118" s="57"/>
    </row>
    <row r="2119" spans="21:21">
      <c r="U2119" s="57"/>
    </row>
    <row r="2120" spans="21:21">
      <c r="U2120" s="57"/>
    </row>
    <row r="2121" spans="21:21">
      <c r="U2121" s="57"/>
    </row>
    <row r="2122" spans="21:21">
      <c r="U2122" s="57"/>
    </row>
    <row r="2123" spans="21:21">
      <c r="U2123" s="57"/>
    </row>
    <row r="2124" spans="21:21">
      <c r="U2124" s="57"/>
    </row>
    <row r="2125" spans="21:21">
      <c r="U2125" s="57"/>
    </row>
    <row r="2126" spans="21:21">
      <c r="U2126" s="57"/>
    </row>
    <row r="2127" spans="21:21">
      <c r="U2127" s="57"/>
    </row>
    <row r="2128" spans="21:21">
      <c r="U2128" s="57"/>
    </row>
    <row r="2129" spans="21:21">
      <c r="U2129" s="57"/>
    </row>
    <row r="2130" spans="21:21">
      <c r="U2130" s="57"/>
    </row>
    <row r="2131" spans="21:21">
      <c r="U2131" s="57"/>
    </row>
    <row r="2132" spans="21:21">
      <c r="U2132" s="57"/>
    </row>
    <row r="2133" spans="21:21">
      <c r="U2133" s="57"/>
    </row>
    <row r="2134" spans="21:21">
      <c r="U2134" s="57"/>
    </row>
    <row r="2135" spans="21:21">
      <c r="U2135" s="57"/>
    </row>
    <row r="2136" spans="21:21">
      <c r="U2136" s="57"/>
    </row>
    <row r="2137" spans="21:21">
      <c r="U2137" s="57"/>
    </row>
    <row r="2138" spans="21:21">
      <c r="U2138" s="57"/>
    </row>
    <row r="2139" spans="21:21">
      <c r="U2139" s="57"/>
    </row>
    <row r="2140" spans="21:21">
      <c r="U2140" s="57"/>
    </row>
    <row r="2141" spans="21:21">
      <c r="U2141" s="57"/>
    </row>
    <row r="2142" spans="21:21">
      <c r="U2142" s="57"/>
    </row>
    <row r="2143" spans="21:21">
      <c r="U2143" s="57"/>
    </row>
    <row r="2144" spans="21:21">
      <c r="U2144" s="57"/>
    </row>
    <row r="2145" spans="21:21">
      <c r="U2145" s="57"/>
    </row>
    <row r="2146" spans="21:21">
      <c r="U2146" s="57"/>
    </row>
    <row r="2147" spans="21:21">
      <c r="U2147" s="57"/>
    </row>
    <row r="2148" spans="21:21">
      <c r="U2148" s="57"/>
    </row>
    <row r="2149" spans="21:21">
      <c r="U2149" s="57"/>
    </row>
    <row r="2150" spans="21:21">
      <c r="U2150" s="57"/>
    </row>
    <row r="2151" spans="21:21">
      <c r="U2151" s="57"/>
    </row>
    <row r="2152" spans="21:21">
      <c r="U2152" s="57"/>
    </row>
    <row r="2153" spans="21:21">
      <c r="U2153" s="57"/>
    </row>
    <row r="2154" spans="21:21">
      <c r="U2154" s="57"/>
    </row>
    <row r="2155" spans="21:21">
      <c r="U2155" s="57"/>
    </row>
    <row r="2156" spans="21:21">
      <c r="U2156" s="57"/>
    </row>
    <row r="2157" spans="21:21">
      <c r="U2157" s="57"/>
    </row>
    <row r="2158" spans="21:21">
      <c r="U2158" s="57"/>
    </row>
    <row r="2159" spans="21:21">
      <c r="U2159" s="57"/>
    </row>
    <row r="2160" spans="21:21">
      <c r="U2160" s="57"/>
    </row>
    <row r="2161" spans="21:21">
      <c r="U2161" s="57"/>
    </row>
    <row r="2162" spans="21:21">
      <c r="U2162" s="57"/>
    </row>
    <row r="2163" spans="21:21">
      <c r="U2163" s="57"/>
    </row>
    <row r="2164" spans="21:21">
      <c r="U2164" s="57"/>
    </row>
    <row r="2165" spans="21:21">
      <c r="U2165" s="57"/>
    </row>
    <row r="2166" spans="21:21">
      <c r="U2166" s="57"/>
    </row>
    <row r="2167" spans="21:21">
      <c r="U2167" s="57"/>
    </row>
    <row r="2168" spans="21:21">
      <c r="U2168" s="57"/>
    </row>
    <row r="2169" spans="21:21">
      <c r="U2169" s="57"/>
    </row>
    <row r="2170" spans="21:21">
      <c r="U2170" s="57"/>
    </row>
    <row r="2171" spans="21:21">
      <c r="U2171" s="57"/>
    </row>
    <row r="2172" spans="21:21">
      <c r="U2172" s="57"/>
    </row>
    <row r="2173" spans="21:21">
      <c r="U2173" s="57"/>
    </row>
    <row r="2174" spans="21:21">
      <c r="U2174" s="57"/>
    </row>
    <row r="2175" spans="21:21">
      <c r="U2175" s="57"/>
    </row>
    <row r="2176" spans="21:21">
      <c r="U2176" s="57"/>
    </row>
    <row r="2177" spans="21:21">
      <c r="U2177" s="57"/>
    </row>
    <row r="2178" spans="21:21">
      <c r="U2178" s="57"/>
    </row>
    <row r="2179" spans="21:21">
      <c r="U2179" s="57"/>
    </row>
    <row r="2180" spans="21:21">
      <c r="U2180" s="57"/>
    </row>
    <row r="2181" spans="21:21">
      <c r="U2181" s="57"/>
    </row>
    <row r="2182" spans="21:21">
      <c r="U2182" s="57"/>
    </row>
    <row r="2183" spans="21:21">
      <c r="U2183" s="57"/>
    </row>
    <row r="2184" spans="21:21">
      <c r="U2184" s="57"/>
    </row>
    <row r="2185" spans="21:21">
      <c r="U2185" s="57"/>
    </row>
    <row r="2186" spans="21:21">
      <c r="U2186" s="57"/>
    </row>
    <row r="2187" spans="21:21">
      <c r="U2187" s="57"/>
    </row>
    <row r="2188" spans="21:21">
      <c r="U2188" s="57"/>
    </row>
    <row r="2189" spans="21:21">
      <c r="U2189" s="57"/>
    </row>
    <row r="2190" spans="21:21">
      <c r="U2190" s="57"/>
    </row>
    <row r="2191" spans="21:21">
      <c r="U2191" s="57"/>
    </row>
    <row r="2192" spans="21:21">
      <c r="U2192" s="57"/>
    </row>
    <row r="2193" spans="21:21">
      <c r="U2193" s="57"/>
    </row>
    <row r="2194" spans="21:21">
      <c r="U2194" s="57"/>
    </row>
    <row r="2195" spans="21:21">
      <c r="U2195" s="57"/>
    </row>
    <row r="2196" spans="21:21">
      <c r="U2196" s="57"/>
    </row>
    <row r="2197" spans="21:21">
      <c r="U2197" s="57"/>
    </row>
    <row r="2198" spans="21:21">
      <c r="U2198" s="57"/>
    </row>
    <row r="2199" spans="21:21">
      <c r="U2199" s="57"/>
    </row>
    <row r="2200" spans="21:21">
      <c r="U2200" s="57"/>
    </row>
    <row r="2201" spans="21:21">
      <c r="U2201" s="57"/>
    </row>
    <row r="2202" spans="21:21">
      <c r="U2202" s="57"/>
    </row>
    <row r="2203" spans="21:21">
      <c r="U2203" s="57"/>
    </row>
    <row r="2204" spans="21:21">
      <c r="U2204" s="57"/>
    </row>
    <row r="2205" spans="21:21">
      <c r="U2205" s="57"/>
    </row>
    <row r="2206" spans="21:21">
      <c r="U2206" s="57"/>
    </row>
    <row r="2207" spans="21:21">
      <c r="U2207" s="57"/>
    </row>
    <row r="2208" spans="21:21">
      <c r="U2208" s="57"/>
    </row>
    <row r="2209" spans="21:21">
      <c r="U2209" s="57"/>
    </row>
    <row r="2210" spans="21:21">
      <c r="U2210" s="57"/>
    </row>
    <row r="2211" spans="21:21">
      <c r="U2211" s="57"/>
    </row>
    <row r="2212" spans="21:21">
      <c r="U2212" s="57"/>
    </row>
    <row r="2213" spans="21:21">
      <c r="U2213" s="57"/>
    </row>
    <row r="2214" spans="21:21">
      <c r="U2214" s="57"/>
    </row>
    <row r="2215" spans="21:21">
      <c r="U2215" s="57"/>
    </row>
    <row r="2216" spans="21:21">
      <c r="U2216" s="57"/>
    </row>
    <row r="2217" spans="21:21">
      <c r="U2217" s="57"/>
    </row>
    <row r="2218" spans="21:21">
      <c r="U2218" s="57"/>
    </row>
    <row r="2219" spans="21:21">
      <c r="U2219" s="57"/>
    </row>
    <row r="2220" spans="21:21">
      <c r="U2220" s="57"/>
    </row>
    <row r="2221" spans="21:21">
      <c r="U2221" s="57"/>
    </row>
    <row r="2222" spans="21:21">
      <c r="U2222" s="57"/>
    </row>
    <row r="2223" spans="21:21">
      <c r="U2223" s="57"/>
    </row>
    <row r="2224" spans="21:21">
      <c r="U2224" s="57"/>
    </row>
    <row r="2225" spans="21:21">
      <c r="U2225" s="57"/>
    </row>
    <row r="2226" spans="21:21">
      <c r="U2226" s="57"/>
    </row>
    <row r="2227" spans="21:21">
      <c r="U2227" s="57"/>
    </row>
    <row r="2228" spans="21:21">
      <c r="U2228" s="57"/>
    </row>
    <row r="2229" spans="21:21">
      <c r="U2229" s="57"/>
    </row>
    <row r="2230" spans="21:21">
      <c r="U2230" s="57"/>
    </row>
    <row r="2231" spans="21:21">
      <c r="U2231" s="57"/>
    </row>
    <row r="2232" spans="21:21">
      <c r="U2232" s="57"/>
    </row>
    <row r="2233" spans="21:21">
      <c r="U2233" s="57"/>
    </row>
    <row r="2234" spans="21:21">
      <c r="U2234" s="57"/>
    </row>
    <row r="2235" spans="21:21">
      <c r="U2235" s="57"/>
    </row>
    <row r="2236" spans="21:21">
      <c r="U2236" s="57"/>
    </row>
    <row r="2237" spans="21:21">
      <c r="U2237" s="57"/>
    </row>
    <row r="2238" spans="21:21">
      <c r="U2238" s="57"/>
    </row>
    <row r="2239" spans="21:21">
      <c r="U2239" s="57"/>
    </row>
    <row r="2240" spans="21:21">
      <c r="U2240" s="57"/>
    </row>
    <row r="2241" spans="21:21">
      <c r="U2241" s="57"/>
    </row>
    <row r="2242" spans="21:21">
      <c r="U2242" s="57"/>
    </row>
    <row r="2243" spans="21:21">
      <c r="U2243" s="57"/>
    </row>
    <row r="2244" spans="21:21">
      <c r="U2244" s="57"/>
    </row>
    <row r="2245" spans="21:21">
      <c r="U2245" s="57"/>
    </row>
    <row r="2246" spans="21:21">
      <c r="U2246" s="57"/>
    </row>
    <row r="2247" spans="21:21">
      <c r="U2247" s="57"/>
    </row>
    <row r="2248" spans="21:21">
      <c r="U2248" s="57"/>
    </row>
    <row r="2249" spans="21:21">
      <c r="U2249" s="57"/>
    </row>
    <row r="2250" spans="21:21">
      <c r="U2250" s="57"/>
    </row>
    <row r="2251" spans="21:21">
      <c r="U2251" s="57"/>
    </row>
    <row r="2252" spans="21:21">
      <c r="U2252" s="57"/>
    </row>
    <row r="2253" spans="21:21">
      <c r="U2253" s="57"/>
    </row>
    <row r="2254" spans="21:21">
      <c r="U2254" s="57"/>
    </row>
    <row r="2255" spans="21:21">
      <c r="U2255" s="57"/>
    </row>
    <row r="2256" spans="21:21">
      <c r="U2256" s="57"/>
    </row>
    <row r="2257" spans="21:21">
      <c r="U2257" s="57"/>
    </row>
    <row r="2258" spans="21:21">
      <c r="U2258" s="57"/>
    </row>
    <row r="2259" spans="21:21">
      <c r="U2259" s="57"/>
    </row>
    <row r="2260" spans="21:21">
      <c r="U2260" s="57"/>
    </row>
    <row r="2261" spans="21:21">
      <c r="U2261" s="57"/>
    </row>
    <row r="2262" spans="21:21">
      <c r="U2262" s="57"/>
    </row>
    <row r="2263" spans="21:21">
      <c r="U2263" s="57"/>
    </row>
    <row r="2264" spans="21:21">
      <c r="U2264" s="57"/>
    </row>
    <row r="2265" spans="21:21">
      <c r="U2265" s="57"/>
    </row>
    <row r="2266" spans="21:21">
      <c r="U2266" s="57"/>
    </row>
    <row r="2267" spans="21:21">
      <c r="U2267" s="57"/>
    </row>
    <row r="2268" spans="21:21">
      <c r="U2268" s="57"/>
    </row>
    <row r="2269" spans="21:21">
      <c r="U2269" s="57"/>
    </row>
    <row r="2270" spans="21:21">
      <c r="U2270" s="57"/>
    </row>
    <row r="2271" spans="21:21">
      <c r="U2271" s="57"/>
    </row>
    <row r="2272" spans="21:21">
      <c r="U2272" s="57"/>
    </row>
    <row r="2273" spans="21:21">
      <c r="U2273" s="57"/>
    </row>
    <row r="2274" spans="21:21">
      <c r="U2274" s="57"/>
    </row>
    <row r="2275" spans="21:21">
      <c r="U2275" s="57"/>
    </row>
    <row r="2276" spans="21:21">
      <c r="U2276" s="57"/>
    </row>
    <row r="2277" spans="21:21">
      <c r="U2277" s="57"/>
    </row>
    <row r="2278" spans="21:21">
      <c r="U2278" s="57"/>
    </row>
    <row r="2279" spans="21:21">
      <c r="U2279" s="57"/>
    </row>
    <row r="2280" spans="21:21">
      <c r="U2280" s="57"/>
    </row>
    <row r="2281" spans="21:21">
      <c r="U2281" s="57"/>
    </row>
    <row r="2282" spans="21:21">
      <c r="U2282" s="57"/>
    </row>
    <row r="2283" spans="21:21">
      <c r="U2283" s="57"/>
    </row>
    <row r="2284" spans="21:21">
      <c r="U2284" s="57"/>
    </row>
    <row r="2285" spans="21:21">
      <c r="U2285" s="57"/>
    </row>
    <row r="2286" spans="21:21">
      <c r="U2286" s="57"/>
    </row>
    <row r="2287" spans="21:21">
      <c r="U2287" s="57"/>
    </row>
    <row r="2288" spans="21:21">
      <c r="U2288" s="57"/>
    </row>
    <row r="2289" spans="21:21">
      <c r="U2289" s="57"/>
    </row>
    <row r="2290" spans="21:21">
      <c r="U2290" s="57"/>
    </row>
    <row r="2291" spans="21:21">
      <c r="U2291" s="57"/>
    </row>
    <row r="2292" spans="21:21">
      <c r="U2292" s="57"/>
    </row>
    <row r="2293" spans="21:21">
      <c r="U2293" s="57"/>
    </row>
    <row r="2294" spans="21:21">
      <c r="U2294" s="57"/>
    </row>
    <row r="2295" spans="21:21">
      <c r="U2295" s="57"/>
    </row>
    <row r="2296" spans="21:21">
      <c r="U2296" s="57"/>
    </row>
    <row r="2297" spans="21:21">
      <c r="U2297" s="57"/>
    </row>
    <row r="2298" spans="21:21">
      <c r="U2298" s="57"/>
    </row>
    <row r="2299" spans="21:21">
      <c r="U2299" s="57"/>
    </row>
    <row r="2300" spans="21:21">
      <c r="U2300" s="57"/>
    </row>
    <row r="2301" spans="21:21">
      <c r="U2301" s="57"/>
    </row>
    <row r="2302" spans="21:21">
      <c r="U2302" s="57"/>
    </row>
    <row r="2303" spans="21:21">
      <c r="U2303" s="57"/>
    </row>
    <row r="2304" spans="21:21">
      <c r="U2304" s="57"/>
    </row>
    <row r="2305" spans="21:21">
      <c r="U2305" s="57"/>
    </row>
    <row r="2306" spans="21:21">
      <c r="U2306" s="57"/>
    </row>
    <row r="2307" spans="21:21">
      <c r="U2307" s="57"/>
    </row>
    <row r="2308" spans="21:21">
      <c r="U2308" s="57"/>
    </row>
    <row r="2309" spans="21:21">
      <c r="U2309" s="57"/>
    </row>
    <row r="2310" spans="21:21">
      <c r="U2310" s="57"/>
    </row>
    <row r="2311" spans="21:21">
      <c r="U2311" s="57"/>
    </row>
    <row r="2312" spans="21:21">
      <c r="U2312" s="57"/>
    </row>
    <row r="2313" spans="21:21">
      <c r="U2313" s="57"/>
    </row>
    <row r="2314" spans="21:21">
      <c r="U2314" s="57"/>
    </row>
    <row r="2315" spans="21:21">
      <c r="U2315" s="57"/>
    </row>
    <row r="2316" spans="21:21">
      <c r="U2316" s="57"/>
    </row>
    <row r="2317" spans="21:21">
      <c r="U2317" s="57"/>
    </row>
    <row r="2318" spans="21:21">
      <c r="U2318" s="57"/>
    </row>
    <row r="2319" spans="21:21">
      <c r="U2319" s="57"/>
    </row>
    <row r="2320" spans="21:21">
      <c r="U2320" s="57"/>
    </row>
    <row r="2321" spans="21:21">
      <c r="U2321" s="57"/>
    </row>
    <row r="2322" spans="21:21">
      <c r="U2322" s="57"/>
    </row>
    <row r="2323" spans="21:21">
      <c r="U2323" s="57"/>
    </row>
    <row r="2324" spans="21:21">
      <c r="U2324" s="57"/>
    </row>
    <row r="2325" spans="21:21">
      <c r="U2325" s="57"/>
    </row>
    <row r="2326" spans="21:21">
      <c r="U2326" s="57"/>
    </row>
    <row r="2327" spans="21:21">
      <c r="U2327" s="57"/>
    </row>
    <row r="2328" spans="21:21">
      <c r="U2328" s="57"/>
    </row>
    <row r="2329" spans="21:21">
      <c r="U2329" s="57"/>
    </row>
    <row r="2330" spans="21:21">
      <c r="U2330" s="57"/>
    </row>
    <row r="2331" spans="21:21">
      <c r="U2331" s="57"/>
    </row>
    <row r="2332" spans="21:21">
      <c r="U2332" s="57"/>
    </row>
    <row r="2333" spans="21:21">
      <c r="U2333" s="57"/>
    </row>
    <row r="2334" spans="21:21">
      <c r="U2334" s="57"/>
    </row>
    <row r="2335" spans="21:21">
      <c r="U2335" s="57"/>
    </row>
    <row r="2336" spans="21:21">
      <c r="U2336" s="57"/>
    </row>
    <row r="2337" spans="21:21">
      <c r="U2337" s="57"/>
    </row>
    <row r="2338" spans="21:21">
      <c r="U2338" s="57"/>
    </row>
    <row r="2339" spans="21:21">
      <c r="U2339" s="57"/>
    </row>
    <row r="2340" spans="21:21">
      <c r="U2340" s="57"/>
    </row>
    <row r="2341" spans="21:21">
      <c r="U2341" s="57"/>
    </row>
    <row r="2342" spans="21:21">
      <c r="U2342" s="57"/>
    </row>
    <row r="2343" spans="21:21">
      <c r="U2343" s="57"/>
    </row>
    <row r="2344" spans="21:21">
      <c r="U2344" s="57"/>
    </row>
    <row r="2345" spans="21:21">
      <c r="U2345" s="57"/>
    </row>
    <row r="2346" spans="21:21">
      <c r="U2346" s="57"/>
    </row>
    <row r="2347" spans="21:21">
      <c r="U2347" s="57"/>
    </row>
    <row r="2348" spans="21:21">
      <c r="U2348" s="57"/>
    </row>
    <row r="2349" spans="21:21">
      <c r="U2349" s="57"/>
    </row>
    <row r="2350" spans="21:21">
      <c r="U2350" s="57"/>
    </row>
    <row r="2351" spans="21:21">
      <c r="U2351" s="57"/>
    </row>
    <row r="2352" spans="21:21">
      <c r="U2352" s="57"/>
    </row>
    <row r="2353" spans="21:21">
      <c r="U2353" s="57"/>
    </row>
    <row r="2354" spans="21:21">
      <c r="U2354" s="57"/>
    </row>
    <row r="2355" spans="21:21">
      <c r="U2355" s="57"/>
    </row>
    <row r="2356" spans="21:21">
      <c r="U2356" s="57"/>
    </row>
    <row r="2357" spans="21:21">
      <c r="U2357" s="57"/>
    </row>
    <row r="2358" spans="21:21">
      <c r="U2358" s="57"/>
    </row>
    <row r="2359" spans="21:21">
      <c r="U2359" s="57"/>
    </row>
    <row r="2360" spans="21:21">
      <c r="U2360" s="57"/>
    </row>
    <row r="2361" spans="21:21">
      <c r="U2361" s="57"/>
    </row>
    <row r="2362" spans="21:21">
      <c r="U2362" s="57"/>
    </row>
    <row r="2363" spans="21:21">
      <c r="U2363" s="57"/>
    </row>
    <row r="2364" spans="21:21">
      <c r="U2364" s="57"/>
    </row>
    <row r="2365" spans="21:21">
      <c r="U2365" s="57"/>
    </row>
    <row r="2366" spans="21:21">
      <c r="U2366" s="57"/>
    </row>
    <row r="2367" spans="21:21">
      <c r="U2367" s="57"/>
    </row>
    <row r="2368" spans="21:21">
      <c r="U2368" s="57"/>
    </row>
    <row r="2369" spans="21:21">
      <c r="U2369" s="57"/>
    </row>
    <row r="2370" spans="21:21">
      <c r="U2370" s="57"/>
    </row>
    <row r="2371" spans="21:21">
      <c r="U2371" s="57"/>
    </row>
    <row r="2372" spans="21:21">
      <c r="U2372" s="57"/>
    </row>
    <row r="2373" spans="21:21">
      <c r="U2373" s="57"/>
    </row>
    <row r="2374" spans="21:21">
      <c r="U2374" s="57"/>
    </row>
    <row r="2375" spans="21:21">
      <c r="U2375" s="57"/>
    </row>
    <row r="2376" spans="21:21">
      <c r="U2376" s="57"/>
    </row>
    <row r="2377" spans="21:21">
      <c r="U2377" s="57"/>
    </row>
    <row r="2378" spans="21:21">
      <c r="U2378" s="57"/>
    </row>
    <row r="2379" spans="21:21">
      <c r="U2379" s="57"/>
    </row>
    <row r="2380" spans="21:21">
      <c r="U2380" s="57"/>
    </row>
    <row r="2381" spans="21:21">
      <c r="U2381" s="57"/>
    </row>
    <row r="2382" spans="21:21">
      <c r="U2382" s="57"/>
    </row>
    <row r="2383" spans="21:21">
      <c r="U2383" s="57"/>
    </row>
    <row r="2384" spans="21:21">
      <c r="U2384" s="57"/>
    </row>
    <row r="2385" spans="21:21">
      <c r="U2385" s="57"/>
    </row>
    <row r="2386" spans="21:21">
      <c r="U2386" s="57"/>
    </row>
    <row r="2387" spans="21:21">
      <c r="U2387" s="57"/>
    </row>
    <row r="2388" spans="21:21">
      <c r="U2388" s="57"/>
    </row>
    <row r="2389" spans="21:21">
      <c r="U2389" s="57"/>
    </row>
    <row r="2390" spans="21:21">
      <c r="U2390" s="57"/>
    </row>
    <row r="2391" spans="21:21">
      <c r="U2391" s="57"/>
    </row>
    <row r="2392" spans="21:21">
      <c r="U2392" s="57"/>
    </row>
    <row r="2393" spans="21:21">
      <c r="U2393" s="57"/>
    </row>
    <row r="2394" spans="21:21">
      <c r="U2394" s="57"/>
    </row>
    <row r="2395" spans="21:21">
      <c r="U2395" s="57"/>
    </row>
    <row r="2396" spans="21:21">
      <c r="U2396" s="57"/>
    </row>
    <row r="2397" spans="21:21">
      <c r="U2397" s="57"/>
    </row>
    <row r="2398" spans="21:21">
      <c r="U2398" s="57"/>
    </row>
    <row r="2399" spans="21:21">
      <c r="U2399" s="57"/>
    </row>
    <row r="2400" spans="21:21">
      <c r="U2400" s="57"/>
    </row>
    <row r="2401" spans="21:21">
      <c r="U2401" s="57"/>
    </row>
    <row r="2402" spans="21:21">
      <c r="U2402" s="57"/>
    </row>
    <row r="2403" spans="21:21">
      <c r="U2403" s="57"/>
    </row>
    <row r="2404" spans="21:21">
      <c r="U2404" s="57"/>
    </row>
    <row r="2405" spans="21:21">
      <c r="U2405" s="57"/>
    </row>
    <row r="2406" spans="21:21">
      <c r="U2406" s="57"/>
    </row>
    <row r="2407" spans="21:21">
      <c r="U2407" s="57"/>
    </row>
    <row r="2408" spans="21:21">
      <c r="U2408" s="57"/>
    </row>
    <row r="2409" spans="21:21">
      <c r="U2409" s="57"/>
    </row>
    <row r="2410" spans="21:21">
      <c r="U2410" s="57"/>
    </row>
    <row r="2411" spans="21:21">
      <c r="U2411" s="57"/>
    </row>
    <row r="2412" spans="21:21">
      <c r="U2412" s="57"/>
    </row>
    <row r="2413" spans="21:21">
      <c r="U2413" s="57"/>
    </row>
    <row r="2414" spans="21:21">
      <c r="U2414" s="57"/>
    </row>
    <row r="2415" spans="21:21">
      <c r="U2415" s="57"/>
    </row>
    <row r="2416" spans="21:21">
      <c r="U2416" s="57"/>
    </row>
    <row r="2417" spans="21:21">
      <c r="U2417" s="57"/>
    </row>
    <row r="2418" spans="21:21">
      <c r="U2418" s="57"/>
    </row>
    <row r="2419" spans="21:21">
      <c r="U2419" s="57"/>
    </row>
    <row r="2420" spans="21:21">
      <c r="U2420" s="57"/>
    </row>
    <row r="2421" spans="21:21">
      <c r="U2421" s="57"/>
    </row>
    <row r="2422" spans="21:21">
      <c r="U2422" s="57"/>
    </row>
    <row r="2423" spans="21:21">
      <c r="U2423" s="57"/>
    </row>
    <row r="2424" spans="21:21">
      <c r="U2424" s="57"/>
    </row>
    <row r="2425" spans="21:21">
      <c r="U2425" s="57"/>
    </row>
    <row r="2426" spans="21:21">
      <c r="U2426" s="57"/>
    </row>
    <row r="2427" spans="21:21">
      <c r="U2427" s="57"/>
    </row>
    <row r="2428" spans="21:21">
      <c r="U2428" s="57"/>
    </row>
    <row r="2429" spans="21:21">
      <c r="U2429" s="57"/>
    </row>
    <row r="2430" spans="21:21">
      <c r="U2430" s="57"/>
    </row>
    <row r="2431" spans="21:21">
      <c r="U2431" s="57"/>
    </row>
    <row r="2432" spans="21:21">
      <c r="U2432" s="57"/>
    </row>
    <row r="2433" spans="21:21">
      <c r="U2433" s="57"/>
    </row>
    <row r="2434" spans="21:21">
      <c r="U2434" s="57"/>
    </row>
    <row r="2435" spans="21:21">
      <c r="U2435" s="57"/>
    </row>
    <row r="2436" spans="21:21">
      <c r="U2436" s="57"/>
    </row>
    <row r="2437" spans="21:21">
      <c r="U2437" s="57"/>
    </row>
    <row r="2438" spans="21:21">
      <c r="U2438" s="57"/>
    </row>
    <row r="2439" spans="21:21">
      <c r="U2439" s="57"/>
    </row>
    <row r="2440" spans="21:21">
      <c r="U2440" s="57"/>
    </row>
    <row r="2441" spans="21:21">
      <c r="U2441" s="57"/>
    </row>
    <row r="2442" spans="21:21">
      <c r="U2442" s="57"/>
    </row>
    <row r="2443" spans="21:21">
      <c r="U2443" s="57"/>
    </row>
    <row r="2444" spans="21:21">
      <c r="U2444" s="57"/>
    </row>
    <row r="2445" spans="21:21">
      <c r="U2445" s="57"/>
    </row>
    <row r="2446" spans="21:21">
      <c r="U2446" s="57"/>
    </row>
    <row r="2447" spans="21:21">
      <c r="U2447" s="57"/>
    </row>
    <row r="2448" spans="21:21">
      <c r="U2448" s="57"/>
    </row>
    <row r="2449" spans="21:21">
      <c r="U2449" s="57"/>
    </row>
    <row r="2450" spans="21:21">
      <c r="U2450" s="57"/>
    </row>
    <row r="2451" spans="21:21">
      <c r="U2451" s="57"/>
    </row>
    <row r="2452" spans="21:21">
      <c r="U2452" s="57"/>
    </row>
    <row r="2453" spans="21:21">
      <c r="U2453" s="57"/>
    </row>
    <row r="2454" spans="21:21">
      <c r="U2454" s="57"/>
    </row>
    <row r="2455" spans="21:21">
      <c r="U2455" s="57"/>
    </row>
    <row r="2456" spans="21:21">
      <c r="U2456" s="57"/>
    </row>
    <row r="2457" spans="21:21">
      <c r="U2457" s="57"/>
    </row>
    <row r="2458" spans="21:21">
      <c r="U2458" s="57"/>
    </row>
    <row r="2459" spans="21:21">
      <c r="U2459" s="57"/>
    </row>
    <row r="2460" spans="21:21">
      <c r="U2460" s="57"/>
    </row>
    <row r="2461" spans="21:21">
      <c r="U2461" s="57"/>
    </row>
    <row r="2462" spans="21:21">
      <c r="U2462" s="57"/>
    </row>
    <row r="2463" spans="21:21">
      <c r="U2463" s="57"/>
    </row>
    <row r="2464" spans="21:21">
      <c r="U2464" s="57"/>
    </row>
    <row r="2465" spans="21:21">
      <c r="U2465" s="57"/>
    </row>
    <row r="2466" spans="21:21">
      <c r="U2466" s="57"/>
    </row>
    <row r="2467" spans="21:21">
      <c r="U2467" s="57"/>
    </row>
    <row r="2468" spans="21:21">
      <c r="U2468" s="57"/>
    </row>
    <row r="2469" spans="21:21">
      <c r="U2469" s="57"/>
    </row>
    <row r="2470" spans="21:21">
      <c r="U2470" s="57"/>
    </row>
    <row r="2471" spans="21:21">
      <c r="U2471" s="57"/>
    </row>
    <row r="2472" spans="21:21">
      <c r="U2472" s="57"/>
    </row>
    <row r="2473" spans="21:21">
      <c r="U2473" s="57"/>
    </row>
    <row r="2474" spans="21:21">
      <c r="U2474" s="57"/>
    </row>
    <row r="2475" spans="21:21">
      <c r="U2475" s="57"/>
    </row>
    <row r="2476" spans="21:21">
      <c r="U2476" s="57"/>
    </row>
    <row r="2477" spans="21:21">
      <c r="U2477" s="57"/>
    </row>
    <row r="2478" spans="21:21">
      <c r="U2478" s="57"/>
    </row>
    <row r="2479" spans="21:21">
      <c r="U2479" s="57"/>
    </row>
    <row r="2480" spans="21:21">
      <c r="U2480" s="57"/>
    </row>
    <row r="2481" spans="21:21">
      <c r="U2481" s="57"/>
    </row>
    <row r="2482" spans="21:21">
      <c r="U2482" s="57"/>
    </row>
    <row r="2483" spans="21:21">
      <c r="U2483" s="57"/>
    </row>
    <row r="2484" spans="21:21">
      <c r="U2484" s="57"/>
    </row>
    <row r="2485" spans="21:21">
      <c r="U2485" s="57"/>
    </row>
    <row r="2486" spans="21:21">
      <c r="U2486" s="57"/>
    </row>
    <row r="2487" spans="21:21">
      <c r="U2487" s="57"/>
    </row>
    <row r="2488" spans="21:21">
      <c r="U2488" s="57"/>
    </row>
    <row r="2489" spans="21:21">
      <c r="U2489" s="57"/>
    </row>
    <row r="2490" spans="21:21">
      <c r="U2490" s="57"/>
    </row>
    <row r="2491" spans="21:21">
      <c r="U2491" s="57"/>
    </row>
    <row r="2492" spans="21:21">
      <c r="U2492" s="57"/>
    </row>
    <row r="2493" spans="21:21">
      <c r="U2493" s="57"/>
    </row>
    <row r="2494" spans="21:21">
      <c r="U2494" s="57"/>
    </row>
    <row r="2495" spans="21:21">
      <c r="U2495" s="57"/>
    </row>
    <row r="2496" spans="21:21">
      <c r="U2496" s="57"/>
    </row>
    <row r="2497" spans="21:21">
      <c r="U2497" s="57"/>
    </row>
    <row r="2498" spans="21:21">
      <c r="U2498" s="57"/>
    </row>
    <row r="2499" spans="21:21">
      <c r="U2499" s="57"/>
    </row>
    <row r="2500" spans="21:21">
      <c r="U2500" s="57"/>
    </row>
    <row r="2501" spans="21:21">
      <c r="U2501" s="57"/>
    </row>
    <row r="2502" spans="21:21">
      <c r="U2502" s="57"/>
    </row>
    <row r="2503" spans="21:21">
      <c r="U2503" s="57"/>
    </row>
    <row r="2504" spans="21:21">
      <c r="U2504" s="57"/>
    </row>
    <row r="2505" spans="21:21">
      <c r="U2505" s="57"/>
    </row>
    <row r="2506" spans="21:21">
      <c r="U2506" s="57"/>
    </row>
    <row r="2507" spans="21:21">
      <c r="U2507" s="57"/>
    </row>
    <row r="2508" spans="21:21">
      <c r="U2508" s="57"/>
    </row>
    <row r="2509" spans="21:21">
      <c r="U2509" s="57"/>
    </row>
    <row r="2510" spans="21:21">
      <c r="U2510" s="57"/>
    </row>
    <row r="2511" spans="21:21">
      <c r="U2511" s="57"/>
    </row>
    <row r="2512" spans="21:21">
      <c r="U2512" s="57"/>
    </row>
    <row r="2513" spans="21:21">
      <c r="U2513" s="57"/>
    </row>
    <row r="2514" spans="21:21">
      <c r="U2514" s="57"/>
    </row>
    <row r="2515" spans="21:21">
      <c r="U2515" s="57"/>
    </row>
    <row r="2516" spans="21:21">
      <c r="U2516" s="57"/>
    </row>
    <row r="2517" spans="21:21">
      <c r="U2517" s="57"/>
    </row>
    <row r="2518" spans="21:21">
      <c r="U2518" s="57"/>
    </row>
    <row r="2519" spans="21:21">
      <c r="U2519" s="57"/>
    </row>
    <row r="2520" spans="21:21">
      <c r="U2520" s="57"/>
    </row>
    <row r="2521" spans="21:21">
      <c r="U2521" s="57"/>
    </row>
    <row r="2522" spans="21:21">
      <c r="U2522" s="57"/>
    </row>
    <row r="2523" spans="21:21">
      <c r="U2523" s="57"/>
    </row>
    <row r="2524" spans="21:21">
      <c r="U2524" s="57"/>
    </row>
    <row r="2525" spans="21:21">
      <c r="U2525" s="57"/>
    </row>
    <row r="2526" spans="21:21">
      <c r="U2526" s="57"/>
    </row>
    <row r="2527" spans="21:21">
      <c r="U2527" s="57"/>
    </row>
    <row r="2528" spans="21:21">
      <c r="U2528" s="57"/>
    </row>
    <row r="2529" spans="21:21">
      <c r="U2529" s="57"/>
    </row>
    <row r="2530" spans="21:21">
      <c r="U2530" s="57"/>
    </row>
    <row r="2531" spans="21:21">
      <c r="U2531" s="57"/>
    </row>
    <row r="2532" spans="21:21">
      <c r="U2532" s="57"/>
    </row>
    <row r="2533" spans="21:21">
      <c r="U2533" s="57"/>
    </row>
    <row r="2534" spans="21:21">
      <c r="U2534" s="57"/>
    </row>
    <row r="2535" spans="21:21">
      <c r="U2535" s="57"/>
    </row>
    <row r="2536" spans="21:21">
      <c r="U2536" s="57"/>
    </row>
    <row r="2537" spans="21:21">
      <c r="U2537" s="57"/>
    </row>
    <row r="2538" spans="21:21">
      <c r="U2538" s="57"/>
    </row>
    <row r="2539" spans="21:21">
      <c r="U2539" s="57"/>
    </row>
    <row r="2540" spans="21:21">
      <c r="U2540" s="57"/>
    </row>
    <row r="2541" spans="21:21">
      <c r="U2541" s="57"/>
    </row>
    <row r="2542" spans="21:21">
      <c r="U2542" s="57"/>
    </row>
    <row r="2543" spans="21:21">
      <c r="U2543" s="57"/>
    </row>
    <row r="2544" spans="21:21">
      <c r="U2544" s="57"/>
    </row>
    <row r="2545" spans="21:21">
      <c r="U2545" s="57"/>
    </row>
    <row r="2546" spans="21:21">
      <c r="U2546" s="57"/>
    </row>
    <row r="2547" spans="21:21">
      <c r="U2547" s="57"/>
    </row>
    <row r="2548" spans="21:21">
      <c r="U2548" s="57"/>
    </row>
    <row r="2549" spans="21:21">
      <c r="U2549" s="57"/>
    </row>
    <row r="2550" spans="21:21">
      <c r="U2550" s="57"/>
    </row>
    <row r="2551" spans="21:21">
      <c r="U2551" s="57"/>
    </row>
    <row r="2552" spans="21:21">
      <c r="U2552" s="57"/>
    </row>
    <row r="2553" spans="21:21">
      <c r="U2553" s="57"/>
    </row>
    <row r="2554" spans="21:21">
      <c r="U2554" s="57"/>
    </row>
    <row r="2555" spans="21:21">
      <c r="U2555" s="57"/>
    </row>
    <row r="2556" spans="21:21">
      <c r="U2556" s="57"/>
    </row>
    <row r="2557" spans="21:21">
      <c r="U2557" s="57"/>
    </row>
    <row r="2558" spans="21:21">
      <c r="U2558" s="57"/>
    </row>
    <row r="2559" spans="21:21">
      <c r="U2559" s="57"/>
    </row>
    <row r="2560" spans="21:21">
      <c r="U2560" s="57"/>
    </row>
    <row r="2561" spans="21:21">
      <c r="U2561" s="57"/>
    </row>
    <row r="2562" spans="21:21">
      <c r="U2562" s="57"/>
    </row>
    <row r="2563" spans="21:21">
      <c r="U2563" s="57"/>
    </row>
    <row r="2564" spans="21:21">
      <c r="U2564" s="57"/>
    </row>
    <row r="2565" spans="21:21">
      <c r="U2565" s="57"/>
    </row>
    <row r="2566" spans="21:21">
      <c r="U2566" s="57"/>
    </row>
    <row r="2567" spans="21:21">
      <c r="U2567" s="57"/>
    </row>
    <row r="2568" spans="21:21">
      <c r="U2568" s="57"/>
    </row>
    <row r="2569" spans="21:21">
      <c r="U2569" s="57"/>
    </row>
    <row r="2570" spans="21:21">
      <c r="U2570" s="57"/>
    </row>
    <row r="2571" spans="21:21">
      <c r="U2571" s="57"/>
    </row>
    <row r="2572" spans="21:21">
      <c r="U2572" s="57"/>
    </row>
    <row r="2573" spans="21:21">
      <c r="U2573" s="57"/>
    </row>
    <row r="2574" spans="21:21">
      <c r="U2574" s="57"/>
    </row>
    <row r="2575" spans="21:21">
      <c r="U2575" s="57"/>
    </row>
    <row r="2576" spans="21:21">
      <c r="U2576" s="57"/>
    </row>
    <row r="2577" spans="21:21">
      <c r="U2577" s="57"/>
    </row>
    <row r="2578" spans="21:21">
      <c r="U2578" s="57"/>
    </row>
    <row r="2579" spans="21:21">
      <c r="U2579" s="57"/>
    </row>
    <row r="2580" spans="21:21">
      <c r="U2580" s="57"/>
    </row>
    <row r="2581" spans="21:21">
      <c r="U2581" s="57"/>
    </row>
    <row r="2582" spans="21:21">
      <c r="U2582" s="57"/>
    </row>
    <row r="2583" spans="21:21">
      <c r="U2583" s="57"/>
    </row>
    <row r="2584" spans="21:21">
      <c r="U2584" s="57"/>
    </row>
    <row r="2585" spans="21:21">
      <c r="U2585" s="57"/>
    </row>
    <row r="2586" spans="21:21">
      <c r="U2586" s="57"/>
    </row>
    <row r="2587" spans="21:21">
      <c r="U2587" s="57"/>
    </row>
    <row r="2588" spans="21:21">
      <c r="U2588" s="57"/>
    </row>
    <row r="2589" spans="21:21">
      <c r="U2589" s="57"/>
    </row>
    <row r="2590" spans="21:21">
      <c r="U2590" s="57"/>
    </row>
    <row r="2591" spans="21:21">
      <c r="U2591" s="57"/>
    </row>
    <row r="2592" spans="21:21">
      <c r="U2592" s="57"/>
    </row>
    <row r="2593" spans="21:21">
      <c r="U2593" s="57"/>
    </row>
    <row r="2594" spans="21:21">
      <c r="U2594" s="57"/>
    </row>
    <row r="2595" spans="21:21">
      <c r="U2595" s="57"/>
    </row>
    <row r="2596" spans="21:21">
      <c r="U2596" s="57"/>
    </row>
    <row r="2597" spans="21:21">
      <c r="U2597" s="57"/>
    </row>
    <row r="2598" spans="21:21">
      <c r="U2598" s="57"/>
    </row>
    <row r="2599" spans="21:21">
      <c r="U2599" s="57"/>
    </row>
    <row r="2600" spans="21:21">
      <c r="U2600" s="57"/>
    </row>
    <row r="2601" spans="21:21">
      <c r="U2601" s="57"/>
    </row>
    <row r="2602" spans="21:21">
      <c r="U2602" s="57"/>
    </row>
    <row r="2603" spans="21:21">
      <c r="U2603" s="57"/>
    </row>
    <row r="2604" spans="21:21">
      <c r="U2604" s="57"/>
    </row>
    <row r="2605" spans="21:21">
      <c r="U2605" s="57"/>
    </row>
    <row r="2606" spans="21:21">
      <c r="U2606" s="57"/>
    </row>
    <row r="2607" spans="21:21">
      <c r="U2607" s="57"/>
    </row>
    <row r="2608" spans="21:21">
      <c r="U2608" s="57"/>
    </row>
    <row r="2609" spans="21:21">
      <c r="U2609" s="57"/>
    </row>
    <row r="2610" spans="21:21">
      <c r="U2610" s="57"/>
    </row>
    <row r="2611" spans="21:21">
      <c r="U2611" s="57"/>
    </row>
    <row r="2612" spans="21:21">
      <c r="U2612" s="57"/>
    </row>
    <row r="2613" spans="21:21">
      <c r="U2613" s="57"/>
    </row>
    <row r="2614" spans="21:21">
      <c r="U2614" s="57"/>
    </row>
    <row r="2615" spans="21:21">
      <c r="U2615" s="57"/>
    </row>
    <row r="2616" spans="21:21">
      <c r="U2616" s="57"/>
    </row>
    <row r="2617" spans="21:21">
      <c r="U2617" s="57"/>
    </row>
    <row r="2618" spans="21:21">
      <c r="U2618" s="57"/>
    </row>
    <row r="2619" spans="21:21">
      <c r="U2619" s="57"/>
    </row>
    <row r="2620" spans="21:21">
      <c r="U2620" s="57"/>
    </row>
    <row r="2621" spans="21:21">
      <c r="U2621" s="57"/>
    </row>
    <row r="2622" spans="21:21">
      <c r="U2622" s="57"/>
    </row>
    <row r="2623" spans="21:21">
      <c r="U2623" s="57"/>
    </row>
    <row r="2624" spans="21:21">
      <c r="U2624" s="57"/>
    </row>
    <row r="2625" spans="21:21">
      <c r="U2625" s="57"/>
    </row>
    <row r="2626" spans="21:21">
      <c r="U2626" s="57"/>
    </row>
    <row r="1047682" s="4" customFormat="1" spans="1:32">
      <c r="A1047682" s="5"/>
      <c r="B1047682" s="5"/>
      <c r="C1047682" s="5"/>
      <c r="D1047682" s="5"/>
      <c r="E1047682" s="5"/>
      <c r="F1047682" s="5"/>
      <c r="G1047682" s="5"/>
      <c r="H1047682" s="5"/>
      <c r="I1047682" s="5"/>
      <c r="J1047682" s="58"/>
      <c r="K1047682" s="59"/>
      <c r="L1047682" s="59"/>
      <c r="M1047682" s="59"/>
      <c r="N1047682" s="59"/>
      <c r="AF1047682" s="60"/>
    </row>
    <row r="1047683" s="4" customFormat="1" spans="1:32">
      <c r="A1047683" s="5"/>
      <c r="B1047683" s="5"/>
      <c r="C1047683" s="5"/>
      <c r="D1047683" s="5"/>
      <c r="E1047683" s="5"/>
      <c r="F1047683" s="5"/>
      <c r="G1047683" s="5"/>
      <c r="H1047683" s="5"/>
      <c r="I1047683" s="5"/>
      <c r="J1047683" s="58"/>
      <c r="K1047683" s="59"/>
      <c r="L1047683" s="59"/>
      <c r="M1047683" s="59"/>
      <c r="N1047683" s="59"/>
      <c r="AF1047683" s="60"/>
    </row>
    <row r="1047684" s="4" customFormat="1" spans="1:32">
      <c r="A1047684" s="5"/>
      <c r="B1047684" s="5"/>
      <c r="C1047684" s="5"/>
      <c r="D1047684" s="5"/>
      <c r="E1047684" s="5"/>
      <c r="F1047684" s="5"/>
      <c r="G1047684" s="5"/>
      <c r="H1047684" s="5"/>
      <c r="I1047684" s="5"/>
      <c r="J1047684" s="58"/>
      <c r="K1047684" s="59"/>
      <c r="L1047684" s="59"/>
      <c r="M1047684" s="59"/>
      <c r="N1047684" s="59"/>
      <c r="AF1047684" s="60"/>
    </row>
    <row r="1047685" s="4" customFormat="1" spans="1:32">
      <c r="A1047685" s="5"/>
      <c r="B1047685" s="5"/>
      <c r="C1047685" s="5"/>
      <c r="D1047685" s="5"/>
      <c r="E1047685" s="5"/>
      <c r="F1047685" s="5"/>
      <c r="G1047685" s="5"/>
      <c r="H1047685" s="5"/>
      <c r="I1047685" s="5"/>
      <c r="J1047685" s="58"/>
      <c r="K1047685" s="59"/>
      <c r="L1047685" s="59"/>
      <c r="M1047685" s="59"/>
      <c r="N1047685" s="59"/>
      <c r="AF1047685" s="60"/>
    </row>
    <row r="1047686" s="4" customFormat="1" spans="1:32">
      <c r="A1047686" s="5"/>
      <c r="B1047686" s="5"/>
      <c r="C1047686" s="5"/>
      <c r="D1047686" s="5"/>
      <c r="E1047686" s="5"/>
      <c r="F1047686" s="5"/>
      <c r="G1047686" s="5"/>
      <c r="H1047686" s="5"/>
      <c r="I1047686" s="5"/>
      <c r="J1047686" s="58"/>
      <c r="K1047686" s="59"/>
      <c r="L1047686" s="59"/>
      <c r="M1047686" s="59"/>
      <c r="N1047686" s="59"/>
      <c r="AF1047686" s="60"/>
    </row>
    <row r="1047687" s="4" customFormat="1" spans="1:32">
      <c r="A1047687" s="5"/>
      <c r="B1047687" s="5"/>
      <c r="C1047687" s="5"/>
      <c r="D1047687" s="5"/>
      <c r="E1047687" s="5"/>
      <c r="F1047687" s="5"/>
      <c r="G1047687" s="5"/>
      <c r="H1047687" s="5"/>
      <c r="I1047687" s="5"/>
      <c r="J1047687" s="58"/>
      <c r="K1047687" s="59"/>
      <c r="L1047687" s="59"/>
      <c r="M1047687" s="59"/>
      <c r="N1047687" s="59"/>
      <c r="AF1047687" s="60"/>
    </row>
    <row r="1047688" s="4" customFormat="1" spans="1:32">
      <c r="A1047688" s="5"/>
      <c r="B1047688" s="5"/>
      <c r="C1047688" s="5"/>
      <c r="D1047688" s="5"/>
      <c r="E1047688" s="5"/>
      <c r="F1047688" s="5"/>
      <c r="G1047688" s="5"/>
      <c r="H1047688" s="5"/>
      <c r="I1047688" s="5"/>
      <c r="J1047688" s="58"/>
      <c r="K1047688" s="59"/>
      <c r="L1047688" s="59"/>
      <c r="M1047688" s="59"/>
      <c r="N1047688" s="59"/>
      <c r="AF1047688" s="60"/>
    </row>
    <row r="1047689" s="4" customFormat="1" spans="1:32">
      <c r="A1047689" s="5"/>
      <c r="B1047689" s="5"/>
      <c r="C1047689" s="5"/>
      <c r="D1047689" s="5"/>
      <c r="E1047689" s="5"/>
      <c r="F1047689" s="5"/>
      <c r="G1047689" s="5"/>
      <c r="H1047689" s="5"/>
      <c r="I1047689" s="5"/>
      <c r="J1047689" s="58"/>
      <c r="K1047689" s="59"/>
      <c r="L1047689" s="59"/>
      <c r="M1047689" s="59"/>
      <c r="N1047689" s="59"/>
      <c r="AF1047689" s="60"/>
    </row>
    <row r="1047690" s="4" customFormat="1" spans="1:32">
      <c r="A1047690" s="5"/>
      <c r="B1047690" s="5"/>
      <c r="C1047690" s="5"/>
      <c r="D1047690" s="5"/>
      <c r="E1047690" s="5"/>
      <c r="F1047690" s="5"/>
      <c r="G1047690" s="5"/>
      <c r="H1047690" s="5"/>
      <c r="I1047690" s="5"/>
      <c r="J1047690" s="58"/>
      <c r="K1047690" s="59"/>
      <c r="L1047690" s="59"/>
      <c r="M1047690" s="59"/>
      <c r="N1047690" s="59"/>
      <c r="AF1047690" s="60"/>
    </row>
    <row r="1047691" s="4" customFormat="1" spans="1:32">
      <c r="A1047691" s="5"/>
      <c r="B1047691" s="5"/>
      <c r="C1047691" s="5"/>
      <c r="D1047691" s="5"/>
      <c r="E1047691" s="5"/>
      <c r="F1047691" s="5"/>
      <c r="G1047691" s="5"/>
      <c r="H1047691" s="5"/>
      <c r="I1047691" s="5"/>
      <c r="J1047691" s="58"/>
      <c r="K1047691" s="59"/>
      <c r="L1047691" s="59"/>
      <c r="M1047691" s="59"/>
      <c r="N1047691" s="59"/>
      <c r="AF1047691" s="60"/>
    </row>
    <row r="1047692" s="4" customFormat="1" spans="1:32">
      <c r="A1047692" s="5"/>
      <c r="B1047692" s="5"/>
      <c r="C1047692" s="5"/>
      <c r="D1047692" s="5"/>
      <c r="E1047692" s="5"/>
      <c r="F1047692" s="5"/>
      <c r="G1047692" s="5"/>
      <c r="H1047692" s="5"/>
      <c r="I1047692" s="5"/>
      <c r="J1047692" s="58"/>
      <c r="K1047692" s="59"/>
      <c r="L1047692" s="59"/>
      <c r="M1047692" s="59"/>
      <c r="N1047692" s="59"/>
      <c r="AF1047692" s="60"/>
    </row>
    <row r="1047693" s="4" customFormat="1" spans="1:32">
      <c r="A1047693" s="5"/>
      <c r="B1047693" s="5"/>
      <c r="C1047693" s="5"/>
      <c r="D1047693" s="5"/>
      <c r="E1047693" s="5"/>
      <c r="F1047693" s="5"/>
      <c r="G1047693" s="5"/>
      <c r="H1047693" s="5"/>
      <c r="I1047693" s="5"/>
      <c r="J1047693" s="58"/>
      <c r="K1047693" s="59"/>
      <c r="L1047693" s="59"/>
      <c r="M1047693" s="59"/>
      <c r="N1047693" s="59"/>
      <c r="AF1047693" s="60"/>
    </row>
    <row r="1047694" s="4" customFormat="1" spans="1:32">
      <c r="A1047694" s="5"/>
      <c r="B1047694" s="5"/>
      <c r="C1047694" s="5"/>
      <c r="D1047694" s="5"/>
      <c r="E1047694" s="5"/>
      <c r="F1047694" s="5"/>
      <c r="G1047694" s="5"/>
      <c r="H1047694" s="5"/>
      <c r="I1047694" s="5"/>
      <c r="J1047694" s="58"/>
      <c r="K1047694" s="59"/>
      <c r="L1047694" s="59"/>
      <c r="M1047694" s="59"/>
      <c r="N1047694" s="59"/>
      <c r="AF1047694" s="60"/>
    </row>
    <row r="1047695" s="4" customFormat="1" spans="1:32">
      <c r="A1047695" s="5"/>
      <c r="B1047695" s="5"/>
      <c r="C1047695" s="5"/>
      <c r="D1047695" s="5"/>
      <c r="E1047695" s="5"/>
      <c r="F1047695" s="5"/>
      <c r="G1047695" s="5"/>
      <c r="H1047695" s="5"/>
      <c r="I1047695" s="5"/>
      <c r="J1047695" s="58"/>
      <c r="K1047695" s="59"/>
      <c r="L1047695" s="59"/>
      <c r="M1047695" s="59"/>
      <c r="N1047695" s="59"/>
      <c r="AF1047695" s="60"/>
    </row>
    <row r="1047696" s="4" customFormat="1" spans="1:32">
      <c r="A1047696" s="5"/>
      <c r="B1047696" s="5"/>
      <c r="C1047696" s="5"/>
      <c r="D1047696" s="5"/>
      <c r="E1047696" s="5"/>
      <c r="F1047696" s="5"/>
      <c r="G1047696" s="5"/>
      <c r="H1047696" s="5"/>
      <c r="I1047696" s="5"/>
      <c r="J1047696" s="58"/>
      <c r="K1047696" s="59"/>
      <c r="L1047696" s="59"/>
      <c r="M1047696" s="59"/>
      <c r="N1047696" s="59"/>
      <c r="AF1047696" s="60"/>
    </row>
    <row r="1047697" s="4" customFormat="1" spans="1:32">
      <c r="A1047697" s="5"/>
      <c r="B1047697" s="5"/>
      <c r="C1047697" s="5"/>
      <c r="D1047697" s="5"/>
      <c r="E1047697" s="5"/>
      <c r="F1047697" s="5"/>
      <c r="G1047697" s="5"/>
      <c r="H1047697" s="5"/>
      <c r="I1047697" s="5"/>
      <c r="J1047697" s="58"/>
      <c r="K1047697" s="59"/>
      <c r="L1047697" s="59"/>
      <c r="M1047697" s="59"/>
      <c r="N1047697" s="59"/>
      <c r="AF1047697" s="60"/>
    </row>
    <row r="1047698" s="4" customFormat="1" spans="1:32">
      <c r="A1047698" s="5"/>
      <c r="B1047698" s="5"/>
      <c r="C1047698" s="5"/>
      <c r="D1047698" s="5"/>
      <c r="E1047698" s="5"/>
      <c r="F1047698" s="5"/>
      <c r="G1047698" s="5"/>
      <c r="H1047698" s="5"/>
      <c r="I1047698" s="5"/>
      <c r="J1047698" s="58"/>
      <c r="K1047698" s="59"/>
      <c r="L1047698" s="59"/>
      <c r="M1047698" s="59"/>
      <c r="N1047698" s="59"/>
      <c r="AF1047698" s="60"/>
    </row>
    <row r="1047699" s="4" customFormat="1" spans="1:32">
      <c r="A1047699" s="5"/>
      <c r="B1047699" s="5"/>
      <c r="C1047699" s="5"/>
      <c r="D1047699" s="5"/>
      <c r="E1047699" s="5"/>
      <c r="F1047699" s="5"/>
      <c r="G1047699" s="5"/>
      <c r="H1047699" s="5"/>
      <c r="I1047699" s="5"/>
      <c r="J1047699" s="58"/>
      <c r="K1047699" s="59"/>
      <c r="L1047699" s="59"/>
      <c r="M1047699" s="59"/>
      <c r="N1047699" s="59"/>
      <c r="AF1047699" s="60"/>
    </row>
    <row r="1047700" s="4" customFormat="1" spans="1:32">
      <c r="A1047700" s="5"/>
      <c r="B1047700" s="5"/>
      <c r="C1047700" s="5"/>
      <c r="D1047700" s="5"/>
      <c r="E1047700" s="5"/>
      <c r="F1047700" s="5"/>
      <c r="G1047700" s="5"/>
      <c r="H1047700" s="5"/>
      <c r="I1047700" s="5"/>
      <c r="J1047700" s="58"/>
      <c r="K1047700" s="59"/>
      <c r="L1047700" s="59"/>
      <c r="M1047700" s="59"/>
      <c r="N1047700" s="59"/>
      <c r="AF1047700" s="60"/>
    </row>
    <row r="1047701" s="4" customFormat="1" spans="1:32">
      <c r="A1047701" s="5"/>
      <c r="B1047701" s="5"/>
      <c r="C1047701" s="5"/>
      <c r="D1047701" s="5"/>
      <c r="E1047701" s="5"/>
      <c r="F1047701" s="5"/>
      <c r="G1047701" s="5"/>
      <c r="H1047701" s="5"/>
      <c r="I1047701" s="5"/>
      <c r="J1047701" s="58"/>
      <c r="K1047701" s="59"/>
      <c r="L1047701" s="59"/>
      <c r="M1047701" s="59"/>
      <c r="N1047701" s="59"/>
      <c r="AF1047701" s="60"/>
    </row>
    <row r="1047702" s="4" customFormat="1" spans="1:32">
      <c r="A1047702" s="5"/>
      <c r="B1047702" s="5"/>
      <c r="C1047702" s="5"/>
      <c r="D1047702" s="5"/>
      <c r="E1047702" s="5"/>
      <c r="F1047702" s="5"/>
      <c r="G1047702" s="5"/>
      <c r="H1047702" s="5"/>
      <c r="I1047702" s="5"/>
      <c r="J1047702" s="58"/>
      <c r="K1047702" s="59"/>
      <c r="L1047702" s="59"/>
      <c r="M1047702" s="59"/>
      <c r="N1047702" s="59"/>
      <c r="AF1047702" s="60"/>
    </row>
    <row r="1047703" s="4" customFormat="1" spans="1:32">
      <c r="A1047703" s="5"/>
      <c r="B1047703" s="5"/>
      <c r="C1047703" s="5"/>
      <c r="D1047703" s="5"/>
      <c r="E1047703" s="5"/>
      <c r="F1047703" s="5"/>
      <c r="G1047703" s="5"/>
      <c r="H1047703" s="5"/>
      <c r="I1047703" s="5"/>
      <c r="J1047703" s="58"/>
      <c r="K1047703" s="59"/>
      <c r="L1047703" s="59"/>
      <c r="M1047703" s="59"/>
      <c r="N1047703" s="59"/>
      <c r="AF1047703" s="60"/>
    </row>
    <row r="1047704" s="4" customFormat="1" spans="1:32">
      <c r="A1047704" s="5"/>
      <c r="B1047704" s="5"/>
      <c r="C1047704" s="5"/>
      <c r="D1047704" s="5"/>
      <c r="E1047704" s="5"/>
      <c r="F1047704" s="5"/>
      <c r="G1047704" s="5"/>
      <c r="H1047704" s="5"/>
      <c r="I1047704" s="5"/>
      <c r="J1047704" s="58"/>
      <c r="K1047704" s="59"/>
      <c r="L1047704" s="59"/>
      <c r="M1047704" s="59"/>
      <c r="N1047704" s="59"/>
      <c r="AF1047704" s="60"/>
    </row>
    <row r="1047705" s="4" customFormat="1" spans="1:32">
      <c r="A1047705" s="5"/>
      <c r="B1047705" s="5"/>
      <c r="C1047705" s="5"/>
      <c r="D1047705" s="5"/>
      <c r="E1047705" s="5"/>
      <c r="F1047705" s="5"/>
      <c r="G1047705" s="5"/>
      <c r="H1047705" s="5"/>
      <c r="I1047705" s="5"/>
      <c r="J1047705" s="58"/>
      <c r="K1047705" s="59"/>
      <c r="L1047705" s="59"/>
      <c r="M1047705" s="59"/>
      <c r="N1047705" s="59"/>
      <c r="AF1047705" s="60"/>
    </row>
    <row r="1047706" s="4" customFormat="1" spans="1:32">
      <c r="A1047706" s="5"/>
      <c r="B1047706" s="5"/>
      <c r="C1047706" s="5"/>
      <c r="D1047706" s="5"/>
      <c r="E1047706" s="5"/>
      <c r="F1047706" s="5"/>
      <c r="G1047706" s="5"/>
      <c r="H1047706" s="5"/>
      <c r="I1047706" s="5"/>
      <c r="J1047706" s="58"/>
      <c r="K1047706" s="59"/>
      <c r="L1047706" s="59"/>
      <c r="M1047706" s="59"/>
      <c r="N1047706" s="59"/>
      <c r="AF1047706" s="60"/>
    </row>
    <row r="1047707" s="4" customFormat="1" spans="1:32">
      <c r="A1047707" s="5"/>
      <c r="B1047707" s="5"/>
      <c r="C1047707" s="5"/>
      <c r="D1047707" s="5"/>
      <c r="E1047707" s="5"/>
      <c r="F1047707" s="5"/>
      <c r="G1047707" s="5"/>
      <c r="H1047707" s="5"/>
      <c r="I1047707" s="5"/>
      <c r="J1047707" s="58"/>
      <c r="K1047707" s="59"/>
      <c r="L1047707" s="59"/>
      <c r="M1047707" s="59"/>
      <c r="N1047707" s="59"/>
      <c r="AF1047707" s="60"/>
    </row>
    <row r="1047708" s="4" customFormat="1" spans="1:32">
      <c r="A1047708" s="5"/>
      <c r="B1047708" s="5"/>
      <c r="C1047708" s="5"/>
      <c r="D1047708" s="5"/>
      <c r="E1047708" s="5"/>
      <c r="F1047708" s="5"/>
      <c r="G1047708" s="5"/>
      <c r="H1047708" s="5"/>
      <c r="I1047708" s="5"/>
      <c r="J1047708" s="58"/>
      <c r="K1047708" s="59"/>
      <c r="L1047708" s="59"/>
      <c r="M1047708" s="59"/>
      <c r="N1047708" s="59"/>
      <c r="AF1047708" s="60"/>
    </row>
    <row r="1047709" s="4" customFormat="1" spans="1:32">
      <c r="A1047709" s="5"/>
      <c r="B1047709" s="5"/>
      <c r="C1047709" s="5"/>
      <c r="D1047709" s="5"/>
      <c r="E1047709" s="5"/>
      <c r="F1047709" s="5"/>
      <c r="G1047709" s="5"/>
      <c r="H1047709" s="5"/>
      <c r="I1047709" s="5"/>
      <c r="J1047709" s="58"/>
      <c r="K1047709" s="59"/>
      <c r="L1047709" s="59"/>
      <c r="M1047709" s="59"/>
      <c r="N1047709" s="59"/>
      <c r="AF1047709" s="60"/>
    </row>
    <row r="1047710" s="4" customFormat="1" spans="1:32">
      <c r="A1047710" s="5"/>
      <c r="B1047710" s="5"/>
      <c r="C1047710" s="5"/>
      <c r="D1047710" s="5"/>
      <c r="E1047710" s="5"/>
      <c r="F1047710" s="5"/>
      <c r="G1047710" s="5"/>
      <c r="H1047710" s="5"/>
      <c r="I1047710" s="5"/>
      <c r="J1047710" s="58"/>
      <c r="K1047710" s="59"/>
      <c r="L1047710" s="59"/>
      <c r="M1047710" s="59"/>
      <c r="N1047710" s="59"/>
      <c r="AF1047710" s="60"/>
    </row>
    <row r="1047711" s="4" customFormat="1" spans="1:32">
      <c r="A1047711" s="5"/>
      <c r="B1047711" s="5"/>
      <c r="C1047711" s="5"/>
      <c r="D1047711" s="5"/>
      <c r="E1047711" s="5"/>
      <c r="F1047711" s="5"/>
      <c r="G1047711" s="5"/>
      <c r="H1047711" s="5"/>
      <c r="I1047711" s="5"/>
      <c r="J1047711" s="58"/>
      <c r="K1047711" s="59"/>
      <c r="L1047711" s="59"/>
      <c r="M1047711" s="59"/>
      <c r="N1047711" s="59"/>
      <c r="AF1047711" s="60"/>
    </row>
    <row r="1047712" s="4" customFormat="1" spans="1:32">
      <c r="A1047712" s="5"/>
      <c r="B1047712" s="5"/>
      <c r="C1047712" s="5"/>
      <c r="D1047712" s="5"/>
      <c r="E1047712" s="5"/>
      <c r="F1047712" s="5"/>
      <c r="G1047712" s="5"/>
      <c r="H1047712" s="5"/>
      <c r="I1047712" s="5"/>
      <c r="J1047712" s="58"/>
      <c r="K1047712" s="59"/>
      <c r="L1047712" s="59"/>
      <c r="M1047712" s="59"/>
      <c r="N1047712" s="59"/>
      <c r="AF1047712" s="60"/>
    </row>
    <row r="1047713" s="4" customFormat="1" spans="1:32">
      <c r="A1047713" s="5"/>
      <c r="B1047713" s="5"/>
      <c r="C1047713" s="5"/>
      <c r="D1047713" s="5"/>
      <c r="E1047713" s="5"/>
      <c r="F1047713" s="5"/>
      <c r="G1047713" s="5"/>
      <c r="H1047713" s="5"/>
      <c r="I1047713" s="5"/>
      <c r="J1047713" s="58"/>
      <c r="K1047713" s="59"/>
      <c r="L1047713" s="59"/>
      <c r="M1047713" s="59"/>
      <c r="N1047713" s="59"/>
      <c r="AF1047713" s="60"/>
    </row>
    <row r="1047714" s="4" customFormat="1" spans="1:32">
      <c r="A1047714" s="5"/>
      <c r="B1047714" s="5"/>
      <c r="C1047714" s="5"/>
      <c r="D1047714" s="5"/>
      <c r="E1047714" s="5"/>
      <c r="F1047714" s="5"/>
      <c r="G1047714" s="5"/>
      <c r="H1047714" s="5"/>
      <c r="I1047714" s="5"/>
      <c r="J1047714" s="58"/>
      <c r="K1047714" s="59"/>
      <c r="L1047714" s="59"/>
      <c r="M1047714" s="59"/>
      <c r="N1047714" s="59"/>
      <c r="AF1047714" s="60"/>
    </row>
    <row r="1047715" s="4" customFormat="1" spans="1:32">
      <c r="A1047715" s="5"/>
      <c r="B1047715" s="5"/>
      <c r="C1047715" s="5"/>
      <c r="D1047715" s="5"/>
      <c r="E1047715" s="5"/>
      <c r="F1047715" s="5"/>
      <c r="G1047715" s="5"/>
      <c r="H1047715" s="5"/>
      <c r="I1047715" s="5"/>
      <c r="J1047715" s="58"/>
      <c r="K1047715" s="59"/>
      <c r="L1047715" s="59"/>
      <c r="M1047715" s="59"/>
      <c r="N1047715" s="59"/>
      <c r="AF1047715" s="60"/>
    </row>
    <row r="1047716" s="4" customFormat="1" spans="1:32">
      <c r="A1047716" s="5"/>
      <c r="B1047716" s="5"/>
      <c r="C1047716" s="5"/>
      <c r="D1047716" s="5"/>
      <c r="E1047716" s="5"/>
      <c r="F1047716" s="5"/>
      <c r="G1047716" s="5"/>
      <c r="H1047716" s="5"/>
      <c r="I1047716" s="5"/>
      <c r="J1047716" s="58"/>
      <c r="K1047716" s="59"/>
      <c r="L1047716" s="59"/>
      <c r="M1047716" s="59"/>
      <c r="N1047716" s="59"/>
      <c r="AF1047716" s="60"/>
    </row>
  </sheetData>
  <autoFilter xmlns:etc="http://www.wps.cn/officeDocument/2017/etCustomData" ref="A1:AS83" etc:filterBottomFollowUsedRange="0">
    <extLst>
      <etc:autoFilterAnalysis etc:version="v1" etc:showPane="0">
        <etc:analysisCharts>
          <etc:chart etc:type="pie">
            <etc:category etc:colId="-1"/>
            <etc:seriesCollections etc:count="1">
              <etc:series etc:colId="38" etc:subtotal="sum"/>
            </etc:seriesCollections>
          </etc:chart>
          <etc:chart etc:type="pie">
            <etc:category etc:colId="-1"/>
            <etc:seriesCollections etc:count="1">
              <etc:series etc:colId="0" etc:subtotal="count"/>
            </etc:seriesCollections>
          </etc:chart>
          <etc:chart etc:type="pie">
            <etc:category etc:colId="-1"/>
            <etc:seriesCollections etc:count="1">
              <etc:series etc:colId="0" etc:subtotal="count"/>
            </etc:seriesCollections>
          </etc:chart>
        </etc:analysisCharts>
      </etc:autoFilterAnalysis>
    </extLst>
  </autoFilter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30" zoomScaleNormal="130" workbookViewId="0">
      <selection activeCell="G11" sqref="G11"/>
    </sheetView>
  </sheetViews>
  <sheetFormatPr defaultColWidth="8.88888888888889" defaultRowHeight="10.2"/>
  <cols>
    <col min="1" max="16384" width="8.88888888888889" style="1"/>
  </cols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568" workbookViewId="0">
      <selection activeCell="A568" sqref="$A1:$XFD1048576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BASE</vt:lpstr>
      <vt:lpstr>RESULTADO DIRETO</vt:lpstr>
      <vt:lpstr>FONTES</vt:lpstr>
      <vt:lpstr>RESULTADO REDESPACHO</vt:lpstr>
      <vt:lpstr>BASE DADOS</vt:lpstr>
      <vt:lpstr>CUSTO TRANSFERENCIA</vt:lpstr>
      <vt:lpstr>CUSTO NOVA</vt:lpstr>
      <vt:lpstr>RATEIO DE COLETAS</vt:lpstr>
      <vt:lpstr>RATEIO TRANSFERÊNCIA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Jessyca Elisa de Oliveira</dc:creator>
  <cp:lastModifiedBy>Marcelo Roberto - Ger. Fil. SP</cp:lastModifiedBy>
  <dcterms:created xsi:type="dcterms:W3CDTF">2023-06-14T17:54:00Z</dcterms:created>
  <dcterms:modified xsi:type="dcterms:W3CDTF">2026-09-27T03:42:30Z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3E481480236749ADB0B4A7F1B396D79D_13</vt:lpwstr>
  </property>
  <property fmtid="{D5CDD505-2E9C-101B-9397-08002B2CF9AE}" pid="3" name="KSOProductBuildVer">
    <vt:lpwstr>1046-12.1.0.28485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