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iagrams/colors1.xml" ContentType="application/vnd.openxmlformats-officedocument.drawingml.diagramColors+xml"/>
  <Override PartName="/xl/diagrams/data1.xml" ContentType="application/vnd.openxmlformats-officedocument.drawingml.diagramData+xml"/>
  <Override PartName="/xl/diagrams/drawing1.xml" ContentType="application/vnd.ms-office.drawingml.diagramDrawing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994" activeTab="6"/>
  </bookViews>
  <sheets>
    <sheet name="BASE" sheetId="1" r:id="rId1"/>
    <sheet name="RESULTADO DIRETO" sheetId="4" r:id="rId2"/>
    <sheet name="FONTES" sheetId="2" r:id="rId3"/>
    <sheet name="RESULTADO REDESPACHO" sheetId="5" r:id="rId4"/>
    <sheet name="BASE DADOS" sheetId="8" r:id="rId5"/>
    <sheet name="CUSTO TRANSFERENCIA" sheetId="7" r:id="rId6"/>
    <sheet name="CUSTO NOVA" sheetId="17" r:id="rId7"/>
    <sheet name="RATEIO DE COLETAS" sheetId="18" r:id="rId8"/>
    <sheet name="RATEIO TRANSFERÊNCIA" sheetId="19" r:id="rId9"/>
  </sheets>
  <definedNames>
    <definedName name="_xlnm._FilterDatabase" localSheetId="4" hidden="1">'BASE DADOS'!$A$1:$DB$212</definedName>
    <definedName name="_xlnm._FilterDatabase" localSheetId="6" hidden="1">'CUSTO NOVA'!$A$1:$AS$214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<sst xmlns="http://schemas.openxmlformats.org/spreadsheetml/2006/main" count="11517" uniqueCount="1566">
  <si>
    <t>CLIENTE:</t>
  </si>
  <si>
    <t>Central do Frete</t>
  </si>
  <si>
    <t>CNPJ:</t>
  </si>
  <si>
    <t>05855974000170 </t>
  </si>
  <si>
    <t>LOCAL REMETENTE:</t>
  </si>
  <si>
    <t>São Paulo</t>
  </si>
  <si>
    <t>TIPO DE FRETE:</t>
  </si>
  <si>
    <t>CIF</t>
  </si>
  <si>
    <t>COMPETENCIA</t>
  </si>
  <si>
    <t>TOTAL GERAL</t>
  </si>
  <si>
    <t>CUSTOS</t>
  </si>
  <si>
    <t>PESO 2024</t>
  </si>
  <si>
    <t>FRETE</t>
  </si>
  <si>
    <t>Desp. Operacional</t>
  </si>
  <si>
    <t>DESPESA ADMINISTRATIVA 2024</t>
  </si>
  <si>
    <t>VALOR</t>
  </si>
  <si>
    <t>Custo Operacional</t>
  </si>
  <si>
    <t>Carga e Descarga</t>
  </si>
  <si>
    <t>RATEIO</t>
  </si>
  <si>
    <t>Receita por kg</t>
  </si>
  <si>
    <t>Focal (agendamento)</t>
  </si>
  <si>
    <t>Motorista</t>
  </si>
  <si>
    <t>Tem Subst.Trib.?</t>
  </si>
  <si>
    <t>Seguro Acidente (0,014%) com iof</t>
  </si>
  <si>
    <t>TOTAL</t>
  </si>
  <si>
    <t xml:space="preserve">FATURAMENTO </t>
  </si>
  <si>
    <t>Aliq.</t>
  </si>
  <si>
    <t>Seguro Roubo (0,014%) com iof</t>
  </si>
  <si>
    <t>Desp. Frota</t>
  </si>
  <si>
    <t xml:space="preserve">Avarias S/ </t>
  </si>
  <si>
    <t>Custo Indenizações</t>
  </si>
  <si>
    <t>Diárias</t>
  </si>
  <si>
    <t>IMPOSTOS</t>
  </si>
  <si>
    <t>Custo Ajudantes extras/entregas</t>
  </si>
  <si>
    <t>Lavação</t>
  </si>
  <si>
    <t>TRIBUTO</t>
  </si>
  <si>
    <t>ALÍQUOTA</t>
  </si>
  <si>
    <t>Comissão Comercial/Freelancer</t>
  </si>
  <si>
    <t>Sinistro</t>
  </si>
  <si>
    <t>ICMS</t>
  </si>
  <si>
    <t>RATEIO DESP. ADMINIST./apoio op</t>
  </si>
  <si>
    <t>Reboque</t>
  </si>
  <si>
    <t>INSS DESON. 1,2</t>
  </si>
  <si>
    <t>RATEIO DESP. CLT operacional</t>
  </si>
  <si>
    <t>Gerenciamento de Risco</t>
  </si>
  <si>
    <t>ISS</t>
  </si>
  <si>
    <t>TOTAL CUSTOS</t>
  </si>
  <si>
    <t>PIS</t>
  </si>
  <si>
    <t>COFINS</t>
  </si>
  <si>
    <t>APURAÇÃO DO RESULTADO</t>
  </si>
  <si>
    <t>IRPJ</t>
  </si>
  <si>
    <t>VALOR BRUTO</t>
  </si>
  <si>
    <t>CSLL</t>
  </si>
  <si>
    <t>( - ) IMPOSTOS</t>
  </si>
  <si>
    <t>TOTAL TRIBITOS</t>
  </si>
  <si>
    <t>( - ) CUSTOS</t>
  </si>
  <si>
    <t>VALOR RECEITA LIQUIDA:</t>
  </si>
  <si>
    <t>Despesa Adminstrativa</t>
  </si>
  <si>
    <t>VALOR LIQUIDO</t>
  </si>
  <si>
    <t>Boletos</t>
  </si>
  <si>
    <t>INFORMAÇÕES EXTRAS</t>
  </si>
  <si>
    <t>%</t>
  </si>
  <si>
    <t>Target</t>
  </si>
  <si>
    <t>Tonelada</t>
  </si>
  <si>
    <t>Multa Processo RJ</t>
  </si>
  <si>
    <t>Valor de NF</t>
  </si>
  <si>
    <t>QTD CTRC</t>
  </si>
  <si>
    <t>Manutenções/Instalações Predial/Balanço Patrimonial</t>
  </si>
  <si>
    <t>Redespacho</t>
  </si>
  <si>
    <t>Bases</t>
  </si>
  <si>
    <t>Redespachos</t>
  </si>
  <si>
    <t>Fat. cte Redespacho</t>
  </si>
  <si>
    <t>Excluído por estar inclusa no Rateio Desp. ADM/OP</t>
  </si>
  <si>
    <t>TOTAL CTRC</t>
  </si>
  <si>
    <t xml:space="preserve"> IMPOSTOS</t>
  </si>
  <si>
    <t>TONELADA</t>
  </si>
  <si>
    <t>REDESPACHO</t>
  </si>
  <si>
    <t>VALOR MERCADORIA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</si>
  <si>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</si>
  <si>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</si>
  <si>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</si>
  <si>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</si>
  <si>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</si>
  <si>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</si>
  <si>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</si>
  <si>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</si>
  <si>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</si>
  <si>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 Geral</t>
  </si>
  <si>
    <t>Serie/Numero CTRC</t>
  </si>
  <si>
    <t>Tipo do Documento</t>
  </si>
  <si>
    <t>Praca Expedidora</t>
  </si>
  <si>
    <t>Unidade Emissora</t>
  </si>
  <si>
    <t>Data de Emissao</t>
  </si>
  <si>
    <t>Placa de Coleta</t>
  </si>
  <si>
    <t>Chave CT-e</t>
  </si>
  <si>
    <t>CNPJ Remetente</t>
  </si>
  <si>
    <t>Cliente Remetente</t>
  </si>
  <si>
    <t>Endereco do Remetente</t>
  </si>
  <si>
    <t>Bairro do Remetente</t>
  </si>
  <si>
    <t>Setor de Coleta</t>
  </si>
  <si>
    <t>Cidade do Remetente</t>
  </si>
  <si>
    <t>UF do Remetente</t>
  </si>
  <si>
    <t>CEP do Remetente</t>
  </si>
  <si>
    <t>CNPJ Expedidor</t>
  </si>
  <si>
    <t>Cliente Expedidor</t>
  </si>
  <si>
    <t>Cidade do Expedidor</t>
  </si>
  <si>
    <t>UF do Expedidor</t>
  </si>
  <si>
    <t>CNPJ Pagador</t>
  </si>
  <si>
    <t>Cliente Pagador</t>
  </si>
  <si>
    <t>Endereco do Pagador</t>
  </si>
  <si>
    <t>Bairro do Pagador</t>
  </si>
  <si>
    <t>Cidade do Pagador</t>
  </si>
  <si>
    <t>UF do Pagador</t>
  </si>
  <si>
    <t>Fone do Pagador</t>
  </si>
  <si>
    <t>Segmento do Pagador</t>
  </si>
  <si>
    <t>CNPJ Destinatario</t>
  </si>
  <si>
    <t>Cliente Destinatario</t>
  </si>
  <si>
    <t>Setor de Destino</t>
  </si>
  <si>
    <t>Praca de Destino</t>
  </si>
  <si>
    <t>Cidade do Destinatario</t>
  </si>
  <si>
    <t>UF do Destinatario</t>
  </si>
  <si>
    <t>CNPJ Recebedor</t>
  </si>
  <si>
    <t>Cliente Recebedor</t>
  </si>
  <si>
    <t>Cidade de Entrega</t>
  </si>
  <si>
    <t>UF de Entrega</t>
  </si>
  <si>
    <t>Unidade Receptora</t>
  </si>
  <si>
    <t>Numero da Nota Fiscal</t>
  </si>
  <si>
    <t>Peso Real em Kg</t>
  </si>
  <si>
    <t>Cubagem em m3</t>
  </si>
  <si>
    <t>Quantidade de Volumes</t>
  </si>
  <si>
    <t>Quantidade de Pares</t>
  </si>
  <si>
    <t>Tipo do Frete</t>
  </si>
  <si>
    <t>Tipo de Baixa</t>
  </si>
  <si>
    <t>Data da Liquidacao</t>
  </si>
  <si>
    <t>Valor Liquidado</t>
  </si>
  <si>
    <t>Mercadoria</t>
  </si>
  <si>
    <t>Especie</t>
  </si>
  <si>
    <t>Valor da Mercadoria</t>
  </si>
  <si>
    <t>Tipo de Calculo</t>
  </si>
  <si>
    <t>Tabela de Calculo</t>
  </si>
  <si>
    <t>Valor do Frete</t>
  </si>
  <si>
    <t>Valor do Frete sem ICMS</t>
  </si>
  <si>
    <t>Base Calculo ICMS/ISS</t>
  </si>
  <si>
    <t>Valor do ICMS</t>
  </si>
  <si>
    <t>Aliquota</t>
  </si>
  <si>
    <t>Valor do ISS</t>
  </si>
  <si>
    <t>Peso Calculado em Kg</t>
  </si>
  <si>
    <t>Frete Peso</t>
  </si>
  <si>
    <t>Frete Valor</t>
  </si>
  <si>
    <t>Despacho</t>
  </si>
  <si>
    <t>CAT</t>
  </si>
  <si>
    <t>ITR</t>
  </si>
  <si>
    <t>GRIS</t>
  </si>
  <si>
    <t>Pedagio</t>
  </si>
  <si>
    <t>TAS</t>
  </si>
  <si>
    <t>TDA</t>
  </si>
  <si>
    <t>Suframa</t>
  </si>
  <si>
    <t>Dev Canhoto NF</t>
  </si>
  <si>
    <t>Reembolso</t>
  </si>
  <si>
    <t>Outros</t>
  </si>
  <si>
    <t>Coleta</t>
  </si>
  <si>
    <t>TDC</t>
  </si>
  <si>
    <t>TDE</t>
  </si>
  <si>
    <t>TAR</t>
  </si>
  <si>
    <t>TRT</t>
  </si>
  <si>
    <t>POS</t>
  </si>
  <si>
    <t>Praca Comercial Origem</t>
  </si>
  <si>
    <t>Praca Comercial Destino</t>
  </si>
  <si>
    <t>Frete NTC</t>
  </si>
  <si>
    <t>Frete Entrega</t>
  </si>
  <si>
    <t>Separacao</t>
  </si>
  <si>
    <t>Capatazia</t>
  </si>
  <si>
    <t>Veiculo Dedicado</t>
  </si>
  <si>
    <t>Paletizacao</t>
  </si>
  <si>
    <t>CO2</t>
  </si>
  <si>
    <t>RDC</t>
  </si>
  <si>
    <t>CTRC Origem</t>
  </si>
  <si>
    <t>CTe Origem</t>
  </si>
  <si>
    <t>Valor do Frete do CTRC Origem</t>
  </si>
  <si>
    <t>TDC CTRC Origem</t>
  </si>
  <si>
    <t>TDE CTRC Origem</t>
  </si>
  <si>
    <t>TAR CTRC Origem</t>
  </si>
  <si>
    <t>TRT CTRC Origem</t>
  </si>
  <si>
    <t>TDA CTRC Origem</t>
  </si>
  <si>
    <t>Valor do ICMS origem</t>
  </si>
  <si>
    <t>Valor da Comissao de Expedicao</t>
  </si>
  <si>
    <t>Rel de Comissao de Expedicao</t>
  </si>
  <si>
    <t>Valor da Comissao Exp Creditada</t>
  </si>
  <si>
    <t>Fatura do Subcon Exp Conferida Opcao 607</t>
  </si>
  <si>
    <t>Valor da Comissao de Recepcao</t>
  </si>
  <si>
    <t>Rel de Comissao de Recepcao</t>
  </si>
  <si>
    <t>Valor da Comissao Rec Creditada</t>
  </si>
  <si>
    <t>Fatura do Subcon Rec Conferida Opcao 607</t>
  </si>
  <si>
    <t>Adicional de Frete</t>
  </si>
  <si>
    <t>ABC Pagador</t>
  </si>
  <si>
    <t>UF origem da prestacao</t>
  </si>
  <si>
    <t>Cidade origem da prestacao</t>
  </si>
  <si>
    <t>IE cliente remetente</t>
  </si>
  <si>
    <t>Fone Remetente</t>
  </si>
  <si>
    <t>Agendamento</t>
  </si>
  <si>
    <t>Unidade Responsavel Pagador</t>
  </si>
  <si>
    <t>Imposto Repassado</t>
  </si>
  <si>
    <t>BHZ267694-0</t>
  </si>
  <si>
    <t>NORMAL</t>
  </si>
  <si>
    <t>BHZP</t>
  </si>
  <si>
    <t>BHZ</t>
  </si>
  <si>
    <t>DJB4058</t>
  </si>
  <si>
    <t>31260803098929000355570010003892621003772782 </t>
  </si>
  <si>
    <t>21260419000152 </t>
  </si>
  <si>
    <t>ESFERA ESTAMPARIA DE FERRO E A</t>
  </si>
  <si>
    <t>RODOVIA MG 431 S/N KM 45,177</t>
  </si>
  <si>
    <t>SANTA MONICA</t>
  </si>
  <si>
    <t>001</t>
  </si>
  <si>
    <t>ITAUNA</t>
  </si>
  <si>
    <t>MG</t>
  </si>
  <si>
    <t xml:space="preserve"> 35681-247</t>
  </si>
  <si>
    <t>05094003000155 </t>
  </si>
  <si>
    <t>COLSON DO BRASIL LTDA</t>
  </si>
  <si>
    <t xml:space="preserve">RUA DAS PALMEIRAS 350 </t>
  </si>
  <si>
    <t>CAPELA VELHA</t>
  </si>
  <si>
    <t>ARAUCARIA</t>
  </si>
  <si>
    <t>PR</t>
  </si>
  <si>
    <t>(41  ) 38887555</t>
  </si>
  <si>
    <t xml:space="preserve">  </t>
  </si>
  <si>
    <t>002 SETOR I- FROTA</t>
  </si>
  <si>
    <t>CTBP</t>
  </si>
  <si>
    <t>CTB</t>
  </si>
  <si>
    <t>000147931</t>
  </si>
  <si>
    <t>FP</t>
  </si>
  <si>
    <t>LIQUIDADO</t>
  </si>
  <si>
    <t xml:space="preserve">  001-DIVERSOS</t>
  </si>
  <si>
    <t xml:space="preserve">  054-PNEUS E CAMARAS DE AR</t>
  </si>
  <si>
    <t>COMBINADA</t>
  </si>
  <si>
    <t>CO3365294</t>
  </si>
  <si>
    <t>RWNI</t>
  </si>
  <si>
    <t>MAPA: 162</t>
  </si>
  <si>
    <t>A.</t>
  </si>
  <si>
    <t>3380715350028</t>
  </si>
  <si>
    <t>(37  ) 32494800</t>
  </si>
  <si>
    <t>CTB070615-9</t>
  </si>
  <si>
    <t>DQB8989</t>
  </si>
  <si>
    <t>41260803098929000606570010000715071003657121 </t>
  </si>
  <si>
    <t>002</t>
  </si>
  <si>
    <t xml:space="preserve"> 83705-500</t>
  </si>
  <si>
    <t>23476033000884 </t>
  </si>
  <si>
    <t>BMB MATERIAL DE CONSTRUCAO S.A.</t>
  </si>
  <si>
    <t>RIO RIO DE JANEIRO</t>
  </si>
  <si>
    <t>RJOP</t>
  </si>
  <si>
    <t>RIO DE JANEIRO</t>
  </si>
  <si>
    <t>RJ</t>
  </si>
  <si>
    <t>RJO</t>
  </si>
  <si>
    <t>000188725</t>
  </si>
  <si>
    <t>CP</t>
  </si>
  <si>
    <t>CO3365267</t>
  </si>
  <si>
    <t>MAPA: 161</t>
  </si>
  <si>
    <t>CTB070616-7</t>
  </si>
  <si>
    <t>41260803098929000606570010000715081003657137 </t>
  </si>
  <si>
    <t>23476033000701 </t>
  </si>
  <si>
    <t>BMB MATERIAL DE CONSTRUCAO S.A</t>
  </si>
  <si>
    <t>SGN SAO GONACALO</t>
  </si>
  <si>
    <t>SAO GONCALO</t>
  </si>
  <si>
    <t>000188531</t>
  </si>
  <si>
    <t>CTB070617-5</t>
  </si>
  <si>
    <t>41260803098929000606570010000715101003657151 </t>
  </si>
  <si>
    <t>25197980000195 </t>
  </si>
  <si>
    <t>TRIUNFO SERVICOS PARA CONSTRUCAO CI</t>
  </si>
  <si>
    <t>000188697</t>
  </si>
  <si>
    <t>CTB070618-3</t>
  </si>
  <si>
    <t>41260803098929000606570010000715121003657172 </t>
  </si>
  <si>
    <t>41675052000226 </t>
  </si>
  <si>
    <t>NOVA VIANA ALUGUEL DE EQUIPAMENTOS LTDA</t>
  </si>
  <si>
    <t>EPSI</t>
  </si>
  <si>
    <t>VENDA NOVA DO IMIGRANTE</t>
  </si>
  <si>
    <t>ES</t>
  </si>
  <si>
    <t>EPS</t>
  </si>
  <si>
    <t>000188765</t>
  </si>
  <si>
    <t>CO3365268</t>
  </si>
  <si>
    <t>EPSP</t>
  </si>
  <si>
    <t>FATURA:    55156</t>
  </si>
  <si>
    <t>055156</t>
  </si>
  <si>
    <t>CTB070619-1</t>
  </si>
  <si>
    <t>41260803098929000606570010000715161003657210 </t>
  </si>
  <si>
    <t>08696745000149 </t>
  </si>
  <si>
    <t>JP COMERCIO DE FERRAGENS PARA MOVEIS LTDA</t>
  </si>
  <si>
    <t>TAMR</t>
  </si>
  <si>
    <t>UBA</t>
  </si>
  <si>
    <t>TAM</t>
  </si>
  <si>
    <t>000188760</t>
  </si>
  <si>
    <t>CO3365280</t>
  </si>
  <si>
    <t>MAPA: 0</t>
  </si>
  <si>
    <t>CTB070620-5</t>
  </si>
  <si>
    <t>41260803098929000606570010000715181003657230 </t>
  </si>
  <si>
    <t>55171639000121 </t>
  </si>
  <si>
    <t>TS LASER LOCACAO DE EQUIPAMENTOS LT</t>
  </si>
  <si>
    <t>06  ZONA SUL</t>
  </si>
  <si>
    <t>SPOP</t>
  </si>
  <si>
    <t>SAO PAULO</t>
  </si>
  <si>
    <t>SP</t>
  </si>
  <si>
    <t>SPO</t>
  </si>
  <si>
    <t>000188767</t>
  </si>
  <si>
    <t>CO3365274</t>
  </si>
  <si>
    <t>CTB070621-3</t>
  </si>
  <si>
    <t>41260803098929000606570010000715091003657142 </t>
  </si>
  <si>
    <t>04956134000131 </t>
  </si>
  <si>
    <t>RODAS E RODIZIOS LTDA</t>
  </si>
  <si>
    <t>005 CONTAGEM</t>
  </si>
  <si>
    <t>CONTAGEM</t>
  </si>
  <si>
    <t>000188705</t>
  </si>
  <si>
    <t>CO3365271</t>
  </si>
  <si>
    <t>CTB070622-1</t>
  </si>
  <si>
    <t>41260803098929000606570010000715201003657255 </t>
  </si>
  <si>
    <t>23476033001260 </t>
  </si>
  <si>
    <t>09  GR2</t>
  </si>
  <si>
    <t>SUZANO</t>
  </si>
  <si>
    <t>000187858</t>
  </si>
  <si>
    <t>CTB070623-0</t>
  </si>
  <si>
    <t>41260803098929000606570010000715111003657167 </t>
  </si>
  <si>
    <t>23476033001856 </t>
  </si>
  <si>
    <t>BMB MATERIAL DE CONSTRUCAO S.A. 0018-56</t>
  </si>
  <si>
    <t>CAX DUQUE DE CAXIAS</t>
  </si>
  <si>
    <t>DUQUE DE CAXIAS</t>
  </si>
  <si>
    <t>000188526</t>
  </si>
  <si>
    <t>CTB070708-2</t>
  </si>
  <si>
    <t>41260803098929000606570010000716041003663389 </t>
  </si>
  <si>
    <t>10918072000176 </t>
  </si>
  <si>
    <t>LUZ MAR MADEIRAS LTDA 12007391</t>
  </si>
  <si>
    <t>000188840</t>
  </si>
  <si>
    <t>CTB070709-1</t>
  </si>
  <si>
    <t>41260803098929000606570010000716051003663408 </t>
  </si>
  <si>
    <t>66294976000122 </t>
  </si>
  <si>
    <t>JD COM DE DERIVADOS DE BORRACH</t>
  </si>
  <si>
    <t>TRUP</t>
  </si>
  <si>
    <t>UBERLANDIA</t>
  </si>
  <si>
    <t>TRU</t>
  </si>
  <si>
    <t>000188806</t>
  </si>
  <si>
    <t>CO3365284</t>
  </si>
  <si>
    <t>PANI</t>
  </si>
  <si>
    <t>FATURA:   232309</t>
  </si>
  <si>
    <t>CTB070710-4</t>
  </si>
  <si>
    <t>41260803098929000606570010000716061003663421 </t>
  </si>
  <si>
    <t>22860350000160 </t>
  </si>
  <si>
    <t>LEONILDO DA CRUZ SANTANA 11590235657</t>
  </si>
  <si>
    <t>VEAI</t>
  </si>
  <si>
    <t>RIO PARDO DE MINAS</t>
  </si>
  <si>
    <t>VEA</t>
  </si>
  <si>
    <t>000188808</t>
  </si>
  <si>
    <t>CO3365293</t>
  </si>
  <si>
    <t>RMCP</t>
  </si>
  <si>
    <t>CTB070711-2</t>
  </si>
  <si>
    <t>41260803098929000606570010000716071003663445 </t>
  </si>
  <si>
    <t>03047584000149 </t>
  </si>
  <si>
    <t>IMPERIO DOS ROLAMENTOS E PECAS</t>
  </si>
  <si>
    <t>MVGP</t>
  </si>
  <si>
    <t>PETROPOLIS</t>
  </si>
  <si>
    <t>MVG</t>
  </si>
  <si>
    <t>000188845</t>
  </si>
  <si>
    <t>CO3365270</t>
  </si>
  <si>
    <t>ITAI</t>
  </si>
  <si>
    <t>FATURA:    17774</t>
  </si>
  <si>
    <t>017774</t>
  </si>
  <si>
    <t>CTB070712-1</t>
  </si>
  <si>
    <t>41260803098929000606570010000716081003663469 </t>
  </si>
  <si>
    <t>08949409000160 </t>
  </si>
  <si>
    <t>CONCERPLAN COMERCIO DE ALIMENTOS EI</t>
  </si>
  <si>
    <t>PSPP</t>
  </si>
  <si>
    <t>INDAIATUBA</t>
  </si>
  <si>
    <t>PSP</t>
  </si>
  <si>
    <t>000188788</t>
  </si>
  <si>
    <t>CO3365266</t>
  </si>
  <si>
    <t>SPOR</t>
  </si>
  <si>
    <t>CTB070713-9</t>
  </si>
  <si>
    <t>41260803098929000606570010000716091003663474 </t>
  </si>
  <si>
    <t>01093975000174 </t>
  </si>
  <si>
    <t>OMNITEK TECNOLOGIA LTDA.</t>
  </si>
  <si>
    <t>07  ZONA OESTE</t>
  </si>
  <si>
    <t>000188778</t>
  </si>
  <si>
    <t>CTB070714-7</t>
  </si>
  <si>
    <t>41260803098929000606570010000716101003663491 </t>
  </si>
  <si>
    <t>31555733000116 </t>
  </si>
  <si>
    <t>SARGENTO FERRAGENS LTDA</t>
  </si>
  <si>
    <t>000188799</t>
  </si>
  <si>
    <t>CTB070715-5</t>
  </si>
  <si>
    <t>41260803098929000606570010000716111003663510 </t>
  </si>
  <si>
    <t>00373798000117 </t>
  </si>
  <si>
    <t>OPCAO PARAFUSOS E FERRAMENTAS LTDA - EPP</t>
  </si>
  <si>
    <t>SAO MATEUS</t>
  </si>
  <si>
    <t>000188844</t>
  </si>
  <si>
    <t>FATURA:    55181</t>
  </si>
  <si>
    <t>055181</t>
  </si>
  <si>
    <t>CTB070716-3</t>
  </si>
  <si>
    <t>41260803098929000606570010000716121003663534 </t>
  </si>
  <si>
    <t>23476033000531 </t>
  </si>
  <si>
    <t>000188726</t>
  </si>
  <si>
    <t>CTB070717-1</t>
  </si>
  <si>
    <t>41260803098929000606570010000716131003663540 </t>
  </si>
  <si>
    <t>09552066000169 </t>
  </si>
  <si>
    <t>PIN PINHEIROS COMERCIO DE UTEN</t>
  </si>
  <si>
    <t>02  ZONA NORTE</t>
  </si>
  <si>
    <t>000188793</t>
  </si>
  <si>
    <t>CTB070718-0</t>
  </si>
  <si>
    <t>41260803098929000606570010000716141003663555 </t>
  </si>
  <si>
    <t>05586184000137 </t>
  </si>
  <si>
    <t>FALCARE EQUIPAMENTOS INDUSTRIAIS LTDA</t>
  </si>
  <si>
    <t>11  ABCD</t>
  </si>
  <si>
    <t>SAO CAETANO DO SUL</t>
  </si>
  <si>
    <t>000188795</t>
  </si>
  <si>
    <t>CTB070719-8</t>
  </si>
  <si>
    <t>41260803098929000606570010000716151003663560 </t>
  </si>
  <si>
    <t>48960632000123 </t>
  </si>
  <si>
    <t>VARGEM PEQUENA ALUGUEL DE EQUIPAMEN</t>
  </si>
  <si>
    <t>000188774</t>
  </si>
  <si>
    <t>CTB070760-1</t>
  </si>
  <si>
    <t>COMPLEMENTAR FRETE</t>
  </si>
  <si>
    <t>AZS7C31</t>
  </si>
  <si>
    <t>41260803098929000606570010000716561003667992 </t>
  </si>
  <si>
    <t>23476033002909 </t>
  </si>
  <si>
    <t>BMB MATERIAL DE CONSTRUCAO SA</t>
  </si>
  <si>
    <t>05  ZONA LESTE</t>
  </si>
  <si>
    <t>000187693</t>
  </si>
  <si>
    <t>COMPLEMENTAR DE FRETE</t>
  </si>
  <si>
    <t>CTB070815-1</t>
  </si>
  <si>
    <t>BFE7A89</t>
  </si>
  <si>
    <t>41260803098929000606570010000717111003674151 </t>
  </si>
  <si>
    <t>43011160000149 </t>
  </si>
  <si>
    <t>ADELMO SILVA SANTOS EQUIPAMENTOS</t>
  </si>
  <si>
    <t>DIADEMA</t>
  </si>
  <si>
    <t>000188960</t>
  </si>
  <si>
    <t>CTB070816-0</t>
  </si>
  <si>
    <t>41260803098929000606570010000717121003674167 </t>
  </si>
  <si>
    <t>18712769000106 </t>
  </si>
  <si>
    <t>MANHUACU LOCACAO DE EQUIP LTDA</t>
  </si>
  <si>
    <t>GVRP</t>
  </si>
  <si>
    <t>MANHUACU</t>
  </si>
  <si>
    <t>GVR</t>
  </si>
  <si>
    <t>000188916</t>
  </si>
  <si>
    <t>FATURA:    12222</t>
  </si>
  <si>
    <t>012222</t>
  </si>
  <si>
    <t>CTB070817-8</t>
  </si>
  <si>
    <t>41260803098929000606570010000717131003674172 </t>
  </si>
  <si>
    <t>23151087000284 </t>
  </si>
  <si>
    <t>CELIO GROSSI FERRGS LTDA</t>
  </si>
  <si>
    <t>VICOSA</t>
  </si>
  <si>
    <t>000188859</t>
  </si>
  <si>
    <t>FATURA:    21534</t>
  </si>
  <si>
    <t>021534</t>
  </si>
  <si>
    <t>CTB070818-6</t>
  </si>
  <si>
    <t>41260803098929000606570010000717141003674188 </t>
  </si>
  <si>
    <t>11601412000101 </t>
  </si>
  <si>
    <t>BAZAR E ARMARINHO TRES IRMAOS LTDA ME</t>
  </si>
  <si>
    <t>000188855</t>
  </si>
  <si>
    <t>CTB070819-4</t>
  </si>
  <si>
    <t>41260803098929000606570010000717151003674193 </t>
  </si>
  <si>
    <t>21020745000192 </t>
  </si>
  <si>
    <t>SUAVIDA EPIS EIRELI 950019</t>
  </si>
  <si>
    <t>000188815</t>
  </si>
  <si>
    <t>CTB070820-8</t>
  </si>
  <si>
    <t>41260803098929000606570010000717161003674204 </t>
  </si>
  <si>
    <t>16691059000103 </t>
  </si>
  <si>
    <t>FAMART DISTRIBUIDORA DE FERRAGENS LTDA</t>
  </si>
  <si>
    <t>000188909</t>
  </si>
  <si>
    <t>CTB070821-6</t>
  </si>
  <si>
    <t>41260803098929000606570010000717171003674210 </t>
  </si>
  <si>
    <t>15096516000159 </t>
  </si>
  <si>
    <t>MOUTINHO REIS SUPORTE EM EQUIPAMENT</t>
  </si>
  <si>
    <t>10  BARUERI</t>
  </si>
  <si>
    <t>BARUERI</t>
  </si>
  <si>
    <t>000188923</t>
  </si>
  <si>
    <t>CTB070822-4</t>
  </si>
  <si>
    <t>41260803098929000606570010000717181003674225 </t>
  </si>
  <si>
    <t>30999394000102 </t>
  </si>
  <si>
    <t>TECNO PRO PARAFUSOS E FERRAMEN</t>
  </si>
  <si>
    <t>LAGOA SANTA</t>
  </si>
  <si>
    <t>000188913</t>
  </si>
  <si>
    <t>CTB070823-2</t>
  </si>
  <si>
    <t>41260803098929000606570010000717191003674230 </t>
  </si>
  <si>
    <t>18565489000104 </t>
  </si>
  <si>
    <t>BARROS E BEIRAL ATACADO E VAREJO LTDA</t>
  </si>
  <si>
    <t>RCGR</t>
  </si>
  <si>
    <t>SAO FRANCISCO DE ITABAPOANA</t>
  </si>
  <si>
    <t>RCG</t>
  </si>
  <si>
    <t>000188919</t>
  </si>
  <si>
    <t>FATURA:    12167</t>
  </si>
  <si>
    <t>012167</t>
  </si>
  <si>
    <t>CTB070824-1</t>
  </si>
  <si>
    <t>41260803098929000606570010000717201003674240 </t>
  </si>
  <si>
    <t>27951336000196 </t>
  </si>
  <si>
    <t>J.M.F COMERCIAL EIRELI</t>
  </si>
  <si>
    <t>TAMP</t>
  </si>
  <si>
    <t>JUIZ DE FORA</t>
  </si>
  <si>
    <t>000188945</t>
  </si>
  <si>
    <t>CO3365281</t>
  </si>
  <si>
    <t>TAMI</t>
  </si>
  <si>
    <t>CTB070847-0</t>
  </si>
  <si>
    <t>41260803098929000606570010000717431003680635 </t>
  </si>
  <si>
    <t>11927842000100 </t>
  </si>
  <si>
    <t>TIAGO DE BROI EIRELI</t>
  </si>
  <si>
    <t>17  INTERIOR CPS</t>
  </si>
  <si>
    <t>JUNDIAI</t>
  </si>
  <si>
    <t>000189034</t>
  </si>
  <si>
    <t>CTB070848-8</t>
  </si>
  <si>
    <t>41260803098929000606570010000717441003680640 </t>
  </si>
  <si>
    <t>18358316000115 </t>
  </si>
  <si>
    <t>DX FIT PISO ARTIGOS ESPORTIVOS</t>
  </si>
  <si>
    <t>08  ZONA SUDOESTE</t>
  </si>
  <si>
    <t>TABOAO DA SERRA</t>
  </si>
  <si>
    <t>000189043</t>
  </si>
  <si>
    <t>CTB070849-6</t>
  </si>
  <si>
    <t>41260803098929000606570010000717451003680656 </t>
  </si>
  <si>
    <t>23476033001694 </t>
  </si>
  <si>
    <t>BMB MATERIAL DE CONSTRUCAO S.A. 0016-94</t>
  </si>
  <si>
    <t>CARIACICA</t>
  </si>
  <si>
    <t>000188977</t>
  </si>
  <si>
    <t>FATURA:    55301</t>
  </si>
  <si>
    <t>055301</t>
  </si>
  <si>
    <t>CTB070850-0</t>
  </si>
  <si>
    <t>41260803098929000606570010000717461003680661 </t>
  </si>
  <si>
    <t>26393341000168 </t>
  </si>
  <si>
    <t>COSAMA COMERCIO DE FERRAGENS E FERR</t>
  </si>
  <si>
    <t>000188979</t>
  </si>
  <si>
    <t>CTB070851-8</t>
  </si>
  <si>
    <t>41260803098929000606570010000717471003680677 </t>
  </si>
  <si>
    <t>04098996000170 </t>
  </si>
  <si>
    <t>ART VIVA COMUNICACAO VISUAL LTDA</t>
  </si>
  <si>
    <t>000188958</t>
  </si>
  <si>
    <t>CTB070852-6</t>
  </si>
  <si>
    <t>41260803098929000606570010000717481003680682 </t>
  </si>
  <si>
    <t>50971691000149 </t>
  </si>
  <si>
    <t>RH MAQUINAS E EQUIPAMENTOS LTDA</t>
  </si>
  <si>
    <t>NIG NOVA IGUAACU</t>
  </si>
  <si>
    <t>NOVA IGUACU</t>
  </si>
  <si>
    <t>000188941</t>
  </si>
  <si>
    <t>CTB070853-4</t>
  </si>
  <si>
    <t>41260803098929000606570010000717491003680698 </t>
  </si>
  <si>
    <t>51459665000107 </t>
  </si>
  <si>
    <t>VALE JACARAIPE ALUGUEL DE EQUIPAMENTOS LTDA</t>
  </si>
  <si>
    <t>SERRA</t>
  </si>
  <si>
    <t>000189050</t>
  </si>
  <si>
    <t>CTB070854-2</t>
  </si>
  <si>
    <t>41260803098929000606570010000717501003680702 </t>
  </si>
  <si>
    <t>18740409000100 </t>
  </si>
  <si>
    <t>TR INDUSTRIA COMERCIO E SERVICOS DE</t>
  </si>
  <si>
    <t>000189041</t>
  </si>
  <si>
    <t>CTB070855-1</t>
  </si>
  <si>
    <t>41260803098929000606570010000717511003680718 </t>
  </si>
  <si>
    <t>54477500000148 </t>
  </si>
  <si>
    <t>SYNTHESIS IND COM MOBILIARIO</t>
  </si>
  <si>
    <t>124 PRES DUTRA  BONSUCESSO</t>
  </si>
  <si>
    <t>GUARULHOS</t>
  </si>
  <si>
    <t>000189029</t>
  </si>
  <si>
    <t>CTB070856-9</t>
  </si>
  <si>
    <t>41260803098929000606570010000717521003680723 </t>
  </si>
  <si>
    <t>44530855000108 </t>
  </si>
  <si>
    <t>NAVAS E CIA LTDA</t>
  </si>
  <si>
    <t>RSOP</t>
  </si>
  <si>
    <t>LINS</t>
  </si>
  <si>
    <t>RSO</t>
  </si>
  <si>
    <t>000189033</t>
  </si>
  <si>
    <t>CO3365277</t>
  </si>
  <si>
    <t>SAOI</t>
  </si>
  <si>
    <t>CTB070857-7</t>
  </si>
  <si>
    <t>41260803098929000606570010000717531003680739 </t>
  </si>
  <si>
    <t>26208767000102 </t>
  </si>
  <si>
    <t>ARN WORLD COMERCIO DE MATERIAL</t>
  </si>
  <si>
    <t>ITB ITABORAI</t>
  </si>
  <si>
    <t>FRJP</t>
  </si>
  <si>
    <t>ITABORAI</t>
  </si>
  <si>
    <t>FRJ</t>
  </si>
  <si>
    <t>000188980</t>
  </si>
  <si>
    <t>FATURA:    14347</t>
  </si>
  <si>
    <t>014347</t>
  </si>
  <si>
    <t>CTB070929-8</t>
  </si>
  <si>
    <t>41260803098929000606570010000718251003687653 </t>
  </si>
  <si>
    <t>10624576000183 </t>
  </si>
  <si>
    <t>MERCADAO DOS PARAFUSOS LTDA</t>
  </si>
  <si>
    <t>TRUR</t>
  </si>
  <si>
    <t>PATROCINIO</t>
  </si>
  <si>
    <t>000189110</t>
  </si>
  <si>
    <t>FATURA:   232784</t>
  </si>
  <si>
    <t>CTB070930-1</t>
  </si>
  <si>
    <t>41260803098929000606570010000718241003687648 </t>
  </si>
  <si>
    <t>11136813000120 </t>
  </si>
  <si>
    <t>MEC FIX COMERCIO DE PARAFUSOS E ELEMENTOS DE FIXACAO LTDA -</t>
  </si>
  <si>
    <t>000189072</t>
  </si>
  <si>
    <t>CTB070931-0</t>
  </si>
  <si>
    <t>41260803098929000606570010000718271003687674 </t>
  </si>
  <si>
    <t>000188134</t>
  </si>
  <si>
    <t>CTB070932-8</t>
  </si>
  <si>
    <t>41260803098929000606570010000718261003687669 </t>
  </si>
  <si>
    <t>23476033000370 </t>
  </si>
  <si>
    <t>SVPR</t>
  </si>
  <si>
    <t>PRAIA GRANDE</t>
  </si>
  <si>
    <t>SVP</t>
  </si>
  <si>
    <t>000188177</t>
  </si>
  <si>
    <t>FATURA:      612</t>
  </si>
  <si>
    <t>000612</t>
  </si>
  <si>
    <t>CTB070933-6</t>
  </si>
  <si>
    <t>41260803098929000606570010000718291003687695 </t>
  </si>
  <si>
    <t>05095185000260 </t>
  </si>
  <si>
    <t>BIGNOTTO FERRAMENTAS LTDA</t>
  </si>
  <si>
    <t>NOVA ODESSA</t>
  </si>
  <si>
    <t>000189067</t>
  </si>
  <si>
    <t>CTB070934-4</t>
  </si>
  <si>
    <t>41260803098929000606570010000718281003687680 </t>
  </si>
  <si>
    <t>10678319000124 </t>
  </si>
  <si>
    <t>G R VIEIRA FERRAGENS</t>
  </si>
  <si>
    <t>NSLP</t>
  </si>
  <si>
    <t>SAO JOSE DO RIO PRETO</t>
  </si>
  <si>
    <t>NSL</t>
  </si>
  <si>
    <t>000189108</t>
  </si>
  <si>
    <t>FATURA:   160426</t>
  </si>
  <si>
    <t>CTB070935-2</t>
  </si>
  <si>
    <t>41260803098929000606570010000718311003687715 </t>
  </si>
  <si>
    <t>42970699000162 </t>
  </si>
  <si>
    <t>GG FERRAGENS COLONIAIS LTDA ME</t>
  </si>
  <si>
    <t>MONTES CLAROS</t>
  </si>
  <si>
    <t>000189116</t>
  </si>
  <si>
    <t>CO3365300</t>
  </si>
  <si>
    <t>CTB070936-1</t>
  </si>
  <si>
    <t>41260803098929000606570010000718301003687700 </t>
  </si>
  <si>
    <t>23072909000150 </t>
  </si>
  <si>
    <t>MJ COMERCIAL ELETRICA LTDA</t>
  </si>
  <si>
    <t>SAO BERNARDO DO CAMPO</t>
  </si>
  <si>
    <t>000189070</t>
  </si>
  <si>
    <t>CTB070937-9</t>
  </si>
  <si>
    <t>41260803098929000606570010000718321003687720 </t>
  </si>
  <si>
    <t>07390159000109 </t>
  </si>
  <si>
    <t>NK TECH INDUSTRIA E COMERCIO DE ARTEFATOS DE INOX LTDA ME</t>
  </si>
  <si>
    <t>000189077</t>
  </si>
  <si>
    <t>CTB070938-7</t>
  </si>
  <si>
    <t>41260803098929000606570010000718331003687736 </t>
  </si>
  <si>
    <t>53293358000116 </t>
  </si>
  <si>
    <t>VERTICE INDUSTRIA COMERCIO E SERVIC</t>
  </si>
  <si>
    <t>000189064</t>
  </si>
  <si>
    <t>CTB071005-9</t>
  </si>
  <si>
    <t>41260803098929000606570010000719001003695644 </t>
  </si>
  <si>
    <t>03138265000149 </t>
  </si>
  <si>
    <t>LAB DO ALCANTARA A CASA DOS MA</t>
  </si>
  <si>
    <t>000189166</t>
  </si>
  <si>
    <t>CTB071006-7</t>
  </si>
  <si>
    <t>41260803098929000606570010000719011003695650 </t>
  </si>
  <si>
    <t>41430637000103 </t>
  </si>
  <si>
    <t>FRS COMERCIO DE MOVEIS COMERCIAIS LTDA</t>
  </si>
  <si>
    <t>000189131</t>
  </si>
  <si>
    <t>CTB071007-5</t>
  </si>
  <si>
    <t>41260803098929000606570010000719021003695665 </t>
  </si>
  <si>
    <t>23476033001007 </t>
  </si>
  <si>
    <t>PIRACICABA</t>
  </si>
  <si>
    <t>000189164</t>
  </si>
  <si>
    <t>CTB071008-3</t>
  </si>
  <si>
    <t>41260803098929000606570010000719031003695670 </t>
  </si>
  <si>
    <t>28570581000116 </t>
  </si>
  <si>
    <t>NLB MOTORES E BOMBAS LTDA</t>
  </si>
  <si>
    <t>PSPR</t>
  </si>
  <si>
    <t>ITATIBA</t>
  </si>
  <si>
    <t>000189118</t>
  </si>
  <si>
    <t>CTB071009-1</t>
  </si>
  <si>
    <t>41260803098929000606570010000719041003695686 </t>
  </si>
  <si>
    <t>23476033001341 </t>
  </si>
  <si>
    <t>BMB MATERIAL DE CONSTRUCAO S.A 2040</t>
  </si>
  <si>
    <t>MES MESQUITA</t>
  </si>
  <si>
    <t>MESQUITA</t>
  </si>
  <si>
    <t>000189081</t>
  </si>
  <si>
    <t>CTB071010-5</t>
  </si>
  <si>
    <t>41260803098929000606570010000719051003695691 </t>
  </si>
  <si>
    <t>23476033002151 </t>
  </si>
  <si>
    <t>000188597</t>
  </si>
  <si>
    <t>CTB071011-3</t>
  </si>
  <si>
    <t>41260803098929000606570010000719061003695702 </t>
  </si>
  <si>
    <t>000188727</t>
  </si>
  <si>
    <t>CTB071012-1</t>
  </si>
  <si>
    <t>41260803098929000606570010000719071003695718 </t>
  </si>
  <si>
    <t>000188735</t>
  </si>
  <si>
    <t>CTB071013-0</t>
  </si>
  <si>
    <t>41260803098929000606570010000719081003695723 </t>
  </si>
  <si>
    <t>000189145</t>
  </si>
  <si>
    <t>CTB071014-8</t>
  </si>
  <si>
    <t>41260803098929000606570010000719091003695739 </t>
  </si>
  <si>
    <t>21253573000105 </t>
  </si>
  <si>
    <t>FREITAS E MORAES LOCACAO DE FERRAMENTAS</t>
  </si>
  <si>
    <t>BOM JESUS DO ITABAPOANA</t>
  </si>
  <si>
    <t>000189142</t>
  </si>
  <si>
    <t>CTB071085-7</t>
  </si>
  <si>
    <t>41260803098929000606570010000719721003702895 </t>
  </si>
  <si>
    <t>74469446000287 </t>
  </si>
  <si>
    <t>RR PARAFUSOS FERRAGENS E FERRAMENT</t>
  </si>
  <si>
    <t>ARTUR NOGUEIRA</t>
  </si>
  <si>
    <t>000189216</t>
  </si>
  <si>
    <t>SAOP</t>
  </si>
  <si>
    <t>CTB071045-8</t>
  </si>
  <si>
    <t>41260803098929000606570010000719401003699351 </t>
  </si>
  <si>
    <t>CTB071075-0</t>
  </si>
  <si>
    <t>41260803098929000606570010000719741003702911 </t>
  </si>
  <si>
    <t>74200403001192 </t>
  </si>
  <si>
    <t>NOVA CASA DISTRIBUIDORA DE MAT</t>
  </si>
  <si>
    <t>000189254</t>
  </si>
  <si>
    <t>CTB071076-8</t>
  </si>
  <si>
    <t>41260803098929000606570010000719751003702927 </t>
  </si>
  <si>
    <t>23476033001775 </t>
  </si>
  <si>
    <t>000189146</t>
  </si>
  <si>
    <t>CTB071077-6</t>
  </si>
  <si>
    <t>41260803098929000606570010000719761003702932 </t>
  </si>
  <si>
    <t>42434985000103 </t>
  </si>
  <si>
    <t>PARAFUSO ALEX LTDA ME</t>
  </si>
  <si>
    <t>000189184</t>
  </si>
  <si>
    <t>CTB071078-4</t>
  </si>
  <si>
    <t>41260803098929000606570010000719771003702948 </t>
  </si>
  <si>
    <t>39527817000158 </t>
  </si>
  <si>
    <t>ACO RUBER COML. LTDA</t>
  </si>
  <si>
    <t>VOLTA REDONDA</t>
  </si>
  <si>
    <t>000189206</t>
  </si>
  <si>
    <t>CTB071079-2</t>
  </si>
  <si>
    <t>41260803098929000606570010000719781003702953 </t>
  </si>
  <si>
    <t>06327315000124 </t>
  </si>
  <si>
    <t>URBAN LOC LOCACOES E COMERCIO LTDA</t>
  </si>
  <si>
    <t>NSLR</t>
  </si>
  <si>
    <t>RIFAINA</t>
  </si>
  <si>
    <t>000189258</t>
  </si>
  <si>
    <t>CTB071080-6</t>
  </si>
  <si>
    <t>41260803098929000606570010000719791003702969 </t>
  </si>
  <si>
    <t>35287123000130 </t>
  </si>
  <si>
    <t>HOSPITAL DAS CAMAS MANUTENCOES EM GERAL LTDA</t>
  </si>
  <si>
    <t>MOGI DAS CRUZES</t>
  </si>
  <si>
    <t>000189262</t>
  </si>
  <si>
    <t>CTB071081-4</t>
  </si>
  <si>
    <t>41260803098929000606570010000719801003702978 </t>
  </si>
  <si>
    <t>10313426000159 </t>
  </si>
  <si>
    <t>FORM E ART IND.COM.ART.METALIC</t>
  </si>
  <si>
    <t>ITAQUAQUECETUBA</t>
  </si>
  <si>
    <t>000189257</t>
  </si>
  <si>
    <t>CTB071082-2</t>
  </si>
  <si>
    <t>41260803098929000606570010000719711003702880 </t>
  </si>
  <si>
    <t>10418387000154 </t>
  </si>
  <si>
    <t>AERORACK EQUIPAMENTOS INDUSTRIAIS E</t>
  </si>
  <si>
    <t>000189269</t>
  </si>
  <si>
    <t>CTB071083-1</t>
  </si>
  <si>
    <t>41260803098929000606570010000719811003702983 </t>
  </si>
  <si>
    <t>07156884000117 </t>
  </si>
  <si>
    <t>GERALDO MAGELA DE ALMEIDA CALCADOS</t>
  </si>
  <si>
    <t>000189219</t>
  </si>
  <si>
    <t>CTB071084-9</t>
  </si>
  <si>
    <t>41260803098929000606570010000719701003702874 </t>
  </si>
  <si>
    <t>49911812000188 </t>
  </si>
  <si>
    <t>TEKNOVATION EQUIPAMENTOS E SERVICOS</t>
  </si>
  <si>
    <t>000189240</t>
  </si>
  <si>
    <t>CTB071141-1</t>
  </si>
  <si>
    <t>41260803098929000606570010000720411003710528 </t>
  </si>
  <si>
    <t>16943655000133 </t>
  </si>
  <si>
    <t>STREET INOX COMERCIO DE ARTIGOS PAR</t>
  </si>
  <si>
    <t>ELIAS FAUSTO</t>
  </si>
  <si>
    <t>000189313</t>
  </si>
  <si>
    <t>CTB071140-3</t>
  </si>
  <si>
    <t>41260803098929000606570010000720391003710503 </t>
  </si>
  <si>
    <t>10372459000170 </t>
  </si>
  <si>
    <t>R AMICHI IND E COM DE CARRINHO</t>
  </si>
  <si>
    <t>000189377</t>
  </si>
  <si>
    <t>CTB071365-1</t>
  </si>
  <si>
    <t>41260803098929000606570010000722681003735541 </t>
  </si>
  <si>
    <t>000189565</t>
  </si>
  <si>
    <t>CTB071142-0</t>
  </si>
  <si>
    <t>41260803098929000606570010000720361003710471 </t>
  </si>
  <si>
    <t>48880720000115 </t>
  </si>
  <si>
    <t>MOBSTEEL EQUIPAMENTOS INOXIDAV</t>
  </si>
  <si>
    <t>000189314</t>
  </si>
  <si>
    <t>CTB071143-8</t>
  </si>
  <si>
    <t>41260803098929000606570010000720351003710466 </t>
  </si>
  <si>
    <t>14458674000300 </t>
  </si>
  <si>
    <t>FLUZAO ATACADAO DA CONSTRUCAO LTDA</t>
  </si>
  <si>
    <t>000189284</t>
  </si>
  <si>
    <t>CTB071144-6</t>
  </si>
  <si>
    <t>41260803098929000606570010000720381003710492 </t>
  </si>
  <si>
    <t>14458674000149 </t>
  </si>
  <si>
    <t>FLUZAO ATACADAO DA CONSTR LTDA</t>
  </si>
  <si>
    <t>000189282</t>
  </si>
  <si>
    <t>CTB071145-4</t>
  </si>
  <si>
    <t>41260803098929000606570010000720401003710512 </t>
  </si>
  <si>
    <t>00783986000113 </t>
  </si>
  <si>
    <t>TRIMTEC LTDA</t>
  </si>
  <si>
    <t>SJKP</t>
  </si>
  <si>
    <t>CACAPAVA</t>
  </si>
  <si>
    <t>SJK</t>
  </si>
  <si>
    <t>000189325</t>
  </si>
  <si>
    <t>FATURA:    27569</t>
  </si>
  <si>
    <t>027569</t>
  </si>
  <si>
    <t>CTB071146-2</t>
  </si>
  <si>
    <t>41260803098929000606570010000720371003710487 </t>
  </si>
  <si>
    <t>02969264000183 </t>
  </si>
  <si>
    <t>KAWAMAC INDUSTRIA E COMERCIO DE MAQUINAS LTDA EPP</t>
  </si>
  <si>
    <t>123 VILA IZABEL ARACILIA</t>
  </si>
  <si>
    <t>000189338</t>
  </si>
  <si>
    <t>CTB071147-1</t>
  </si>
  <si>
    <t>41260803098929000606570010000720421003710533 </t>
  </si>
  <si>
    <t>14702985000101 </t>
  </si>
  <si>
    <t>TMS IMPORTADORA E COMERCIO LTDA</t>
  </si>
  <si>
    <t>SJK SAO JOSE DOS CAMPOS</t>
  </si>
  <si>
    <t>SAO JOSE DOS CAMPOS</t>
  </si>
  <si>
    <t>000189324</t>
  </si>
  <si>
    <t>CTB071197-7</t>
  </si>
  <si>
    <t>AFF1761</t>
  </si>
  <si>
    <t>41260803098929000606570010000721091003718799 </t>
  </si>
  <si>
    <t>000189405</t>
  </si>
  <si>
    <t>CTB071198-5</t>
  </si>
  <si>
    <t>41260803098929000606570010000721041003718717 </t>
  </si>
  <si>
    <t>55571109000170 </t>
  </si>
  <si>
    <t>RYNO LIFT SOLUCOES EM ELEVACAO E MOVIMENTACAO DE CARGAS LTDA</t>
  </si>
  <si>
    <t>LFNP</t>
  </si>
  <si>
    <t>JABOTICABAL</t>
  </si>
  <si>
    <t>LFN</t>
  </si>
  <si>
    <t>000189339</t>
  </si>
  <si>
    <t>FATURA:   326288</t>
  </si>
  <si>
    <t>CTB071199-3</t>
  </si>
  <si>
    <t>41260803098929000606570010000721111003718819 </t>
  </si>
  <si>
    <t>09580775000158 </t>
  </si>
  <si>
    <t>SOLTEC RACKS LTDA</t>
  </si>
  <si>
    <t>RIBEIRAO PIRES</t>
  </si>
  <si>
    <t>000189417</t>
  </si>
  <si>
    <t>CTB071200-1</t>
  </si>
  <si>
    <t>41260803098929000606570010000721061003718746 </t>
  </si>
  <si>
    <t>22571361000120 </t>
  </si>
  <si>
    <t>REALMARKET COMERCIO DE MOVEIS EIREL</t>
  </si>
  <si>
    <t>000189387</t>
  </si>
  <si>
    <t>CTB071369-4</t>
  </si>
  <si>
    <t>41260803098929000606570010000722721003735587 </t>
  </si>
  <si>
    <t>26831868000127 </t>
  </si>
  <si>
    <t>ELAINE APARECIDA PINHEIRO VIEIRA FE</t>
  </si>
  <si>
    <t>000189561</t>
  </si>
  <si>
    <t>CTB071202-7</t>
  </si>
  <si>
    <t>41260803098929000606570010000721081003718775 </t>
  </si>
  <si>
    <t>000189406</t>
  </si>
  <si>
    <t>CTB071373-2</t>
  </si>
  <si>
    <t>41260803098929000606570010000722801003735660 </t>
  </si>
  <si>
    <t>11671952000153 </t>
  </si>
  <si>
    <t>FLEXMAQ COMERCIO DE EQUIPAMENTOS IN</t>
  </si>
  <si>
    <t>SUMARE</t>
  </si>
  <si>
    <t>000189555</t>
  </si>
  <si>
    <t>CTB071204-3</t>
  </si>
  <si>
    <t>41260803098929000606570010000721101003718803 </t>
  </si>
  <si>
    <t>41777728000101 </t>
  </si>
  <si>
    <t>PRIMATEC COMERCIO E SERVICO LT</t>
  </si>
  <si>
    <t>000189392</t>
  </si>
  <si>
    <t>CTB071205-1</t>
  </si>
  <si>
    <t>41260803098929000606570010000721151003718877 </t>
  </si>
  <si>
    <t>35240032000149 </t>
  </si>
  <si>
    <t>ELETRIC ILUMINACAO E FERRAMENTAS LTDA</t>
  </si>
  <si>
    <t>000189407</t>
  </si>
  <si>
    <t>CTB071206-0</t>
  </si>
  <si>
    <t>41260803098929000606570010000721161003718882 </t>
  </si>
  <si>
    <t>32606792000139 </t>
  </si>
  <si>
    <t>CONSTRUSERRA MAT CONSTRUCAO EIRELI ME</t>
  </si>
  <si>
    <t>000189394</t>
  </si>
  <si>
    <t>FATURA:    17893</t>
  </si>
  <si>
    <t>017893</t>
  </si>
  <si>
    <t>CTB071207-8</t>
  </si>
  <si>
    <t>41260803098929000606570010000721121003718832 </t>
  </si>
  <si>
    <t>57224566000114 </t>
  </si>
  <si>
    <t>POWER STEEL COMERCIO E SERVICOS LTDA</t>
  </si>
  <si>
    <t>070</t>
  </si>
  <si>
    <t>000189455</t>
  </si>
  <si>
    <t>CTB071208-6</t>
  </si>
  <si>
    <t>41260803098929000606570010000721171003718898 </t>
  </si>
  <si>
    <t>000189374</t>
  </si>
  <si>
    <t>CTB071209-4</t>
  </si>
  <si>
    <t>41260803098929000606570010000721141003718853 </t>
  </si>
  <si>
    <t>21164087000102 </t>
  </si>
  <si>
    <t>DISCHER MAQUINAS E FERRAMENTAS</t>
  </si>
  <si>
    <t>SANTA MARIA DE JETIBA</t>
  </si>
  <si>
    <t>000189364</t>
  </si>
  <si>
    <t>FATURA:    55342</t>
  </si>
  <si>
    <t>055342</t>
  </si>
  <si>
    <t>CTB071210-8</t>
  </si>
  <si>
    <t>41260803098929000606570010000721181003718909 </t>
  </si>
  <si>
    <t>68620541000156 </t>
  </si>
  <si>
    <t>PARAFUSOS SIAN LTDA</t>
  </si>
  <si>
    <t>000189446</t>
  </si>
  <si>
    <t>CTB071283-3</t>
  </si>
  <si>
    <t>41260803098929000606570010000721771003726104 </t>
  </si>
  <si>
    <t>21994124000100 </t>
  </si>
  <si>
    <t>LOJA DA BORRACHA COMERCIO LTDA</t>
  </si>
  <si>
    <t>6   ROTA POCOS DE CALDAS</t>
  </si>
  <si>
    <t>DCCR</t>
  </si>
  <si>
    <t>POCOS DE CALDAS</t>
  </si>
  <si>
    <t>DCC</t>
  </si>
  <si>
    <t>000189519</t>
  </si>
  <si>
    <t>CO3365269</t>
  </si>
  <si>
    <t>ALTR</t>
  </si>
  <si>
    <t>FATURA:      149</t>
  </si>
  <si>
    <t>000149</t>
  </si>
  <si>
    <t>CTB071284-1</t>
  </si>
  <si>
    <t>41260803098929000606570010000721781003726110 </t>
  </si>
  <si>
    <t>000189485</t>
  </si>
  <si>
    <t>CTB071285-0</t>
  </si>
  <si>
    <t>41260803098929000606570010000721791003726125 </t>
  </si>
  <si>
    <t>000189539</t>
  </si>
  <si>
    <t>CTB071286-8</t>
  </si>
  <si>
    <t>41260803098929000606570010000721801003726134 </t>
  </si>
  <si>
    <t>29343829000179 </t>
  </si>
  <si>
    <t>CASEIRA MASSAS INDUSTRIA E COMERCIO</t>
  </si>
  <si>
    <t>QUE QUEIMADOS</t>
  </si>
  <si>
    <t>QUEIMADOS</t>
  </si>
  <si>
    <t>000189542</t>
  </si>
  <si>
    <t>CTB071287-6</t>
  </si>
  <si>
    <t>41260803098929000606570010000721811003726140 </t>
  </si>
  <si>
    <t>05953543000228 </t>
  </si>
  <si>
    <t>L.L.E. FERRAGENS LTDA ( KING OURO ).</t>
  </si>
  <si>
    <t>000189492</t>
  </si>
  <si>
    <t>CTB071288-4</t>
  </si>
  <si>
    <t>41260803098929000606570010000721821003726155 </t>
  </si>
  <si>
    <t>15394434000190 </t>
  </si>
  <si>
    <t>SAMINAS - COMERCIO DE PRODUTOS</t>
  </si>
  <si>
    <t>009 PARA DE MINAS</t>
  </si>
  <si>
    <t>PARA DE MINAS</t>
  </si>
  <si>
    <t>000189478</t>
  </si>
  <si>
    <t>CTB071289-2</t>
  </si>
  <si>
    <t>41260803098929000606570010000721831003726160 </t>
  </si>
  <si>
    <t>11618200000129 </t>
  </si>
  <si>
    <t>MEGAFER-COMERCIO DE PARAFUSOS E EPI E FE</t>
  </si>
  <si>
    <t>RIBEIRAO PRETO</t>
  </si>
  <si>
    <t>000189493</t>
  </si>
  <si>
    <t>CTB071364-3</t>
  </si>
  <si>
    <t>41260803098929000606570010000722711003735571 </t>
  </si>
  <si>
    <t>41474757000102 </t>
  </si>
  <si>
    <t>ESTANTE CENTER LTDA</t>
  </si>
  <si>
    <t>16  INTERIOR SPO</t>
  </si>
  <si>
    <t>ATIBAIA</t>
  </si>
  <si>
    <t>000189612</t>
  </si>
  <si>
    <t>CTB071374-1</t>
  </si>
  <si>
    <t>41260803098929000606570010000722771003735630 </t>
  </si>
  <si>
    <t>61804563000127 </t>
  </si>
  <si>
    <t>CDE PIRACICABA EIRELI</t>
  </si>
  <si>
    <t>000189619</t>
  </si>
  <si>
    <t>CTB071366-0</t>
  </si>
  <si>
    <t>41260803098929000606570010000722741003735603 </t>
  </si>
  <si>
    <t>000189567</t>
  </si>
  <si>
    <t>CTB071367-8</t>
  </si>
  <si>
    <t>41260803098929000606570010000722701003735566 </t>
  </si>
  <si>
    <t>000189574</t>
  </si>
  <si>
    <t>CTB071368-6</t>
  </si>
  <si>
    <t>41260803098929000606570010000722761003735624 </t>
  </si>
  <si>
    <t>000189566</t>
  </si>
  <si>
    <t>CTB071375-9</t>
  </si>
  <si>
    <t>41260803098929000606570010000722821003735680 </t>
  </si>
  <si>
    <t>000189610</t>
  </si>
  <si>
    <t>MAPA: 163</t>
  </si>
  <si>
    <t>CTB071370-8</t>
  </si>
  <si>
    <t>41260803098929000606570010000722731003735592 </t>
  </si>
  <si>
    <t>27107859000150 </t>
  </si>
  <si>
    <t>METALURGICA VULCANO LTDA</t>
  </si>
  <si>
    <t>GUARAPARI</t>
  </si>
  <si>
    <t>000189591</t>
  </si>
  <si>
    <t>FATURA:    55372</t>
  </si>
  <si>
    <t>055372</t>
  </si>
  <si>
    <t>CTB071371-6</t>
  </si>
  <si>
    <t>41260803098929000606570010000722781003735645 </t>
  </si>
  <si>
    <t>000189486</t>
  </si>
  <si>
    <t>CTB071372-4</t>
  </si>
  <si>
    <t>41260803098929000606570010000722751003735619 </t>
  </si>
  <si>
    <t>000189613</t>
  </si>
  <si>
    <t>CTB071501-8</t>
  </si>
  <si>
    <t>41260803098929000606570010000723951003743326 </t>
  </si>
  <si>
    <t>24413865000229 </t>
  </si>
  <si>
    <t>BARUERI ATACADISTA DE MATERIAL DE C ONSTRUCAO LTDA</t>
  </si>
  <si>
    <t>CAMPINAS</t>
  </si>
  <si>
    <t>000189588</t>
  </si>
  <si>
    <t>CTB071503-4</t>
  </si>
  <si>
    <t>41260803098929000606570010000723971003743347 </t>
  </si>
  <si>
    <t>29435005008456 </t>
  </si>
  <si>
    <t>ESHO EMPRESA DE SERVICOS HOSPITALAR</t>
  </si>
  <si>
    <t>000189631</t>
  </si>
  <si>
    <t>CTB071508-5</t>
  </si>
  <si>
    <t>41260803098929000606570010000724021003743390 </t>
  </si>
  <si>
    <t>47368071000105 </t>
  </si>
  <si>
    <t>CAVAGNINI E CIA LTDA</t>
  </si>
  <si>
    <t>COSMOPOLIS</t>
  </si>
  <si>
    <t>000189675</t>
  </si>
  <si>
    <t>CTB071376-7</t>
  </si>
  <si>
    <t>41260803098929000606570010000722791003735650 </t>
  </si>
  <si>
    <t>000189598</t>
  </si>
  <si>
    <t>CTB071377-5</t>
  </si>
  <si>
    <t>41260803098929000606570010000722841003735707 </t>
  </si>
  <si>
    <t>000189577</t>
  </si>
  <si>
    <t>CTB071378-3</t>
  </si>
  <si>
    <t>41260803098929000606570010000722811003735675 </t>
  </si>
  <si>
    <t>000189572</t>
  </si>
  <si>
    <t>CTB071379-1</t>
  </si>
  <si>
    <t>41260803098929000606570010000722861003735728 </t>
  </si>
  <si>
    <t>000189569</t>
  </si>
  <si>
    <t>CTB071499-2</t>
  </si>
  <si>
    <t>41260803098929000606570010000723931003743305 </t>
  </si>
  <si>
    <t>11207740000110 </t>
  </si>
  <si>
    <t>COML DE BORRACHA UBA LTDA ME</t>
  </si>
  <si>
    <t>000189638</t>
  </si>
  <si>
    <t>FATURA:    21744</t>
  </si>
  <si>
    <t>021744</t>
  </si>
  <si>
    <t>CTB071500-0</t>
  </si>
  <si>
    <t>41260803098929000606570010000723941003743310 </t>
  </si>
  <si>
    <t>63878792000111 </t>
  </si>
  <si>
    <t>SHOP DAS BORRACHAS LTDA</t>
  </si>
  <si>
    <t>MURIAE</t>
  </si>
  <si>
    <t>000189640</t>
  </si>
  <si>
    <t>CTB071633-2</t>
  </si>
  <si>
    <t>41260803098929000606570010000725261003759560 </t>
  </si>
  <si>
    <t>57782534000134 </t>
  </si>
  <si>
    <t>JOSE CAETANO DA SILVA FERRAGENS</t>
  </si>
  <si>
    <t>000189899</t>
  </si>
  <si>
    <t>CTB071502-6</t>
  </si>
  <si>
    <t>41260803098929000606570010000723961003743331 </t>
  </si>
  <si>
    <t>000189603</t>
  </si>
  <si>
    <t>CTB071634-1</t>
  </si>
  <si>
    <t>41260803098929000606570010000725271003759576 </t>
  </si>
  <si>
    <t>00967309000155 </t>
  </si>
  <si>
    <t>METALFRAY COMERCIO DE MAQUINAS E FERRAM. EIRELI</t>
  </si>
  <si>
    <t>000189887</t>
  </si>
  <si>
    <t>CTB071504-2</t>
  </si>
  <si>
    <t>41260803098929000606570010000723981003743352 </t>
  </si>
  <si>
    <t>000189611</t>
  </si>
  <si>
    <t>CTB071505-1</t>
  </si>
  <si>
    <t>41260803098929000606570010000723991003743368 </t>
  </si>
  <si>
    <t>02415672000193 </t>
  </si>
  <si>
    <t>MAQ.VALLE EQUIP.COMS TAUBATE L</t>
  </si>
  <si>
    <t>TAUBATE</t>
  </si>
  <si>
    <t>000189641</t>
  </si>
  <si>
    <t>FATURA:    27701</t>
  </si>
  <si>
    <t>027701</t>
  </si>
  <si>
    <t>CTB071506-9</t>
  </si>
  <si>
    <t>41260803098929000606570010000724001003743379 </t>
  </si>
  <si>
    <t>61936522000194 </t>
  </si>
  <si>
    <t>CELMAR COML E IMPORT. LTDA. (M</t>
  </si>
  <si>
    <t>03  BRAS</t>
  </si>
  <si>
    <t>000189728</t>
  </si>
  <si>
    <t>CTB071507-7</t>
  </si>
  <si>
    <t>41260803098929000606570010000724011003743384 </t>
  </si>
  <si>
    <t>20425672000156 </t>
  </si>
  <si>
    <t>CASA FORTE DISK AREIAS LTDA</t>
  </si>
  <si>
    <t>IRAI DE MINAS</t>
  </si>
  <si>
    <t>000189674</t>
  </si>
  <si>
    <t>FATURA:   233142</t>
  </si>
  <si>
    <t>CTB071706-1</t>
  </si>
  <si>
    <t>41260803098929000606570010000725981003769050 </t>
  </si>
  <si>
    <t>19869170000135 </t>
  </si>
  <si>
    <t>BYBECKER COM IND EXP IMP MAQ L</t>
  </si>
  <si>
    <t>000189939</t>
  </si>
  <si>
    <t>CTB071509-3</t>
  </si>
  <si>
    <t>41260803098929000606570010000724031003743400 </t>
  </si>
  <si>
    <t>16701716000156 </t>
  </si>
  <si>
    <t>FCA FIAT CRRYSLER AUTOMOVEIS BRASIL LTDA</t>
  </si>
  <si>
    <t>003 BETIM</t>
  </si>
  <si>
    <t>BETIM</t>
  </si>
  <si>
    <t>000189718</t>
  </si>
  <si>
    <t>CTB071570-1</t>
  </si>
  <si>
    <t>MKY5A07</t>
  </si>
  <si>
    <t>41260803098929000606570010000724631003751177 </t>
  </si>
  <si>
    <t>07577748000109 </t>
  </si>
  <si>
    <t>CASA DO CAFEICULTOR DE MANHUACU LTDA</t>
  </si>
  <si>
    <t>000189779</t>
  </si>
  <si>
    <t>FATURA:    12271</t>
  </si>
  <si>
    <t>012271</t>
  </si>
  <si>
    <t>CTB071571-9</t>
  </si>
  <si>
    <t>41260803098929000606570010000724641003751182 </t>
  </si>
  <si>
    <t>11286322000165 </t>
  </si>
  <si>
    <t>M. S. DOS SANTOS FILHO BAZAR</t>
  </si>
  <si>
    <t>SAO PEDRO DA ALDEIA</t>
  </si>
  <si>
    <t>000189769</t>
  </si>
  <si>
    <t>RMTI</t>
  </si>
  <si>
    <t>FATURA:    14417</t>
  </si>
  <si>
    <t>014417</t>
  </si>
  <si>
    <t>CTB071572-7</t>
  </si>
  <si>
    <t>41260803098929000606570010000724651003751198 </t>
  </si>
  <si>
    <t>34192541000180 </t>
  </si>
  <si>
    <t>VACELICO COMERCIO E EXPOSITORES EIR</t>
  </si>
  <si>
    <t>000189744</t>
  </si>
  <si>
    <t>CTB071573-5</t>
  </si>
  <si>
    <t>41260803098929000606570010000724661003751209 </t>
  </si>
  <si>
    <t>22204750000118 </t>
  </si>
  <si>
    <t>IMPERIO MATERIAIS DE MOVIMENTACAO LTDA</t>
  </si>
  <si>
    <t>000189765</t>
  </si>
  <si>
    <t>CTB071574-3</t>
  </si>
  <si>
    <t>41260803098929000606570010000724671003751214 </t>
  </si>
  <si>
    <t>09424819000150 </t>
  </si>
  <si>
    <t>KRC IND E COM DE EQUIPAMENTOS LTDA</t>
  </si>
  <si>
    <t>MAUA</t>
  </si>
  <si>
    <t>000189813</t>
  </si>
  <si>
    <t>CTB071575-1</t>
  </si>
  <si>
    <t>41260803098929000606570010000724681003751220 </t>
  </si>
  <si>
    <t>01193105000177 </t>
  </si>
  <si>
    <t>FEEDBACK MAQ FERR LTDA</t>
  </si>
  <si>
    <t>000189766</t>
  </si>
  <si>
    <t>CTB071576-0</t>
  </si>
  <si>
    <t>41260803098929000606570010000724691003751235 </t>
  </si>
  <si>
    <t>61987776000131 </t>
  </si>
  <si>
    <t>NCS CAR LASER LTDA</t>
  </si>
  <si>
    <t>PIRANGA</t>
  </si>
  <si>
    <t>000189822</t>
  </si>
  <si>
    <t>CTB071625-1</t>
  </si>
  <si>
    <t>41260803098929000606570010000725181003759488 </t>
  </si>
  <si>
    <t>76639285005721 </t>
  </si>
  <si>
    <t>FERRAGENS NEGRAO COMERCIAL LTDA 0057-21</t>
  </si>
  <si>
    <t>000189871</t>
  </si>
  <si>
    <t>FATURA:    55437</t>
  </si>
  <si>
    <t>055437</t>
  </si>
  <si>
    <t>CTB071626-0</t>
  </si>
  <si>
    <t>41260803098929000606570010000725191003759493 </t>
  </si>
  <si>
    <t>21984786000107 </t>
  </si>
  <si>
    <t>SINTESE INDUSTRIA E COMERCIO L</t>
  </si>
  <si>
    <t>000189836</t>
  </si>
  <si>
    <t>CTB071627-8</t>
  </si>
  <si>
    <t>41260803098929000606570010000725201003759508 </t>
  </si>
  <si>
    <t>07110128000157 </t>
  </si>
  <si>
    <t>CASA JULIANE COMERCIO DE COUROS LTD</t>
  </si>
  <si>
    <t>000189839</t>
  </si>
  <si>
    <t>CTB071628-6</t>
  </si>
  <si>
    <t>41260803098929000606570010000725211003759513 </t>
  </si>
  <si>
    <t>19190957000176 </t>
  </si>
  <si>
    <t>INDUCOMP COMERCIAL E SERVICOS EIREL</t>
  </si>
  <si>
    <t>000189837</t>
  </si>
  <si>
    <t>CTB071629-4</t>
  </si>
  <si>
    <t>41260803098929000606570010000725221003759529 </t>
  </si>
  <si>
    <t>05955567000135 </t>
  </si>
  <si>
    <t>DAC SO PECAS ACES DE MOVEIS E FERRAGENS LTDA</t>
  </si>
  <si>
    <t>000189856</t>
  </si>
  <si>
    <t>CTB071630-8</t>
  </si>
  <si>
    <t>41260803098929000606570010000725231003759534 </t>
  </si>
  <si>
    <t>19321109000159 </t>
  </si>
  <si>
    <t>SAMONTE PECAS AGRICOLAS LTDA</t>
  </si>
  <si>
    <t>DDBP</t>
  </si>
  <si>
    <t>SANTO ANTONIO DO MONTE</t>
  </si>
  <si>
    <t>DDB</t>
  </si>
  <si>
    <t>000189858</t>
  </si>
  <si>
    <t>CTB071631-6</t>
  </si>
  <si>
    <t>41260803098929000606570010000725241003759540 </t>
  </si>
  <si>
    <t>01420871000127 </t>
  </si>
  <si>
    <t>ATIMA INDUSTRIA E COMERCIO DE MAQUI</t>
  </si>
  <si>
    <t>000189911</t>
  </si>
  <si>
    <t>CTB071632-4</t>
  </si>
  <si>
    <t>41260803098929000606570010000725251003759555 </t>
  </si>
  <si>
    <t>29220490000113 </t>
  </si>
  <si>
    <t>CARGA TEXTIL IND.E COM.DE EQUI</t>
  </si>
  <si>
    <t>04  MOOCA IPIRANGA</t>
  </si>
  <si>
    <t>000189906</t>
  </si>
  <si>
    <t>CTB071959-5</t>
  </si>
  <si>
    <t>41260803098929000606570010000728461003792800 </t>
  </si>
  <si>
    <t>51051811000748 </t>
  </si>
  <si>
    <t>LUITEX MAQUINAS E FERRAMENTAS LTDA</t>
  </si>
  <si>
    <t>AMERICANA</t>
  </si>
  <si>
    <t>000190216</t>
  </si>
  <si>
    <t>CTB072175-1</t>
  </si>
  <si>
    <t>41260803098929000606570010000730561003813820 </t>
  </si>
  <si>
    <t>74469446000104 </t>
  </si>
  <si>
    <t>RR PARAFUSOS, FERRAGENS E FERRAMENTAS LTDA</t>
  </si>
  <si>
    <t>LIMEIRA</t>
  </si>
  <si>
    <t>000190360</t>
  </si>
  <si>
    <t>CTB071635-9</t>
  </si>
  <si>
    <t>41260803098929000606570010000725281003759581 </t>
  </si>
  <si>
    <t>30290688000152 </t>
  </si>
  <si>
    <t>FERRAGENS RAMADA LTDA</t>
  </si>
  <si>
    <t>000189898</t>
  </si>
  <si>
    <t>CTB071636-7</t>
  </si>
  <si>
    <t>41260803098929000606570010000725291003759597 </t>
  </si>
  <si>
    <t>76639285002110 </t>
  </si>
  <si>
    <t>FERRAGENS NEGRAO COMERCIAL LTDA</t>
  </si>
  <si>
    <t>RESENDE</t>
  </si>
  <si>
    <t>000189893</t>
  </si>
  <si>
    <t>CTB071637-5</t>
  </si>
  <si>
    <t>41260803098929000606570010000725301003759601 </t>
  </si>
  <si>
    <t>49700457000106 </t>
  </si>
  <si>
    <t>METALPLAST INDUSTRIA COMERCIO SERVICOS E REPRESENTACOES LTDA</t>
  </si>
  <si>
    <t>CAMPOS DOS GOYTACAZES</t>
  </si>
  <si>
    <t>000189917</t>
  </si>
  <si>
    <t>FATURA:    12234</t>
  </si>
  <si>
    <t>012234</t>
  </si>
  <si>
    <t>CTB072177-8</t>
  </si>
  <si>
    <t>41260803098929000606570010000730581003813841 </t>
  </si>
  <si>
    <t>000190361</t>
  </si>
  <si>
    <t>CTB071707-0</t>
  </si>
  <si>
    <t>41260803098929000606570010000725971003769045 </t>
  </si>
  <si>
    <t>43945764000243 </t>
  </si>
  <si>
    <t>GRUPO METALFORT LTDA</t>
  </si>
  <si>
    <t>CLAUDIO</t>
  </si>
  <si>
    <t>000189966</t>
  </si>
  <si>
    <t>CTB071708-8</t>
  </si>
  <si>
    <t>41260803098929000606570010000726001003769077 </t>
  </si>
  <si>
    <t>000189969</t>
  </si>
  <si>
    <t>CTB071709-6</t>
  </si>
  <si>
    <t>41260803098929000606570010000725991003769066 </t>
  </si>
  <si>
    <t>000189935</t>
  </si>
  <si>
    <t>CTB071710-0</t>
  </si>
  <si>
    <t>41260803098929000606570010000726021003769098 </t>
  </si>
  <si>
    <t>03747042000189 </t>
  </si>
  <si>
    <t>GRADIL FERRO E ACO EIRELI-EPP</t>
  </si>
  <si>
    <t>NVSP</t>
  </si>
  <si>
    <t>NOVA SERRANA</t>
  </si>
  <si>
    <t>NVS</t>
  </si>
  <si>
    <t>000189952</t>
  </si>
  <si>
    <t>CTB071711-8</t>
  </si>
  <si>
    <t>41260803098929000606570010000726011003769082 </t>
  </si>
  <si>
    <t>49439397000101 </t>
  </si>
  <si>
    <t>AQUABLAST INDUSTRIA E COMERCIO DE M</t>
  </si>
  <si>
    <t>000189986</t>
  </si>
  <si>
    <t>CTB071712-6</t>
  </si>
  <si>
    <t>41260803098929000606570010000726031003769109 </t>
  </si>
  <si>
    <t>63999741000148 </t>
  </si>
  <si>
    <t>FERRAMENTAS E UTILIDADES MIRASSOL LTDA</t>
  </si>
  <si>
    <t>MIRASSOL</t>
  </si>
  <si>
    <t>000189970</t>
  </si>
  <si>
    <t>FATURA:   160985</t>
  </si>
  <si>
    <t>CTB071865-3</t>
  </si>
  <si>
    <t>MMB8B50</t>
  </si>
  <si>
    <t>41260803098929000606570010000727551003784282 </t>
  </si>
  <si>
    <t>000190015</t>
  </si>
  <si>
    <t>CTB071866-1</t>
  </si>
  <si>
    <t>41260803098929000606570010000727561003784298 </t>
  </si>
  <si>
    <t>04399074000101 </t>
  </si>
  <si>
    <t>VITAPET COMERCIAL INDUSTRIAL E EXPORTADORA LTDA</t>
  </si>
  <si>
    <t>PRESIDENTE PRUDENTE</t>
  </si>
  <si>
    <t>000190050</t>
  </si>
  <si>
    <t>CTB071867-0</t>
  </si>
  <si>
    <t>41260803098929000606570010000727571003784309 </t>
  </si>
  <si>
    <t>68553817000120 </t>
  </si>
  <si>
    <t>CONSTITUICAO 29 BAZAR E PAPELARIA L</t>
  </si>
  <si>
    <t>000190019</t>
  </si>
  <si>
    <t>CTB071868-8</t>
  </si>
  <si>
    <t>41260803098929000606570010000727581003784314 </t>
  </si>
  <si>
    <t>000189575</t>
  </si>
  <si>
    <t>CTB071869-6</t>
  </si>
  <si>
    <t>41260803098929000606570010000727591003784320 </t>
  </si>
  <si>
    <t>05869306000100 </t>
  </si>
  <si>
    <t>HELPCAD ESTRUTURAS METALICAS E COME</t>
  </si>
  <si>
    <t>20  VALE DO PARAIBA</t>
  </si>
  <si>
    <t>SJKI</t>
  </si>
  <si>
    <t>CRUZEIRO</t>
  </si>
  <si>
    <t>000190048</t>
  </si>
  <si>
    <t>CTB071870-0</t>
  </si>
  <si>
    <t>41260803098929000606570010000727601003784339 </t>
  </si>
  <si>
    <t>52341593000153 </t>
  </si>
  <si>
    <t>CENTERMAK FERRAMENTAS E LAZER LTDA</t>
  </si>
  <si>
    <t>MVGR</t>
  </si>
  <si>
    <t>ANGRA DOS REIS</t>
  </si>
  <si>
    <t>000190018</t>
  </si>
  <si>
    <t>CTB071872-6</t>
  </si>
  <si>
    <t>41260803098929000606570010000727621003784350 </t>
  </si>
  <si>
    <t>45873423000154 </t>
  </si>
  <si>
    <t>CONECBOR BORRACHAS E EPI LTDA</t>
  </si>
  <si>
    <t>000190074</t>
  </si>
  <si>
    <t>CTB071873-4</t>
  </si>
  <si>
    <t>41260803098929000606570010000727631003784365 </t>
  </si>
  <si>
    <t>56276447000142 </t>
  </si>
  <si>
    <t>MANUTENCAO E CONSERVACAO GEPAULO LT</t>
  </si>
  <si>
    <t>000189979</t>
  </si>
  <si>
    <t>CTB071874-2</t>
  </si>
  <si>
    <t>41260803098929000606570010000727641003784370 </t>
  </si>
  <si>
    <t>03508162000123 </t>
  </si>
  <si>
    <t>FABRIL ITATIBA LTDA</t>
  </si>
  <si>
    <t>000190029</t>
  </si>
  <si>
    <t>CTB071875-1</t>
  </si>
  <si>
    <t>41260803098929000606570010000727651003784386 </t>
  </si>
  <si>
    <t>08574411000100 </t>
  </si>
  <si>
    <t>PRATICAR KLIMAQUIP IND. E COM. S.A</t>
  </si>
  <si>
    <t>4   ROTA POUSO ALEGRE</t>
  </si>
  <si>
    <t>POUSO ALEGRE</t>
  </si>
  <si>
    <t>000190026</t>
  </si>
  <si>
    <t>CO3365287</t>
  </si>
  <si>
    <t>ALTP</t>
  </si>
  <si>
    <t>FATURA:      153</t>
  </si>
  <si>
    <t>000153</t>
  </si>
  <si>
    <t>CTB071876-9</t>
  </si>
  <si>
    <t>41260803098929000606570010000727661003784391 </t>
  </si>
  <si>
    <t>000190056</t>
  </si>
  <si>
    <t>CTB071880-7</t>
  </si>
  <si>
    <t>41260803098929000606570010000727941003786100 </t>
  </si>
  <si>
    <t>66032468000176 </t>
  </si>
  <si>
    <t>SIGMA REPRESENTACAO COMERCIAL LTDA</t>
  </si>
  <si>
    <t>000190146</t>
  </si>
  <si>
    <t>FATURA:   233474</t>
  </si>
  <si>
    <t>CTB071881-5</t>
  </si>
  <si>
    <t>41260803098929000606570010000727881003786049 </t>
  </si>
  <si>
    <t>07175129000180 </t>
  </si>
  <si>
    <t>MARCENARIA CONCEITO LTDA</t>
  </si>
  <si>
    <t>CAMPO LIMPO PAULISTA</t>
  </si>
  <si>
    <t>000190126</t>
  </si>
  <si>
    <t>CTB071882-3</t>
  </si>
  <si>
    <t>41260803098929000606570010000727921003786084 </t>
  </si>
  <si>
    <t>29204163000178 </t>
  </si>
  <si>
    <t>PARAFUSOS BRASIL EIRELI</t>
  </si>
  <si>
    <t>000190142</t>
  </si>
  <si>
    <t>CTB071951-0</t>
  </si>
  <si>
    <t>REENTREGA</t>
  </si>
  <si>
    <t>41260803098929000606570010000728381003791143 </t>
  </si>
  <si>
    <t>CTB072284-7</t>
  </si>
  <si>
    <t>41260803098929000606570010000731401003819948 </t>
  </si>
  <si>
    <t>67200618000176 </t>
  </si>
  <si>
    <t>COMERCIAL AGRO TINTAS SAO MATHEUS L</t>
  </si>
  <si>
    <t>VINHEDO</t>
  </si>
  <si>
    <t>000190562</t>
  </si>
  <si>
    <t>CTB071960-9</t>
  </si>
  <si>
    <t>41260803098929000606570010000728471003792815 </t>
  </si>
  <si>
    <t>000190211</t>
  </si>
  <si>
    <t>CTB072056-9</t>
  </si>
  <si>
    <t>41260803098929000606570010000729421003802631 </t>
  </si>
  <si>
    <t>50716313000119 </t>
  </si>
  <si>
    <t>AMETEC - INDUSTRIA E COMERCIO DE FERRO L</t>
  </si>
  <si>
    <t>000190246</t>
  </si>
  <si>
    <t>CTB072057-7</t>
  </si>
  <si>
    <t>41260803098929000606570010000729451003802668 </t>
  </si>
  <si>
    <t>02144832000107 </t>
  </si>
  <si>
    <t>ARTE E MANIA MOVEIS EIRELI</t>
  </si>
  <si>
    <t>000190300</t>
  </si>
  <si>
    <t>CTB072059-3</t>
  </si>
  <si>
    <t>41260803098929000606570010000729471003802689 </t>
  </si>
  <si>
    <t>17632108000108 </t>
  </si>
  <si>
    <t>MOVEIS PLANEJADOS RESTIER LTDA</t>
  </si>
  <si>
    <t>VISCONDE DO RIO BRANCO</t>
  </si>
  <si>
    <t>000190264</t>
  </si>
  <si>
    <t>CTB072169-7</t>
  </si>
  <si>
    <t>41260803098929000606570010000730511003813778 </t>
  </si>
  <si>
    <t>33288940000187 </t>
  </si>
  <si>
    <t>RDB EQUIPAMENTOS LTDA</t>
  </si>
  <si>
    <t>000190458</t>
  </si>
  <si>
    <t>CTB072170-1</t>
  </si>
  <si>
    <t>41260803098929000606570010000730521003813783 </t>
  </si>
  <si>
    <t>42698040000107 </t>
  </si>
  <si>
    <t>DOUTORA DA BORRACHA LTDA</t>
  </si>
  <si>
    <t>000190456</t>
  </si>
  <si>
    <t>CTB072171-9</t>
  </si>
  <si>
    <t>41260803098929000606570010000730531003813799 </t>
  </si>
  <si>
    <t>47688104000102 </t>
  </si>
  <si>
    <t>HB EQUIPAMENTOS E FIXACAO LTDA</t>
  </si>
  <si>
    <t>AREALVA</t>
  </si>
  <si>
    <t>000190294</t>
  </si>
  <si>
    <t>FATURA:   161555</t>
  </si>
  <si>
    <t>CTB072172-7</t>
  </si>
  <si>
    <t>41260803098929000606570010000730541003813800 </t>
  </si>
  <si>
    <t>000189487</t>
  </si>
  <si>
    <t>CTB072173-5</t>
  </si>
  <si>
    <t>41260803098929000606570010000730601003813866 </t>
  </si>
  <si>
    <t>21278160000177 </t>
  </si>
  <si>
    <t>DANIEL DE CARVALHO GONCALVES</t>
  </si>
  <si>
    <t>AMERICO DE CAMPOS</t>
  </si>
  <si>
    <t>000190452</t>
  </si>
  <si>
    <t>CTB072174-3</t>
  </si>
  <si>
    <t>41260803098929000606570010000730551003813815 </t>
  </si>
  <si>
    <t>000190384</t>
  </si>
  <si>
    <t>CTB072287-1</t>
  </si>
  <si>
    <t>41260803098929000606570010000731421003819969 </t>
  </si>
  <si>
    <t>000190540</t>
  </si>
  <si>
    <t>CTB072176-0</t>
  </si>
  <si>
    <t>41260803098929000606570010000730571003813836 </t>
  </si>
  <si>
    <t>000190401</t>
  </si>
  <si>
    <t>CTB072290-1</t>
  </si>
  <si>
    <t>41260803098929000606570010000731411003819953 </t>
  </si>
  <si>
    <t>59105999000348 </t>
  </si>
  <si>
    <t>WHIRLPOOL S/A</t>
  </si>
  <si>
    <t>RIO CLARO</t>
  </si>
  <si>
    <t>000190512</t>
  </si>
  <si>
    <t>CTB072178-6</t>
  </si>
  <si>
    <t>41260803098929000606570010000730591003813857 </t>
  </si>
  <si>
    <t>47582955000168 </t>
  </si>
  <si>
    <t>ALEXAN MOVELARIA LTDA</t>
  </si>
  <si>
    <t>000190371</t>
  </si>
  <si>
    <t>CTB072179-4</t>
  </si>
  <si>
    <t>41260803098929000606570010000730611003813871 </t>
  </si>
  <si>
    <t>23476033001180 </t>
  </si>
  <si>
    <t>BMB MATERIAL DE CONSTRUCAO S.A. 0011-80</t>
  </si>
  <si>
    <t>000189978</t>
  </si>
  <si>
    <t>CTB072280-4</t>
  </si>
  <si>
    <t>41260803098929000606570010000731831003820374 </t>
  </si>
  <si>
    <t>05625432000101 </t>
  </si>
  <si>
    <t>COMERCIAL VEBO LTDA-ME</t>
  </si>
  <si>
    <t>VILA VELHA</t>
  </si>
  <si>
    <t>000190531</t>
  </si>
  <si>
    <t>FATURA:    55632</t>
  </si>
  <si>
    <t>055632</t>
  </si>
  <si>
    <t>CTB072281-2</t>
  </si>
  <si>
    <t>41260803098929000606570010000731801003820348 </t>
  </si>
  <si>
    <t>11659159000139 </t>
  </si>
  <si>
    <t>271427-01-PEM FERRAGENS S/A</t>
  </si>
  <si>
    <t>000190558</t>
  </si>
  <si>
    <t>CTB072282-1</t>
  </si>
  <si>
    <t>41260803098929000606570010000731841003820380 </t>
  </si>
  <si>
    <t>16735032000175 </t>
  </si>
  <si>
    <t>FABIO DUTRA DECORACOES EIRELI</t>
  </si>
  <si>
    <t>000190560</t>
  </si>
  <si>
    <t>CTB072283-9</t>
  </si>
  <si>
    <t>41260803098929000606570010000731361003819902 </t>
  </si>
  <si>
    <t>14034505000181 </t>
  </si>
  <si>
    <t>HIDROLUX MONTE ALTO MAT ELET HID LTDA</t>
  </si>
  <si>
    <t>MONTE ALTO</t>
  </si>
  <si>
    <t>000190520</t>
  </si>
  <si>
    <t>FATURA:   327985</t>
  </si>
  <si>
    <t>CTB071015-6</t>
  </si>
  <si>
    <t>41260803098929000606570010000719101003695748 </t>
  </si>
  <si>
    <t>61467021000106 </t>
  </si>
  <si>
    <t>RMPHOSP MANUTENCOES EM EQUIP LTDA</t>
  </si>
  <si>
    <t>SODP</t>
  </si>
  <si>
    <t>ITU</t>
  </si>
  <si>
    <t>SOD</t>
  </si>
  <si>
    <t>000189152</t>
  </si>
  <si>
    <t>CTB072285-5</t>
  </si>
  <si>
    <t>41260803098929000606570010000731351003819891 </t>
  </si>
  <si>
    <t>08968316000183 </t>
  </si>
  <si>
    <t>ELETRO IMPACTO DE MERITI LTDA</t>
  </si>
  <si>
    <t>SJM SAAO JOAAO DE MERITI</t>
  </si>
  <si>
    <t>SAO JOAO DE MERITI</t>
  </si>
  <si>
    <t>000190557</t>
  </si>
  <si>
    <t>CTB072286-3</t>
  </si>
  <si>
    <t>41260803098929000606570010000731371003819918 </t>
  </si>
  <si>
    <t>16914715000190 </t>
  </si>
  <si>
    <t>CASA DOS PARAFUSOS LTDA</t>
  </si>
  <si>
    <t>000190519</t>
  </si>
  <si>
    <t>CTB071201-9</t>
  </si>
  <si>
    <t>41260803098929000606570010000721131003718848 </t>
  </si>
  <si>
    <t>14011603000101 </t>
  </si>
  <si>
    <t>AISIN AUTOMOTIVE LTDA</t>
  </si>
  <si>
    <t>000189426</t>
  </si>
  <si>
    <t>CTB072288-0</t>
  </si>
  <si>
    <t>41260803098929000606570010000731441003819980 </t>
  </si>
  <si>
    <t>000190535</t>
  </si>
  <si>
    <t>CTB072289-8</t>
  </si>
  <si>
    <t>41260803098929000606570010000731461003820001 </t>
  </si>
  <si>
    <t>000190403</t>
  </si>
  <si>
    <t>CTB071203-5</t>
  </si>
  <si>
    <t>41260803098929000606570010000720941003718581 </t>
  </si>
  <si>
    <t>62176201000100 </t>
  </si>
  <si>
    <t>SOROFLEX COM. BORRACHAS INDS.</t>
  </si>
  <si>
    <t>SOROCABA</t>
  </si>
  <si>
    <t>000189331</t>
  </si>
  <si>
    <t>CTB072291-0</t>
  </si>
  <si>
    <t>41260803098929000606570010000731481003820022 </t>
  </si>
  <si>
    <t>43750726000154 </t>
  </si>
  <si>
    <t>SAO PEDRO ALUGUEL DE EQUIPAMENTOS LTDA</t>
  </si>
  <si>
    <t>000190579</t>
  </si>
  <si>
    <t>CTB072292-8</t>
  </si>
  <si>
    <t>41260803098929000606570010000731431003819974 </t>
  </si>
  <si>
    <t>17359233000188 </t>
  </si>
  <si>
    <t>TECIDOS E ARMAR MIGUEL BARTOLOMEU S/A</t>
  </si>
  <si>
    <t>000190474</t>
  </si>
  <si>
    <t>CTB072293-6</t>
  </si>
  <si>
    <t>41260803098929000606570010000731521003820068 </t>
  </si>
  <si>
    <t>31684640000191 </t>
  </si>
  <si>
    <t>LOJAO DOS PARAFUSOS LTDA</t>
  </si>
  <si>
    <t>000190528</t>
  </si>
  <si>
    <t>CTB072294-4</t>
  </si>
  <si>
    <t>41260803098929000606570010000731541003820089 </t>
  </si>
  <si>
    <t>27603327000104 </t>
  </si>
  <si>
    <t>REMAHOSP RESTAURACAO E MANUTENCAO D</t>
  </si>
  <si>
    <t>000190509</t>
  </si>
  <si>
    <t>CTB072295-2</t>
  </si>
  <si>
    <t>41260803098929000606570010000731561003820105 </t>
  </si>
  <si>
    <t>20555389000149 </t>
  </si>
  <si>
    <t>CORSINO COMERCIO E REPRESENTACOES LTDA</t>
  </si>
  <si>
    <t>000190556</t>
  </si>
  <si>
    <t>CTB072296-1</t>
  </si>
  <si>
    <t>41260803098929000606570010000731451003819995 </t>
  </si>
  <si>
    <t>53877568000151 </t>
  </si>
  <si>
    <t>MEPAC SOLUTIONS ATACADO E DISTRIBUI</t>
  </si>
  <si>
    <t>000190521</t>
  </si>
  <si>
    <t>PSP635796-2</t>
  </si>
  <si>
    <t>DEVOLUCAO</t>
  </si>
  <si>
    <t>ARMAZEM</t>
  </si>
  <si>
    <t>35260803098929000517570010008654121003783719 </t>
  </si>
  <si>
    <t xml:space="preserve">R ANTONIO JORGE CHEBAB 1471 </t>
  </si>
  <si>
    <t>CENTRO</t>
  </si>
  <si>
    <t xml:space="preserve"> 13170-005</t>
  </si>
  <si>
    <t>HORTOLANDIA</t>
  </si>
  <si>
    <t>671251785115</t>
  </si>
  <si>
    <t>(19  ) 38284670</t>
  </si>
  <si>
    <t>SOD636197-8</t>
  </si>
  <si>
    <t>35260803098929000517570010008657901003791480 </t>
  </si>
  <si>
    <t>03794805000142 </t>
  </si>
  <si>
    <t>REALMIX PRODUTOS DE BORRACHA L</t>
  </si>
  <si>
    <t xml:space="preserve">AVENIDA SAO PAULO 1852 </t>
  </si>
  <si>
    <t>ALEM PONTE</t>
  </si>
  <si>
    <t xml:space="preserve"> 18013-004</t>
  </si>
  <si>
    <t>000011657</t>
  </si>
  <si>
    <t>798419233116</t>
  </si>
  <si>
    <t>(15  ) 32379600</t>
  </si>
  <si>
    <t>SPO633643-4</t>
  </si>
  <si>
    <t>CSK1530</t>
  </si>
  <si>
    <t>35260803098929000517570010008634451003733888 </t>
  </si>
  <si>
    <t xml:space="preserve">R. BARTOLOMEU PAES 618 </t>
  </si>
  <si>
    <t>VILA ANASTACIO</t>
  </si>
  <si>
    <t>07</t>
  </si>
  <si>
    <t xml:space="preserve"> 05092-000</t>
  </si>
  <si>
    <t>000006000</t>
  </si>
  <si>
    <t>115248937110</t>
  </si>
  <si>
    <t>(11  ) 38365977</t>
  </si>
  <si>
    <r>
      <rPr>
        <b/>
        <sz val="11"/>
        <color theme="1"/>
        <rFont val="Calibri"/>
        <charset val="134"/>
        <scheme val="minor"/>
      </rPr>
      <t>Como fazer cálculo:</t>
    </r>
    <r>
      <rPr>
        <sz val="11"/>
        <color theme="1"/>
        <rFont val="Calibri"/>
        <charset val="134"/>
        <scheme val="minor"/>
      </rPr>
      <t xml:space="preserve"> Retirar relatório opção 200, informando o periodo mensal por unidade origem. Retirar os manifestos "Cancelados". Analisar por rota. Peso Calculo e R$ CTRB. Rota SET x BHZ e BHZ x SET calcular somente uma vez. Valor CTRB e Peso calculo. </t>
    </r>
  </si>
  <si>
    <t>Filial Distribuição</t>
  </si>
  <si>
    <t>SET</t>
  </si>
  <si>
    <t>BNU/BSQ</t>
  </si>
  <si>
    <t>MESES</t>
  </si>
  <si>
    <t>ROTA</t>
  </si>
  <si>
    <t>SPO-BHZ</t>
  </si>
  <si>
    <t>SPO-RJO</t>
  </si>
  <si>
    <t>SPO-SET</t>
  </si>
  <si>
    <t>SPO-CTB</t>
  </si>
  <si>
    <t>BHZ-SPO</t>
  </si>
  <si>
    <t>BHZ-SET/SET-BHZ</t>
  </si>
  <si>
    <t>BHZ-RJO</t>
  </si>
  <si>
    <t>RJO-BHZ</t>
  </si>
  <si>
    <t>RJO-SPO</t>
  </si>
  <si>
    <t>SET-SPO</t>
  </si>
  <si>
    <t>CTB-SPO</t>
  </si>
  <si>
    <t>CTB-BHZ</t>
  </si>
  <si>
    <t>BNU/BSQ-SPO</t>
  </si>
  <si>
    <t>JAN</t>
  </si>
  <si>
    <t>PESO</t>
  </si>
  <si>
    <t>R$ CTRB</t>
  </si>
  <si>
    <t>R$ MÉDIO</t>
  </si>
  <si>
    <t>FEV</t>
  </si>
  <si>
    <t>MAR</t>
  </si>
  <si>
    <t>ABR</t>
  </si>
  <si>
    <t>MAI</t>
  </si>
  <si>
    <t>JUN</t>
  </si>
  <si>
    <t>JUL</t>
  </si>
  <si>
    <t>AGO</t>
  </si>
  <si>
    <t>OUT</t>
  </si>
  <si>
    <t>NOV</t>
  </si>
  <si>
    <t>DEZ</t>
  </si>
  <si>
    <t>RETIRA BH = EJM/ROP/SES/STJ</t>
  </si>
  <si>
    <t>RETIRA SL = DDB/SSO</t>
  </si>
  <si>
    <t>DATA EMISSÃO</t>
  </si>
  <si>
    <t>TIPO DE DOCUMENTO</t>
  </si>
  <si>
    <t>PLACA DE COLETA</t>
  </si>
  <si>
    <t>EMISSORA</t>
  </si>
  <si>
    <t>UF</t>
  </si>
  <si>
    <t>RECEPTORA</t>
  </si>
  <si>
    <t>CLIENTE PAGADOR</t>
  </si>
  <si>
    <t>NF</t>
  </si>
  <si>
    <t>R$ MERCADORIA</t>
  </si>
  <si>
    <t>VOLUMES</t>
  </si>
  <si>
    <t>% ICMS</t>
  </si>
  <si>
    <t>R$ COLETA</t>
  </si>
  <si>
    <t>CUSTO TRANSF 1</t>
  </si>
  <si>
    <t>CUSTO  TRANSF 2</t>
  </si>
  <si>
    <t>R$ DISTRIBUIÇÃO</t>
  </si>
  <si>
    <t>COMISSÃO UNIDADE</t>
  </si>
  <si>
    <t>R$ REDESPACHO</t>
  </si>
  <si>
    <t>PARCEIRO % / FRETE</t>
  </si>
  <si>
    <t>CUSTO OP.</t>
  </si>
  <si>
    <t>% / FRETE</t>
  </si>
  <si>
    <t>Seguro Acidente (0,010%) com iof</t>
  </si>
  <si>
    <t>Seguro Roubo (0,010%) com iof</t>
  </si>
  <si>
    <t>TOTAL CUSTOS OP.</t>
  </si>
  <si>
    <t>%FRETE</t>
  </si>
  <si>
    <t>INSS DESON</t>
  </si>
  <si>
    <t>PIS/COFINS/IRPJ/CSLL 5,2%</t>
  </si>
  <si>
    <t>TOTAL R$ TRIBUTOS</t>
  </si>
  <si>
    <t>CUSTO GERAL</t>
  </si>
  <si>
    <t>R$ LÍQUIDO</t>
  </si>
  <si>
    <t>RESULTADO</t>
  </si>
  <si>
    <t>CUSTO R$/KG</t>
  </si>
  <si>
    <t>F</t>
  </si>
  <si>
    <t>C</t>
  </si>
  <si>
    <t>G</t>
  </si>
  <si>
    <t>E</t>
  </si>
  <si>
    <t>O</t>
  </si>
  <si>
    <t>AM</t>
  </si>
  <si>
    <t>AL</t>
  </si>
  <si>
    <t>V</t>
  </si>
  <si>
    <t>AN</t>
  </si>
  <si>
    <t>AY</t>
  </si>
  <si>
    <t>AQ</t>
  </si>
  <si>
    <t>BH</t>
  </si>
  <si>
    <t>BB</t>
  </si>
  <si>
    <t>BF</t>
  </si>
  <si>
    <t>-</t>
  </si>
  <si>
    <t>DJ</t>
  </si>
  <si>
    <t>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</si>
</sst>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;@"/>
    <numFmt numFmtId="181" formatCode="&quot;R$&quot;\ #,##0.00_);[Red]\(&quot;R$&quot;\ #,##0.00\)"/>
    <numFmt numFmtId="182" formatCode="_-* #,##0_-;\-* #,##0_-;_-* &quot;-&quot;??_-;_-@_-"/>
    <numFmt numFmtId="183" formatCode="_-&quot;R$ &quot;* #,##0.00_-;&quot;-R$ &quot;* #,##0.00_-;_-&quot;R$ &quot;* \-??_-;_-@_-"/>
    <numFmt numFmtId="184" formatCode="0.0%"/>
    <numFmt numFmtId="185" formatCode="&quot;R$ &quot;#,##0.00_);[Red]&quot;(R$ &quot;#,###.00\)"/>
    <numFmt numFmtId="186" formatCode="[$R$]#,##0"/>
    <numFmt numFmtId="187" formatCode="&quot;R$&quot;#,##0.00;[Red]\-&quot;R$&quot;#,##0.00"/>
    <numFmt numFmtId="188" formatCode="&quot;R$&quot;\ #,##0.00"/>
    <numFmt numFmtId="189" formatCode="0.00_);[Red]\(0.00\)"/>
    <numFmt numFmtId="190" formatCode="#,##0.00_ "/>
    <numFmt numFmtId="191" formatCode="#,##0.00\ ;&quot; (&quot;#,##0.00\);&quot; -&quot;#\ ;@\ "/>
    <numFmt numFmtId="192" formatCode="#,##0.0000\ ;&quot; (&quot;#,##0.0000\);&quot; -&quot;#.00\ ;@\ "/>
    <numFmt numFmtId="193" formatCode="0.00_ "/>
    <numFmt numFmtId="194" formatCode="&quot;R$&quot;\ #,##0.0000_);[Red]\(&quot;R$&quot;\ #,##0.0000\)"/>
  </numFmts>
  <fonts count="49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</font>
    <font>
      <b/>
      <sz val="9"/>
      <color theme="1"/>
      <name val="Calibri"/>
      <charset val="134"/>
    </font>
    <font>
      <b/>
      <sz val="9"/>
      <name val="Calibri"/>
      <charset val="134"/>
    </font>
    <font>
      <b/>
      <sz val="9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indexed="8"/>
      <name val="Calibri"/>
      <charset val="0"/>
    </font>
    <font>
      <b/>
      <sz val="1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9"/>
      <color indexed="8"/>
      <name val="Calibri"/>
      <charset val="0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000000"/>
      <name val="Calibri"/>
      <charset val="134"/>
    </font>
    <font>
      <sz val="10"/>
      <color theme="1"/>
      <name val="Calibri"/>
      <charset val="134"/>
      <scheme val="minor"/>
    </font>
    <font>
      <sz val="9"/>
      <color theme="0"/>
      <name val="Calibri"/>
      <charset val="134"/>
      <scheme val="minor"/>
    </font>
    <font>
      <sz val="9"/>
      <color theme="1"/>
      <name val="Calibri"/>
      <charset val="134"/>
    </font>
    <font>
      <b/>
      <sz val="10"/>
      <color theme="0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sz val="10"/>
      <color rgb="FFFF0000"/>
      <name val="Tahoma"/>
      <charset val="134"/>
    </font>
    <font>
      <sz val="10"/>
      <color theme="1"/>
      <name val="Tahoma"/>
      <charset val="134"/>
    </font>
    <font>
      <b/>
      <sz val="12"/>
      <color theme="1"/>
      <name val="Calibri"/>
      <charset val="134"/>
      <scheme val="minor"/>
    </font>
    <font>
      <b/>
      <sz val="12"/>
      <color rgb="FF00B050"/>
      <name val="Calibri"/>
      <charset val="134"/>
      <scheme val="minor"/>
    </font>
    <font>
      <b/>
      <sz val="10"/>
      <color rgb="FFFF0000"/>
      <name val="Tahoma"/>
      <charset val="134"/>
    </font>
    <font>
      <b/>
      <sz val="14"/>
      <color theme="0"/>
      <name val="Calibri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333333"/>
      <name val="Calibri"/>
      <charset val="134"/>
    </font>
  </fonts>
  <fills count="66">
    <fill>
      <patternFill patternType="none"/>
    </fill>
    <fill>
      <patternFill patternType="gray125"/>
    </fill>
    <fill>
      <patternFill patternType="solid">
        <fgColor theme="2" tint="-0.5"/>
        <bgColor rgb="FF003300"/>
      </patternFill>
    </fill>
    <fill>
      <patternFill patternType="solid">
        <fgColor theme="2" tint="-0.5"/>
        <bgColor rgb="FF0066CC"/>
      </patternFill>
    </fill>
    <fill>
      <patternFill patternType="solid">
        <fgColor theme="2" tint="-0.5"/>
        <bgColor rgb="FFFFC000"/>
      </patternFill>
    </fill>
    <fill>
      <patternFill patternType="solid">
        <fgColor theme="7" tint="0.6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E1"/>
        <bgColor rgb="FFFFC000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rgb="FF92D050"/>
        <bgColor rgb="FFFFC000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34"/>
      </patternFill>
    </fill>
    <fill>
      <patternFill patternType="solid">
        <fgColor rgb="FFFFFFCC"/>
        <bgColor indexed="26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theme="8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"/>
      </left>
      <right/>
      <top/>
      <bottom/>
      <diagonal/>
    </border>
    <border>
      <left/>
      <right/>
      <top/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/>
      <top style="thin">
        <color theme="0" tint="-0.149998474074526"/>
      </top>
      <bottom style="thin">
        <color theme="0" tint="-0.149998474074526"/>
      </bottom>
      <diagonal/>
    </border>
    <border>
      <left/>
      <right/>
      <top style="thin">
        <color theme="0" tint="-0.149998474074526"/>
      </top>
      <bottom style="thin">
        <color theme="0" tint="-0.149998474074526"/>
      </bottom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/>
      <bottom style="thin">
        <color theme="0" tint="-0.149998474074526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349986266670736"/>
      </left>
      <right style="medium">
        <color theme="0" tint="-0.349986266670736"/>
      </right>
      <top style="medium">
        <color theme="0" tint="-0.349986266670736"/>
      </top>
      <bottom style="medium">
        <color theme="0" tint="-0.349986266670736"/>
      </bottom>
      <diagonal/>
    </border>
    <border>
      <left style="hair">
        <color theme="2" tint="-0.249977111117893"/>
      </left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8" borderId="23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4" applyNumberFormat="0" applyFill="0" applyAlignment="0" applyProtection="0"/>
    <xf numFmtId="0" fontId="38" fillId="0" borderId="25" applyNumberFormat="0" applyFill="0" applyAlignment="0" applyProtection="0"/>
    <xf numFmtId="0" fontId="39" fillId="0" borderId="26" applyNumberFormat="0" applyFill="0" applyAlignment="0" applyProtection="0"/>
    <xf numFmtId="0" fontId="39" fillId="0" borderId="0" applyNumberFormat="0" applyFill="0" applyBorder="0" applyAlignment="0" applyProtection="0"/>
    <xf numFmtId="0" fontId="40" fillId="42" borderId="27" applyNumberFormat="0" applyAlignment="0" applyProtection="0"/>
    <xf numFmtId="0" fontId="41" fillId="43" borderId="28" applyNumberFormat="0" applyAlignment="0" applyProtection="0"/>
    <xf numFmtId="0" fontId="42" fillId="43" borderId="27" applyNumberFormat="0" applyAlignment="0" applyProtection="0"/>
    <xf numFmtId="0" fontId="10" fillId="44" borderId="29" applyNumberFormat="0" applyAlignment="0" applyProtection="0"/>
    <xf numFmtId="0" fontId="43" fillId="0" borderId="30" applyNumberFormat="0" applyFill="0" applyAlignment="0" applyProtection="0"/>
    <xf numFmtId="0" fontId="13" fillId="0" borderId="31" applyNumberFormat="0" applyFill="0" applyAlignment="0" applyProtection="0"/>
    <xf numFmtId="0" fontId="44" fillId="45" borderId="0" applyNumberFormat="0" applyBorder="0" applyAlignment="0" applyProtection="0"/>
    <xf numFmtId="0" fontId="45" fillId="46" borderId="0" applyNumberFormat="0" applyBorder="0" applyAlignment="0" applyProtection="0"/>
    <xf numFmtId="0" fontId="46" fillId="47" borderId="0" applyNumberFormat="0" applyBorder="0" applyAlignment="0" applyProtection="0"/>
    <xf numFmtId="0" fontId="47" fillId="48" borderId="0" applyNumberFormat="0" applyBorder="0" applyAlignment="0" applyProtection="0"/>
    <xf numFmtId="0" fontId="0" fillId="49" borderId="0" applyNumberFormat="0" applyBorder="0" applyAlignment="0" applyProtection="0"/>
    <xf numFmtId="0" fontId="0" fillId="25" borderId="0" applyNumberFormat="0" applyBorder="0" applyAlignment="0" applyProtection="0"/>
    <xf numFmtId="0" fontId="0" fillId="50" borderId="0" applyNumberFormat="0" applyBorder="0" applyAlignment="0" applyProtection="0"/>
    <xf numFmtId="0" fontId="47" fillId="51" borderId="0" applyNumberFormat="0" applyBorder="0" applyAlignment="0" applyProtection="0"/>
    <xf numFmtId="0" fontId="0" fillId="52" borderId="0" applyNumberFormat="0" applyBorder="0" applyAlignment="0" applyProtection="0"/>
    <xf numFmtId="0" fontId="0" fillId="23" borderId="0" applyNumberFormat="0" applyBorder="0" applyAlignment="0" applyProtection="0"/>
    <xf numFmtId="0" fontId="0" fillId="53" borderId="0" applyNumberFormat="0" applyBorder="0" applyAlignment="0" applyProtection="0"/>
    <xf numFmtId="0" fontId="47" fillId="54" borderId="0" applyNumberFormat="0" applyBorder="0" applyAlignment="0" applyProtection="0"/>
    <xf numFmtId="0" fontId="0" fillId="55" borderId="0" applyNumberFormat="0" applyBorder="0" applyAlignment="0" applyProtection="0"/>
    <xf numFmtId="0" fontId="0" fillId="56" borderId="0" applyNumberFormat="0" applyBorder="0" applyAlignment="0" applyProtection="0"/>
    <xf numFmtId="0" fontId="0" fillId="57" borderId="0" applyNumberFormat="0" applyBorder="0" applyAlignment="0" applyProtection="0"/>
    <xf numFmtId="0" fontId="47" fillId="13" borderId="0" applyNumberFormat="0" applyBorder="0" applyAlignment="0" applyProtection="0"/>
    <xf numFmtId="0" fontId="0" fillId="58" borderId="0" applyNumberFormat="0" applyBorder="0" applyAlignment="0" applyProtection="0"/>
    <xf numFmtId="0" fontId="0" fillId="32" borderId="0" applyNumberFormat="0" applyBorder="0" applyAlignment="0" applyProtection="0"/>
    <xf numFmtId="0" fontId="0" fillId="59" borderId="0" applyNumberFormat="0" applyBorder="0" applyAlignment="0" applyProtection="0"/>
    <xf numFmtId="0" fontId="47" fillId="60" borderId="0" applyNumberFormat="0" applyBorder="0" applyAlignment="0" applyProtection="0"/>
    <xf numFmtId="0" fontId="0" fillId="61" borderId="0" applyNumberFormat="0" applyBorder="0" applyAlignment="0" applyProtection="0"/>
    <xf numFmtId="0" fontId="0" fillId="37" borderId="0" applyNumberFormat="0" applyBorder="0" applyAlignment="0" applyProtection="0"/>
    <xf numFmtId="0" fontId="0" fillId="62" borderId="0" applyNumberFormat="0" applyBorder="0" applyAlignment="0" applyProtection="0"/>
    <xf numFmtId="0" fontId="47" fillId="63" borderId="0" applyNumberFormat="0" applyBorder="0" applyAlignment="0" applyProtection="0"/>
    <xf numFmtId="0" fontId="0" fillId="64" borderId="0" applyNumberFormat="0" applyBorder="0" applyAlignment="0" applyProtection="0"/>
    <xf numFmtId="0" fontId="0" fillId="26" borderId="0" applyNumberFormat="0" applyBorder="0" applyAlignment="0" applyProtection="0"/>
    <xf numFmtId="0" fontId="0" fillId="65" borderId="0" applyNumberFormat="0" applyBorder="0" applyAlignment="0" applyProtection="0"/>
    <xf numFmtId="0" fontId="48" fillId="0" borderId="0"/>
    <xf numFmtId="9" fontId="48" fillId="0" borderId="0"/>
  </cellStyleXfs>
  <cellXfs count="207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80" fontId="2" fillId="0" borderId="0" xfId="0" applyNumberFormat="1" applyFont="1" applyFill="1" applyAlignment="1">
      <alignment vertical="center"/>
    </xf>
    <xf numFmtId="180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81" fontId="5" fillId="0" borderId="0" xfId="2" applyNumberFormat="1" applyFont="1" applyFill="1" applyAlignment="1">
      <alignment vertical="center"/>
    </xf>
    <xf numFmtId="182" fontId="5" fillId="0" borderId="0" xfId="1" applyNumberFormat="1" applyFont="1" applyFill="1" applyAlignment="1">
      <alignment vertical="center"/>
    </xf>
    <xf numFmtId="176" fontId="5" fillId="0" borderId="0" xfId="1" applyFont="1" applyFill="1" applyAlignment="1">
      <alignment vertical="center"/>
    </xf>
    <xf numFmtId="177" fontId="5" fillId="0" borderId="0" xfId="2" applyFont="1" applyFill="1" applyAlignment="1">
      <alignment vertical="center"/>
    </xf>
    <xf numFmtId="10" fontId="5" fillId="0" borderId="0" xfId="3" applyNumberFormat="1" applyFont="1" applyFill="1" applyAlignment="1">
      <alignment vertical="center"/>
    </xf>
    <xf numFmtId="10" fontId="2" fillId="0" borderId="0" xfId="0" applyNumberFormat="1" applyFont="1" applyFill="1" applyAlignment="1">
      <alignment vertical="center"/>
    </xf>
    <xf numFmtId="18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81" fontId="6" fillId="2" borderId="1" xfId="2" applyNumberFormat="1" applyFont="1" applyFill="1" applyBorder="1" applyAlignment="1">
      <alignment horizontal="center" vertical="center" wrapText="1"/>
    </xf>
    <xf numFmtId="182" fontId="6" fillId="2" borderId="1" xfId="1" applyNumberFormat="1" applyFont="1" applyFill="1" applyBorder="1" applyAlignment="1">
      <alignment horizontal="center" vertical="center" wrapText="1"/>
    </xf>
    <xf numFmtId="176" fontId="6" fillId="2" borderId="1" xfId="1" applyFont="1" applyFill="1" applyBorder="1" applyAlignment="1">
      <alignment horizontal="center" vertical="center" wrapText="1"/>
    </xf>
    <xf numFmtId="177" fontId="6" fillId="2" borderId="1" xfId="2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83" fontId="6" fillId="3" borderId="1" xfId="2" applyNumberFormat="1" applyFont="1" applyFill="1" applyBorder="1" applyAlignment="1" applyProtection="1">
      <alignment horizontal="center" vertical="center" wrapText="1"/>
    </xf>
    <xf numFmtId="10" fontId="6" fillId="3" borderId="1" xfId="3" applyNumberFormat="1" applyFont="1" applyFill="1" applyBorder="1" applyAlignment="1" applyProtection="1">
      <alignment horizontal="center" vertical="center" wrapText="1"/>
    </xf>
    <xf numFmtId="183" fontId="6" fillId="2" borderId="1" xfId="2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vertical="center"/>
    </xf>
    <xf numFmtId="181" fontId="4" fillId="5" borderId="1" xfId="0" applyNumberFormat="1" applyFont="1" applyFill="1" applyBorder="1" applyAlignment="1">
      <alignment vertical="center"/>
    </xf>
    <xf numFmtId="182" fontId="4" fillId="5" borderId="1" xfId="1" applyNumberFormat="1" applyFont="1" applyFill="1" applyBorder="1" applyAlignment="1">
      <alignment vertical="center"/>
    </xf>
    <xf numFmtId="176" fontId="4" fillId="5" borderId="1" xfId="1" applyFont="1" applyFill="1" applyBorder="1" applyAlignment="1">
      <alignment vertical="center"/>
    </xf>
    <xf numFmtId="10" fontId="4" fillId="5" borderId="1" xfId="3" applyNumberFormat="1" applyFont="1" applyFill="1" applyBorder="1" applyAlignment="1">
      <alignment vertical="center"/>
    </xf>
    <xf numFmtId="183" fontId="7" fillId="0" borderId="1" xfId="2" applyNumberFormat="1" applyFont="1" applyFill="1" applyBorder="1" applyAlignment="1" applyProtection="1"/>
    <xf numFmtId="183" fontId="8" fillId="0" borderId="1" xfId="2" applyNumberFormat="1" applyFont="1" applyFill="1" applyBorder="1" applyAlignment="1" applyProtection="1"/>
    <xf numFmtId="10" fontId="4" fillId="0" borderId="1" xfId="3" applyNumberFormat="1" applyFont="1" applyFill="1" applyBorder="1" applyAlignment="1">
      <alignment vertical="center"/>
    </xf>
    <xf numFmtId="184" fontId="7" fillId="6" borderId="1" xfId="3" applyNumberFormat="1" applyFont="1" applyFill="1" applyBorder="1" applyAlignment="1" applyProtection="1"/>
    <xf numFmtId="183" fontId="7" fillId="7" borderId="1" xfId="2" applyNumberFormat="1" applyFont="1" applyFill="1" applyBorder="1" applyAlignment="1" applyProtection="1"/>
    <xf numFmtId="10" fontId="7" fillId="6" borderId="1" xfId="3" applyNumberFormat="1" applyFont="1" applyFill="1" applyBorder="1" applyAlignment="1" applyProtection="1"/>
    <xf numFmtId="183" fontId="7" fillId="8" borderId="1" xfId="2" applyNumberFormat="1" applyFont="1" applyFill="1" applyBorder="1" applyAlignment="1" applyProtection="1"/>
    <xf numFmtId="10" fontId="8" fillId="9" borderId="1" xfId="3" applyNumberFormat="1" applyFont="1" applyFill="1" applyBorder="1" applyAlignment="1" applyProtection="1"/>
    <xf numFmtId="183" fontId="6" fillId="10" borderId="1" xfId="2" applyNumberFormat="1" applyFont="1" applyFill="1" applyBorder="1" applyAlignment="1" applyProtection="1"/>
    <xf numFmtId="10" fontId="8" fillId="11" borderId="1" xfId="3" applyNumberFormat="1" applyFont="1" applyFill="1" applyBorder="1" applyAlignment="1" applyProtection="1"/>
    <xf numFmtId="10" fontId="8" fillId="12" borderId="1" xfId="3" applyNumberFormat="1" applyFont="1" applyFill="1" applyBorder="1" applyAlignment="1" applyProtection="1"/>
    <xf numFmtId="180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81" fontId="4" fillId="6" borderId="1" xfId="2" applyNumberFormat="1" applyFont="1" applyFill="1" applyBorder="1" applyAlignment="1">
      <alignment vertical="center"/>
    </xf>
    <xf numFmtId="182" fontId="4" fillId="6" borderId="1" xfId="1" applyNumberFormat="1" applyFont="1" applyFill="1" applyBorder="1" applyAlignment="1">
      <alignment vertical="center"/>
    </xf>
    <xf numFmtId="176" fontId="4" fillId="6" borderId="1" xfId="1" applyFont="1" applyFill="1" applyBorder="1" applyAlignment="1">
      <alignment vertical="center"/>
    </xf>
    <xf numFmtId="177" fontId="4" fillId="6" borderId="1" xfId="2" applyFont="1" applyFill="1" applyBorder="1" applyAlignment="1">
      <alignment vertical="center"/>
    </xf>
    <xf numFmtId="10" fontId="4" fillId="6" borderId="1" xfId="3" applyNumberFormat="1" applyFont="1" applyFill="1" applyBorder="1" applyAlignment="1">
      <alignment vertical="center"/>
    </xf>
    <xf numFmtId="183" fontId="7" fillId="13" borderId="1" xfId="2" applyNumberFormat="1" applyFont="1" applyFill="1" applyBorder="1" applyAlignment="1" applyProtection="1"/>
    <xf numFmtId="183" fontId="8" fillId="7" borderId="1" xfId="2" applyNumberFormat="1" applyFont="1" applyFill="1" applyBorder="1" applyAlignment="1" applyProtection="1"/>
    <xf numFmtId="183" fontId="8" fillId="14" borderId="1" xfId="2" applyNumberFormat="1" applyFont="1" applyFill="1" applyBorder="1" applyAlignment="1" applyProtection="1"/>
    <xf numFmtId="183" fontId="7" fillId="14" borderId="1" xfId="2" applyNumberFormat="1" applyFont="1" applyFill="1" applyBorder="1" applyAlignment="1" applyProtection="1"/>
    <xf numFmtId="183" fontId="8" fillId="15" borderId="1" xfId="2" applyNumberFormat="1" applyFont="1" applyFill="1" applyBorder="1" applyAlignment="1" applyProtection="1"/>
    <xf numFmtId="183" fontId="7" fillId="16" borderId="1" xfId="2" applyNumberFormat="1" applyFont="1" applyFill="1" applyBorder="1" applyAlignment="1" applyProtection="1"/>
    <xf numFmtId="183" fontId="7" fillId="15" borderId="1" xfId="2" applyNumberFormat="1" applyFont="1" applyFill="1" applyBorder="1" applyAlignment="1" applyProtection="1"/>
    <xf numFmtId="183" fontId="8" fillId="17" borderId="1" xfId="2" applyNumberFormat="1" applyFont="1" applyFill="1" applyBorder="1" applyAlignment="1" applyProtection="1"/>
    <xf numFmtId="0" fontId="4" fillId="5" borderId="1" xfId="0" applyFont="1" applyFill="1" applyBorder="1" applyAlignment="1">
      <alignment vertical="center"/>
    </xf>
    <xf numFmtId="181" fontId="4" fillId="5" borderId="1" xfId="2" applyNumberFormat="1" applyFont="1" applyFill="1" applyBorder="1" applyAlignment="1">
      <alignment vertical="center"/>
    </xf>
    <xf numFmtId="177" fontId="4" fillId="5" borderId="1" xfId="2" applyFont="1" applyFill="1" applyBorder="1" applyAlignment="1">
      <alignment vertical="center"/>
    </xf>
    <xf numFmtId="177" fontId="9" fillId="18" borderId="1" xfId="2" applyFont="1" applyFill="1" applyBorder="1" applyAlignment="1">
      <alignment vertical="center"/>
    </xf>
    <xf numFmtId="176" fontId="9" fillId="18" borderId="1" xfId="1" applyFont="1" applyFill="1" applyBorder="1" applyAlignment="1">
      <alignment vertical="center"/>
    </xf>
    <xf numFmtId="181" fontId="9" fillId="18" borderId="1" xfId="1" applyNumberFormat="1" applyFont="1" applyFill="1" applyBorder="1" applyAlignment="1">
      <alignment vertical="center"/>
    </xf>
    <xf numFmtId="10" fontId="6" fillId="19" borderId="1" xfId="3" applyNumberFormat="1" applyFont="1" applyFill="1" applyBorder="1" applyAlignment="1" applyProtection="1"/>
    <xf numFmtId="183" fontId="6" fillId="18" borderId="1" xfId="2" applyNumberFormat="1" applyFont="1" applyFill="1" applyBorder="1" applyAlignment="1" applyProtection="1"/>
    <xf numFmtId="10" fontId="2" fillId="0" borderId="0" xfId="3" applyNumberFormat="1" applyFont="1" applyFill="1" applyAlignment="1">
      <alignment vertical="center"/>
    </xf>
    <xf numFmtId="181" fontId="5" fillId="0" borderId="0" xfId="0" applyNumberFormat="1" applyFont="1" applyFill="1" applyAlignment="1">
      <alignment vertical="center"/>
    </xf>
    <xf numFmtId="180" fontId="5" fillId="0" borderId="0" xfId="0" applyNumberFormat="1" applyFont="1" applyFill="1" applyAlignment="1">
      <alignment vertical="center"/>
    </xf>
    <xf numFmtId="180" fontId="3" fillId="0" borderId="0" xfId="0" applyNumberFormat="1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10" fillId="20" borderId="2" xfId="0" applyFont="1" applyFill="1" applyBorder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2" fillId="21" borderId="3" xfId="0" applyFont="1" applyFill="1" applyBorder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/>
    </xf>
    <xf numFmtId="0" fontId="14" fillId="21" borderId="4" xfId="0" applyFont="1" applyFill="1" applyBorder="1" applyAlignment="1">
      <alignment horizontal="center"/>
    </xf>
    <xf numFmtId="0" fontId="14" fillId="22" borderId="5" xfId="0" applyFont="1" applyFill="1" applyBorder="1" applyAlignment="1">
      <alignment horizontal="center"/>
    </xf>
    <xf numFmtId="0" fontId="14" fillId="22" borderId="6" xfId="0" applyFont="1" applyFill="1" applyBorder="1" applyAlignment="1">
      <alignment horizontal="center"/>
    </xf>
    <xf numFmtId="0" fontId="14" fillId="22" borderId="7" xfId="0" applyFont="1" applyFill="1" applyBorder="1" applyAlignment="1">
      <alignment horizontal="center"/>
    </xf>
    <xf numFmtId="0" fontId="14" fillId="22" borderId="4" xfId="0" applyFont="1" applyFill="1" applyBorder="1" applyAlignment="1">
      <alignment horizontal="center"/>
    </xf>
    <xf numFmtId="0" fontId="14" fillId="24" borderId="4" xfId="0" applyFont="1" applyFill="1" applyBorder="1" applyAlignment="1">
      <alignment horizontal="center"/>
    </xf>
    <xf numFmtId="0" fontId="13" fillId="0" borderId="1" xfId="0" applyFont="1" applyBorder="1" applyAlignment="1">
      <alignment vertical="center"/>
    </xf>
    <xf numFmtId="181" fontId="0" fillId="0" borderId="1" xfId="0" applyNumberFormat="1" applyBorder="1"/>
    <xf numFmtId="0" fontId="13" fillId="0" borderId="0" xfId="0" applyFont="1"/>
    <xf numFmtId="0" fontId="13" fillId="23" borderId="4" xfId="0" applyFont="1" applyFill="1" applyBorder="1" applyAlignment="1">
      <alignment horizontal="center" vertical="center"/>
    </xf>
    <xf numFmtId="0" fontId="13" fillId="25" borderId="4" xfId="0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 vertical="center"/>
    </xf>
    <xf numFmtId="0" fontId="13" fillId="2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3" fontId="0" fillId="0" borderId="4" xfId="0" applyNumberFormat="1" applyBorder="1" applyAlignment="1">
      <alignment horizontal="left" vertical="center"/>
    </xf>
    <xf numFmtId="177" fontId="0" fillId="0" borderId="4" xfId="2" applyFont="1" applyBorder="1" applyAlignment="1">
      <alignment horizontal="left" vertical="center"/>
    </xf>
    <xf numFmtId="177" fontId="0" fillId="6" borderId="4" xfId="2" applyFont="1" applyFill="1" applyBorder="1" applyAlignment="1">
      <alignment horizontal="left" vertical="center"/>
    </xf>
    <xf numFmtId="0" fontId="0" fillId="0" borderId="1" xfId="0" applyBorder="1"/>
    <xf numFmtId="177" fontId="0" fillId="6" borderId="1" xfId="2" applyFont="1" applyFill="1" applyBorder="1" applyAlignment="1">
      <alignment horizontal="left" vertical="center"/>
    </xf>
    <xf numFmtId="0" fontId="15" fillId="0" borderId="0" xfId="0" applyFont="1" applyFill="1" applyBorder="1" applyAlignment="1">
      <alignment vertical="center"/>
    </xf>
    <xf numFmtId="9" fontId="0" fillId="0" borderId="0" xfId="0" applyNumberFormat="1"/>
    <xf numFmtId="3" fontId="0" fillId="0" borderId="0" xfId="0" applyNumberFormat="1"/>
    <xf numFmtId="177" fontId="0" fillId="0" borderId="0" xfId="0" applyNumberFormat="1"/>
    <xf numFmtId="185" fontId="16" fillId="0" borderId="0" xfId="2" applyNumberFormat="1" applyFont="1" applyFill="1" applyBorder="1" applyAlignment="1" applyProtection="1">
      <alignment horizontal="left" vertical="center"/>
    </xf>
    <xf numFmtId="49" fontId="17" fillId="0" borderId="0" xfId="0" applyNumberFormat="1" applyFont="1" applyFill="1" applyAlignment="1" applyProtection="1">
      <alignment horizontal="left" vertical="center"/>
    </xf>
    <xf numFmtId="0" fontId="18" fillId="0" borderId="0" xfId="0" applyFont="1" applyAlignment="1">
      <alignment horizontal="center"/>
    </xf>
    <xf numFmtId="186" fontId="18" fillId="0" borderId="0" xfId="0" applyNumberFormat="1" applyFont="1" applyAlignment="1">
      <alignment horizontal="center"/>
    </xf>
    <xf numFmtId="0" fontId="13" fillId="23" borderId="8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181" fontId="0" fillId="0" borderId="0" xfId="0" applyNumberFormat="1"/>
    <xf numFmtId="181" fontId="0" fillId="0" borderId="0" xfId="1" applyNumberFormat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58" fontId="19" fillId="0" borderId="0" xfId="0" applyNumberFormat="1" applyFont="1" applyFill="1" applyAlignment="1">
      <alignment vertical="center"/>
    </xf>
    <xf numFmtId="10" fontId="19" fillId="0" borderId="0" xfId="0" applyNumberFormat="1" applyFont="1" applyFill="1" applyAlignment="1">
      <alignment vertical="center"/>
    </xf>
    <xf numFmtId="176" fontId="19" fillId="16" borderId="0" xfId="1" applyFont="1" applyFill="1" applyAlignment="1">
      <alignment vertical="center"/>
    </xf>
    <xf numFmtId="187" fontId="19" fillId="0" borderId="0" xfId="0" applyNumberFormat="1" applyFont="1" applyFill="1" applyAlignment="1">
      <alignment vertical="center"/>
    </xf>
    <xf numFmtId="0" fontId="0" fillId="14" borderId="0" xfId="0" applyFill="1"/>
    <xf numFmtId="0" fontId="20" fillId="28" borderId="1" xfId="0" applyFont="1" applyFill="1" applyBorder="1"/>
    <xf numFmtId="0" fontId="20" fillId="28" borderId="1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/>
    </xf>
    <xf numFmtId="177" fontId="20" fillId="28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1" fillId="0" borderId="9" xfId="0" applyFont="1" applyBorder="1"/>
    <xf numFmtId="177" fontId="21" fillId="0" borderId="9" xfId="0" applyNumberFormat="1" applyFont="1" applyBorder="1"/>
    <xf numFmtId="176" fontId="21" fillId="0" borderId="9" xfId="0" applyNumberFormat="1" applyFont="1" applyBorder="1"/>
    <xf numFmtId="0" fontId="21" fillId="0" borderId="0" xfId="0" applyFont="1"/>
    <xf numFmtId="0" fontId="3" fillId="0" borderId="1" xfId="0" applyFont="1" applyBorder="1" applyAlignment="1">
      <alignment horizontal="left"/>
    </xf>
    <xf numFmtId="0" fontId="3" fillId="0" borderId="10" xfId="0" applyNumberFormat="1" applyFont="1" applyBorder="1" applyAlignment="1">
      <alignment horizontal="center" vertical="center"/>
    </xf>
    <xf numFmtId="188" fontId="3" fillId="0" borderId="10" xfId="0" applyNumberFormat="1" applyFont="1" applyBorder="1" applyAlignment="1">
      <alignment horizontal="center" vertical="center"/>
    </xf>
    <xf numFmtId="189" fontId="3" fillId="0" borderId="10" xfId="2" applyNumberFormat="1" applyFont="1" applyBorder="1" applyAlignment="1">
      <alignment horizontal="center" vertical="center"/>
    </xf>
    <xf numFmtId="177" fontId="7" fillId="0" borderId="10" xfId="2" applyFont="1" applyBorder="1" applyAlignment="1">
      <alignment horizontal="center"/>
    </xf>
    <xf numFmtId="0" fontId="13" fillId="29" borderId="11" xfId="0" applyFont="1" applyFill="1" applyBorder="1" applyAlignment="1">
      <alignment horizontal="center"/>
    </xf>
    <xf numFmtId="0" fontId="22" fillId="21" borderId="12" xfId="0" applyFont="1" applyFill="1" applyBorder="1" applyAlignment="1">
      <alignment horizontal="center"/>
    </xf>
    <xf numFmtId="190" fontId="23" fillId="30" borderId="12" xfId="2" applyNumberFormat="1" applyFont="1" applyFill="1" applyBorder="1" applyAlignment="1" applyProtection="1"/>
    <xf numFmtId="0" fontId="24" fillId="0" borderId="0" xfId="0" applyFont="1"/>
    <xf numFmtId="0" fontId="24" fillId="0" borderId="12" xfId="0" applyFont="1" applyBorder="1"/>
    <xf numFmtId="177" fontId="23" fillId="30" borderId="12" xfId="2" applyFont="1" applyFill="1" applyBorder="1" applyAlignment="1" applyProtection="1"/>
    <xf numFmtId="191" fontId="23" fillId="30" borderId="12" xfId="1" applyNumberFormat="1" applyFont="1" applyFill="1" applyBorder="1" applyAlignment="1" applyProtection="1"/>
    <xf numFmtId="191" fontId="0" fillId="0" borderId="0" xfId="0" applyNumberFormat="1"/>
    <xf numFmtId="177" fontId="24" fillId="31" borderId="12" xfId="2" applyFont="1" applyFill="1" applyBorder="1" applyAlignment="1" applyProtection="1"/>
    <xf numFmtId="192" fontId="24" fillId="32" borderId="12" xfId="1" applyNumberFormat="1" applyFont="1" applyFill="1" applyBorder="1" applyAlignment="1" applyProtection="1"/>
    <xf numFmtId="191" fontId="24" fillId="33" borderId="12" xfId="1" applyNumberFormat="1" applyFont="1" applyFill="1" applyBorder="1" applyAlignment="1" applyProtection="1"/>
    <xf numFmtId="193" fontId="0" fillId="15" borderId="0" xfId="0" applyNumberFormat="1" applyFill="1"/>
    <xf numFmtId="0" fontId="0" fillId="15" borderId="0" xfId="0" applyFill="1"/>
    <xf numFmtId="0" fontId="24" fillId="0" borderId="12" xfId="0" applyFont="1" applyBorder="1" applyAlignment="1">
      <alignment horizontal="center"/>
    </xf>
    <xf numFmtId="0" fontId="0" fillId="0" borderId="0" xfId="0" applyFill="1"/>
    <xf numFmtId="0" fontId="22" fillId="34" borderId="12" xfId="0" applyFont="1" applyFill="1" applyBorder="1"/>
    <xf numFmtId="191" fontId="22" fillId="34" borderId="12" xfId="0" applyNumberFormat="1" applyFont="1" applyFill="1" applyBorder="1"/>
    <xf numFmtId="9" fontId="25" fillId="0" borderId="12" xfId="3" applyNumberFormat="1" applyFont="1" applyFill="1" applyBorder="1" applyAlignment="1" applyProtection="1">
      <alignment horizontal="center"/>
    </xf>
    <xf numFmtId="191" fontId="24" fillId="0" borderId="12" xfId="1" applyNumberFormat="1" applyFont="1" applyFill="1" applyBorder="1" applyAlignment="1" applyProtection="1"/>
    <xf numFmtId="0" fontId="26" fillId="0" borderId="13" xfId="0" applyFont="1" applyBorder="1"/>
    <xf numFmtId="191" fontId="24" fillId="35" borderId="12" xfId="1" applyNumberFormat="1" applyFont="1" applyFill="1" applyBorder="1" applyAlignment="1" applyProtection="1"/>
    <xf numFmtId="191" fontId="24" fillId="31" borderId="12" xfId="1" applyNumberFormat="1" applyFont="1" applyFill="1" applyBorder="1" applyAlignment="1" applyProtection="1"/>
    <xf numFmtId="0" fontId="22" fillId="21" borderId="13" xfId="0" applyFont="1" applyFill="1" applyBorder="1" applyAlignment="1">
      <alignment horizontal="center"/>
    </xf>
    <xf numFmtId="10" fontId="22" fillId="34" borderId="12" xfId="3" applyNumberFormat="1" applyFont="1" applyFill="1" applyBorder="1"/>
    <xf numFmtId="0" fontId="23" fillId="0" borderId="12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14" xfId="0" applyFont="1" applyBorder="1"/>
    <xf numFmtId="0" fontId="24" fillId="0" borderId="1" xfId="0" applyFont="1" applyBorder="1"/>
    <xf numFmtId="191" fontId="24" fillId="33" borderId="15" xfId="1" applyNumberFormat="1" applyFont="1" applyFill="1" applyBorder="1" applyAlignment="1" applyProtection="1"/>
    <xf numFmtId="0" fontId="24" fillId="29" borderId="0" xfId="0" applyFont="1" applyFill="1" applyBorder="1"/>
    <xf numFmtId="191" fontId="24" fillId="29" borderId="0" xfId="1" applyNumberFormat="1" applyFont="1" applyFill="1" applyBorder="1" applyAlignment="1" applyProtection="1"/>
    <xf numFmtId="10" fontId="25" fillId="0" borderId="0" xfId="3" applyNumberFormat="1" applyFont="1" applyFill="1" applyBorder="1" applyAlignment="1" applyProtection="1"/>
    <xf numFmtId="0" fontId="24" fillId="7" borderId="16" xfId="0" applyFont="1" applyFill="1" applyBorder="1"/>
    <xf numFmtId="0" fontId="24" fillId="7" borderId="17" xfId="0" applyFont="1" applyFill="1" applyBorder="1"/>
    <xf numFmtId="191" fontId="24" fillId="7" borderId="12" xfId="1" applyNumberFormat="1" applyFont="1" applyFill="1" applyBorder="1" applyAlignment="1" applyProtection="1"/>
    <xf numFmtId="10" fontId="24" fillId="36" borderId="12" xfId="3" applyNumberFormat="1" applyFont="1" applyFill="1" applyBorder="1" applyAlignment="1" applyProtection="1"/>
    <xf numFmtId="191" fontId="24" fillId="0" borderId="12" xfId="0" applyNumberFormat="1" applyFont="1" applyBorder="1"/>
    <xf numFmtId="194" fontId="24" fillId="35" borderId="18" xfId="3" applyNumberFormat="1" applyFont="1" applyFill="1" applyBorder="1" applyAlignment="1" applyProtection="1"/>
    <xf numFmtId="191" fontId="24" fillId="31" borderId="19" xfId="1" applyNumberFormat="1" applyFont="1" applyFill="1" applyBorder="1" applyAlignment="1" applyProtection="1"/>
    <xf numFmtId="10" fontId="24" fillId="0" borderId="1" xfId="3" applyNumberFormat="1" applyFont="1" applyBorder="1"/>
    <xf numFmtId="10" fontId="0" fillId="0" borderId="0" xfId="0" applyNumberFormat="1"/>
    <xf numFmtId="0" fontId="24" fillId="0" borderId="0" xfId="0" applyFont="1" applyFill="1"/>
    <xf numFmtId="0" fontId="24" fillId="7" borderId="12" xfId="0" applyFont="1" applyFill="1" applyBorder="1"/>
    <xf numFmtId="10" fontId="24" fillId="7" borderId="12" xfId="3" applyNumberFormat="1" applyFont="1" applyFill="1" applyBorder="1" applyAlignment="1" applyProtection="1"/>
    <xf numFmtId="191" fontId="24" fillId="7" borderId="12" xfId="0" applyNumberFormat="1" applyFont="1" applyFill="1" applyBorder="1"/>
    <xf numFmtId="194" fontId="0" fillId="35" borderId="12" xfId="3" applyNumberFormat="1" applyFill="1" applyBorder="1"/>
    <xf numFmtId="0" fontId="24" fillId="0" borderId="15" xfId="0" applyFont="1" applyBorder="1"/>
    <xf numFmtId="0" fontId="23" fillId="37" borderId="12" xfId="0" applyFont="1" applyFill="1" applyBorder="1"/>
    <xf numFmtId="191" fontId="23" fillId="37" borderId="12" xfId="0" applyNumberFormat="1" applyFont="1" applyFill="1" applyBorder="1"/>
    <xf numFmtId="10" fontId="24" fillId="14" borderId="0" xfId="0" applyNumberFormat="1" applyFont="1" applyFill="1"/>
    <xf numFmtId="10" fontId="24" fillId="0" borderId="12" xfId="3" applyNumberFormat="1" applyFont="1" applyFill="1" applyBorder="1" applyAlignment="1" applyProtection="1">
      <alignment horizontal="center" vertical="center" wrapText="1"/>
    </xf>
    <xf numFmtId="191" fontId="24" fillId="0" borderId="12" xfId="0" applyNumberFormat="1" applyFont="1" applyBorder="1" applyAlignment="1">
      <alignment horizontal="center" vertical="center" wrapText="1"/>
    </xf>
    <xf numFmtId="191" fontId="24" fillId="38" borderId="12" xfId="1" applyNumberFormat="1" applyFont="1" applyFill="1" applyBorder="1" applyAlignment="1" applyProtection="1"/>
    <xf numFmtId="0" fontId="23" fillId="0" borderId="12" xfId="0" applyFont="1" applyBorder="1"/>
    <xf numFmtId="191" fontId="23" fillId="38" borderId="12" xfId="0" applyNumberFormat="1" applyFont="1" applyFill="1" applyBorder="1"/>
    <xf numFmtId="0" fontId="23" fillId="37" borderId="13" xfId="0" applyFont="1" applyFill="1" applyBorder="1"/>
    <xf numFmtId="191" fontId="23" fillId="37" borderId="13" xfId="0" applyNumberFormat="1" applyFont="1" applyFill="1" applyBorder="1"/>
    <xf numFmtId="0" fontId="22" fillId="21" borderId="19" xfId="0" applyFont="1" applyFill="1" applyBorder="1" applyAlignment="1">
      <alignment horizontal="center"/>
    </xf>
    <xf numFmtId="0" fontId="22" fillId="21" borderId="20" xfId="0" applyFont="1" applyFill="1" applyBorder="1" applyAlignment="1">
      <alignment horizontal="center"/>
    </xf>
    <xf numFmtId="0" fontId="22" fillId="21" borderId="15" xfId="0" applyFont="1" applyFill="1" applyBorder="1" applyAlignment="1">
      <alignment horizontal="center"/>
    </xf>
    <xf numFmtId="0" fontId="27" fillId="0" borderId="21" xfId="0" applyFont="1" applyBorder="1" applyAlignment="1">
      <alignment horizontal="center"/>
    </xf>
    <xf numFmtId="10" fontId="28" fillId="38" borderId="21" xfId="3" applyNumberFormat="1" applyFont="1" applyFill="1" applyBorder="1" applyAlignment="1">
      <alignment horizontal="center" vertical="center"/>
    </xf>
    <xf numFmtId="191" fontId="23" fillId="36" borderId="12" xfId="1" applyNumberFormat="1" applyFont="1" applyFill="1" applyBorder="1" applyAlignment="1" applyProtection="1"/>
    <xf numFmtId="177" fontId="23" fillId="36" borderId="12" xfId="2" applyFont="1" applyFill="1" applyBorder="1" applyAlignment="1" applyProtection="1"/>
    <xf numFmtId="0" fontId="10" fillId="39" borderId="1" xfId="0" applyFont="1" applyFill="1" applyBorder="1"/>
    <xf numFmtId="184" fontId="10" fillId="39" borderId="1" xfId="0" applyNumberFormat="1" applyFont="1" applyFill="1" applyBorder="1"/>
    <xf numFmtId="0" fontId="25" fillId="0" borderId="12" xfId="0" applyFont="1" applyBorder="1"/>
    <xf numFmtId="191" fontId="29" fillId="36" borderId="19" xfId="1" applyNumberFormat="1" applyFont="1" applyFill="1" applyBorder="1" applyAlignment="1" applyProtection="1"/>
    <xf numFmtId="10" fontId="0" fillId="0" borderId="1" xfId="3" applyNumberFormat="1" applyBorder="1"/>
    <xf numFmtId="184" fontId="0" fillId="0" borderId="1" xfId="3" applyNumberFormat="1" applyBorder="1"/>
    <xf numFmtId="191" fontId="24" fillId="36" borderId="12" xfId="1" applyNumberFormat="1" applyFont="1" applyFill="1" applyBorder="1" applyAlignment="1" applyProtection="1"/>
    <xf numFmtId="191" fontId="29" fillId="0" borderId="12" xfId="1" applyNumberFormat="1" applyFont="1" applyFill="1" applyBorder="1" applyAlignment="1" applyProtection="1"/>
    <xf numFmtId="0" fontId="0" fillId="7" borderId="0" xfId="0" applyFill="1"/>
    <xf numFmtId="0" fontId="24" fillId="0" borderId="19" xfId="0" applyFont="1" applyBorder="1"/>
    <xf numFmtId="176" fontId="0" fillId="0" borderId="1" xfId="1" applyBorder="1"/>
    <xf numFmtId="0" fontId="30" fillId="40" borderId="22" xfId="0" applyFont="1" applyFill="1" applyBorder="1" applyAlignment="1">
      <alignment horizontal="left" vertical="center"/>
    </xf>
    <xf numFmtId="0" fontId="27" fillId="41" borderId="22" xfId="0" applyFont="1" applyFill="1" applyBorder="1" applyAlignment="1">
      <alignment horizontal="left" vertical="center"/>
    </xf>
    <xf numFmtId="0" fontId="31" fillId="0" borderId="0" xfId="0" applyFont="1" applyFill="1" applyAlignment="1">
      <alignment vertical="center"/>
    </xf>
    <xf numFmtId="0" fontId="19" fillId="0" borderId="0" xfId="0" applyFont="1" applyFill="1" applyAlignment="1" quotePrefix="1">
      <alignment vertical="center"/>
    </xf>
    <xf numFmtId="180" fontId="4" fillId="5" borderId="1" xfId="0" applyNumberFormat="1" applyFont="1" applyFill="1" applyBorder="1" applyAlignment="1" quotePrefix="1">
      <alignment vertical="center"/>
    </xf>
    <xf numFmtId="0" fontId="4" fillId="6" borderId="1" xfId="0" applyFont="1" applyFill="1" applyBorder="1" applyAlignment="1" quotePrefix="1">
      <alignment vertical="center"/>
    </xf>
    <xf numFmtId="0" fontId="4" fillId="5" borderId="1" xfId="0" applyFont="1" applyFill="1" applyBorder="1" applyAlignment="1" quotePrefix="1">
      <alignment vertical="center"/>
    </xf>
  </cellXfs>
  <cellStyles count="51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TableStyleLight1" xfId="49"/>
    <cellStyle name="Porcentagem 2" xfId="50"/>
  </cellStyles>
  <tableStyles count="0" defaultTableStyle="TableStyleMedium2" defaultPivotStyle="PivotStyleLight16"/>
  <colors>
    <mruColors>
      <color rgb="00FFFFFF"/>
      <color rgb="00FFFFE1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0039B7F-1E7A-4E6F-833F-7A25D2EC421C}" type="doc">
      <dgm:prSet loTypeId="urn:microsoft.com/office/officeart/2005/8/layout/process5" loCatId="process" qsTypeId="urn:microsoft.com/office/officeart/2005/8/quickstyle/simple4" qsCatId="simple" csTypeId="urn:microsoft.com/office/officeart/2005/8/colors/colorful2" csCatId="colorful" phldr="1"/>
      <dgm:spPr/>
      <dgm:t>
        <a:bodyPr/>
        <a:lstStyle/>
        <a:p>
          <a:endParaRPr lang="pt-BR"/>
        </a:p>
      </dgm:t>
    </dgm:pt>
    <dgm:pt modelId="{179D91A1-FC0E-46DF-B6AA-AA90341F4566}">
      <dgm:prSet phldrT="[Texto]"/>
      <dgm:spPr/>
      <dgm:t>
        <a:bodyPr/>
        <a:lstStyle/>
        <a:p>
          <a:r>
            <a:rPr lang="pt-BR"/>
            <a:t>Fornecedor</a:t>
          </a:r>
        </a:p>
      </dgm:t>
    </dgm:pt>
    <dgm:pt modelId="{88B59414-CE25-467F-A196-7FB52154AEEA}" cxnId="{0C2CF52B-4A3D-4C74-BEB5-EC1BC99F051B}" type="parTrans">
      <dgm:prSet/>
      <dgm:spPr/>
      <dgm:t>
        <a:bodyPr/>
        <a:lstStyle/>
        <a:p>
          <a:endParaRPr lang="pt-BR"/>
        </a:p>
      </dgm:t>
    </dgm:pt>
    <dgm:pt modelId="{B3BF3CE6-8BA5-4001-A59D-4EDC79DC4F8E}" cxnId="{0C2CF52B-4A3D-4C74-BEB5-EC1BC99F051B}" type="sibTrans">
      <dgm:prSet/>
      <dgm:spPr/>
      <dgm:t>
        <a:bodyPr/>
        <a:lstStyle/>
        <a:p>
          <a:r>
            <a:rPr lang="pt-BR" b="1"/>
            <a:t>CD1</a:t>
          </a:r>
        </a:p>
      </dgm:t>
    </dgm:pt>
    <dgm:pt modelId="{25484D35-8EF4-4A0D-9085-87D7C82E8246}">
      <dgm:prSet phldrT="[Texto]" custT="1"/>
      <dgm:spPr/>
      <dgm:t>
        <a:bodyPr/>
        <a:lstStyle/>
        <a:p>
          <a:r>
            <a:rPr lang="pt-BR" sz="1100"/>
            <a:t>COA1</a:t>
          </a:r>
          <a:br>
            <a:rPr lang="pt-BR" sz="1900"/>
          </a:br>
          <a:r>
            <a:rPr lang="pt-BR" sz="2000"/>
            <a:t>Filial 1</a:t>
          </a:r>
          <a:endParaRPr lang="pt-BR" sz="1900"/>
        </a:p>
      </dgm:t>
    </dgm:pt>
    <dgm:pt modelId="{01582755-2C44-4E3D-AA82-45B5D9260E13}" cxnId="{535F1861-5C48-40F4-84B1-6E1AA665198E}" type="parTrans">
      <dgm:prSet/>
      <dgm:spPr/>
      <dgm:t>
        <a:bodyPr/>
        <a:lstStyle/>
        <a:p>
          <a:endParaRPr lang="pt-BR"/>
        </a:p>
      </dgm:t>
    </dgm:pt>
    <dgm:pt modelId="{AED6CA76-40F5-4E37-A56E-4F2D73C211B1}" cxnId="{535F1861-5C48-40F4-84B1-6E1AA665198E}" type="sibTrans">
      <dgm:prSet/>
      <dgm:spPr/>
      <dgm:t>
        <a:bodyPr/>
        <a:lstStyle/>
        <a:p>
          <a:r>
            <a:rPr lang="pt-BR" b="1"/>
            <a:t>CT1</a:t>
          </a:r>
        </a:p>
      </dgm:t>
    </dgm:pt>
    <dgm:pt modelId="{332F7F3A-F5F0-452B-A942-A3F708CAEA0B}">
      <dgm:prSet phldrT="[Texto]"/>
      <dgm:spPr/>
      <dgm:t>
        <a:bodyPr/>
        <a:lstStyle/>
        <a:p>
          <a:r>
            <a:rPr lang="pt-BR"/>
            <a:t>PARCEIRO</a:t>
          </a:r>
        </a:p>
      </dgm:t>
    </dgm:pt>
    <dgm:pt modelId="{185F930B-11DE-45AA-9409-EAA25170698C}" cxnId="{0EDBD033-ECBF-40BC-AA88-B500432776FF}" type="parTrans">
      <dgm:prSet/>
      <dgm:spPr/>
      <dgm:t>
        <a:bodyPr/>
        <a:lstStyle/>
        <a:p>
          <a:endParaRPr lang="pt-BR"/>
        </a:p>
      </dgm:t>
    </dgm:pt>
    <dgm:pt modelId="{61C2F012-E3DF-41E9-A29F-D0629FA3D8EF}" cxnId="{0EDBD033-ECBF-40BC-AA88-B500432776FF}" type="sibTrans">
      <dgm:prSet/>
      <dgm:spPr/>
      <dgm:t>
        <a:bodyPr/>
        <a:lstStyle/>
        <a:p>
          <a:r>
            <a:rPr lang="pt-BR" b="1"/>
            <a:t>CP1</a:t>
          </a:r>
        </a:p>
      </dgm:t>
    </dgm:pt>
    <dgm:pt modelId="{EBD45543-A104-4B8E-80E8-D172B7DA447D}">
      <dgm:prSet phldrT="[Texto]"/>
      <dgm:spPr/>
      <dgm:t>
        <a:bodyPr/>
        <a:lstStyle/>
        <a:p>
          <a:r>
            <a:rPr lang="pt-BR"/>
            <a:t>DESTINATÁRIO</a:t>
          </a:r>
        </a:p>
      </dgm:t>
    </dgm:pt>
    <dgm:pt modelId="{263881C8-8CC1-4B38-AADF-EA8F5F3B0040}" cxnId="{1252D880-4E8C-4FF9-8A4E-4F56DFBCBFF7}" type="parTrans">
      <dgm:prSet/>
      <dgm:spPr/>
      <dgm:t>
        <a:bodyPr/>
        <a:lstStyle/>
        <a:p>
          <a:endParaRPr lang="pt-BR"/>
        </a:p>
      </dgm:t>
    </dgm:pt>
    <dgm:pt modelId="{C43F33C9-6354-438E-A341-649F9CFAC492}" cxnId="{1252D880-4E8C-4FF9-8A4E-4F56DFBCBFF7}" type="sibTrans">
      <dgm:prSet/>
      <dgm:spPr/>
      <dgm:t>
        <a:bodyPr/>
        <a:lstStyle/>
        <a:p>
          <a:endParaRPr lang="pt-BR"/>
        </a:p>
      </dgm:t>
    </dgm:pt>
    <dgm:pt modelId="{7B0DF256-75B1-4C85-9714-B419D5043991}">
      <dgm:prSet custT="1"/>
      <dgm:spPr/>
      <dgm:t>
        <a:bodyPr/>
        <a:lstStyle/>
        <a:p>
          <a:r>
            <a:rPr lang="pt-BR" sz="1100"/>
            <a:t>COA3</a:t>
          </a:r>
          <a:br>
            <a:rPr lang="pt-BR" sz="2000"/>
          </a:br>
          <a:r>
            <a:rPr lang="pt-BR" sz="2000"/>
            <a:t>FILIAL 3</a:t>
          </a:r>
        </a:p>
      </dgm:t>
    </dgm:pt>
    <dgm:pt modelId="{C3F97B95-5EDC-41A7-999B-E835637F3305}" cxnId="{6431BD5E-B5C0-4FF2-82D2-DFE49BCBAB89}" type="parTrans">
      <dgm:prSet/>
      <dgm:spPr/>
      <dgm:t>
        <a:bodyPr/>
        <a:lstStyle/>
        <a:p>
          <a:endParaRPr lang="pt-BR"/>
        </a:p>
      </dgm:t>
    </dgm:pt>
    <dgm:pt modelId="{DFD2ADD2-E94C-47BE-8D62-922A72AC0BC9}" cxnId="{6431BD5E-B5C0-4FF2-82D2-DFE49BCBAB89}" type="sibTrans">
      <dgm:prSet custT="1"/>
      <dgm:spPr/>
      <dgm:t>
        <a:bodyPr/>
        <a:lstStyle/>
        <a:p>
          <a:r>
            <a:rPr lang="pt-BR" sz="1200" b="1"/>
            <a:t>CD2</a:t>
          </a:r>
          <a:endParaRPr lang="pt-BR" sz="1100" b="1"/>
        </a:p>
      </dgm:t>
    </dgm:pt>
    <dgm:pt modelId="{7B6926E0-EF45-49A8-85B4-82A1DA576F92}">
      <dgm:prSet phldrT="[Texto]" custT="1"/>
      <dgm:spPr/>
      <dgm:t>
        <a:bodyPr/>
        <a:lstStyle/>
        <a:p>
          <a:r>
            <a:rPr lang="pt-BR" sz="1100"/>
            <a:t>COA2</a:t>
          </a:r>
          <a:br>
            <a:rPr lang="pt-BR" sz="2000"/>
          </a:br>
          <a:r>
            <a:rPr lang="pt-BR" sz="2000"/>
            <a:t>FILIAL 2</a:t>
          </a:r>
        </a:p>
      </dgm:t>
    </dgm:pt>
    <dgm:pt modelId="{B7AF6F88-15D0-4418-9083-379E4C1C6B01}" cxnId="{958DA6EE-F37D-47A4-B260-1A83207F71FB}" type="sibTrans">
      <dgm:prSet/>
      <dgm:spPr/>
      <dgm:t>
        <a:bodyPr/>
        <a:lstStyle/>
        <a:p>
          <a:r>
            <a:rPr lang="pt-BR" b="1"/>
            <a:t>CT2</a:t>
          </a:r>
        </a:p>
      </dgm:t>
    </dgm:pt>
    <dgm:pt modelId="{8C3EA6A6-3EB9-4BA5-A904-8B83D22184B7}" cxnId="{958DA6EE-F37D-47A4-B260-1A83207F71FB}" type="parTrans">
      <dgm:prSet/>
      <dgm:spPr/>
      <dgm:t>
        <a:bodyPr/>
        <a:lstStyle/>
        <a:p>
          <a:endParaRPr lang="pt-BR"/>
        </a:p>
      </dgm:t>
    </dgm:pt>
    <dgm:pt modelId="{F46C8507-092B-47BA-B829-FCD881EE3050}" type="pres">
      <dgm:prSet presAssocID="{20039B7F-1E7A-4E6F-833F-7A25D2EC421C}" presName="diagram" presStyleCnt="0">
        <dgm:presLayoutVars>
          <dgm:dir/>
          <dgm:resizeHandles val="exact"/>
        </dgm:presLayoutVars>
      </dgm:prSet>
      <dgm:spPr/>
    </dgm:pt>
    <dgm:pt modelId="{E7FC8939-E681-43A3-9610-405C54AA1E7A}" type="pres">
      <dgm:prSet presAssocID="{179D91A1-FC0E-46DF-B6AA-AA90341F4566}" presName="node" presStyleLbl="node1" presStyleIdx="0" presStyleCnt="6">
        <dgm:presLayoutVars>
          <dgm:bulletEnabled val="1"/>
        </dgm:presLayoutVars>
      </dgm:prSet>
      <dgm:spPr/>
    </dgm:pt>
    <dgm:pt modelId="{FC7E25D7-ADB2-4D1C-ABD7-F12164C2835B}" type="pres">
      <dgm:prSet presAssocID="{B3BF3CE6-8BA5-4001-A59D-4EDC79DC4F8E}" presName="sibTrans" presStyleLbl="sibTrans2D1" presStyleIdx="0" presStyleCnt="5" custScaleX="137778"/>
      <dgm:spPr/>
    </dgm:pt>
    <dgm:pt modelId="{88864369-6676-4F10-BFAA-4469D8408879}" type="pres">
      <dgm:prSet presAssocID="{B3BF3CE6-8BA5-4001-A59D-4EDC79DC4F8E}" presName="connectorText" presStyleLbl="sibTrans2D1" presStyleIdx="0" presStyleCnt="5"/>
      <dgm:spPr/>
    </dgm:pt>
    <dgm:pt modelId="{0EE4A746-1C61-4FBA-85CE-7BA1465B041B}" type="pres">
      <dgm:prSet presAssocID="{25484D35-8EF4-4A0D-9085-87D7C82E8246}" presName="node" presStyleLbl="node1" presStyleIdx="1" presStyleCnt="6" custLinFactNeighborX="5560">
        <dgm:presLayoutVars>
          <dgm:bulletEnabled val="1"/>
        </dgm:presLayoutVars>
      </dgm:prSet>
      <dgm:spPr/>
    </dgm:pt>
    <dgm:pt modelId="{6007F432-99A8-487E-88E9-C50ACA6AD344}" type="pres">
      <dgm:prSet presAssocID="{AED6CA76-40F5-4E37-A56E-4F2D73C211B1}" presName="sibTrans" presStyleLbl="sibTrans2D1" presStyleIdx="1" presStyleCnt="5" custScaleX="149978"/>
      <dgm:spPr/>
    </dgm:pt>
    <dgm:pt modelId="{5358AAB9-7F3E-4E56-9105-B762B45AF395}" type="pres">
      <dgm:prSet presAssocID="{AED6CA76-40F5-4E37-A56E-4F2D73C211B1}" presName="connectorText" presStyleLbl="sibTrans2D1" presStyleIdx="1" presStyleCnt="5"/>
      <dgm:spPr/>
    </dgm:pt>
    <dgm:pt modelId="{5116E636-AF2A-4E1B-9FA1-279318067B2A}" type="pres">
      <dgm:prSet presAssocID="{7B6926E0-EF45-49A8-85B4-82A1DA576F92}" presName="node" presStyleLbl="node1" presStyleIdx="2" presStyleCnt="6" custLinFactNeighborX="14456">
        <dgm:presLayoutVars>
          <dgm:bulletEnabled val="1"/>
        </dgm:presLayoutVars>
      </dgm:prSet>
      <dgm:spPr/>
    </dgm:pt>
    <dgm:pt modelId="{6DF7EEE9-C7DD-4222-BCDA-C115E3E0DD42}" type="pres">
      <dgm:prSet presAssocID="{B7AF6F88-15D0-4418-9083-379E4C1C6B01}" presName="sibTrans" presStyleLbl="sibTrans2D1" presStyleIdx="2" presStyleCnt="5" custScaleX="150992" custLinFactNeighborX="1867"/>
      <dgm:spPr/>
    </dgm:pt>
    <dgm:pt modelId="{2579A3E2-CD7A-4F50-9991-212C552E0858}" type="pres">
      <dgm:prSet presAssocID="{B7AF6F88-15D0-4418-9083-379E4C1C6B01}" presName="connectorText" presStyleLbl="sibTrans2D1" presStyleIdx="2" presStyleCnt="5"/>
      <dgm:spPr/>
    </dgm:pt>
    <dgm:pt modelId="{D621F505-0521-42F1-90EB-0160334104B9}" type="pres">
      <dgm:prSet presAssocID="{7B0DF256-75B1-4C85-9714-B419D5043991}" presName="node" presStyleLbl="node1" presStyleIdx="3" presStyleCnt="6" custLinFactNeighborX="28172" custLinFactNeighborY="-19">
        <dgm:presLayoutVars>
          <dgm:bulletEnabled val="1"/>
        </dgm:presLayoutVars>
      </dgm:prSet>
      <dgm:spPr/>
    </dgm:pt>
    <dgm:pt modelId="{80210538-04E5-435F-897C-9DD87D9A845D}" type="pres">
      <dgm:prSet presAssocID="{DFD2ADD2-E94C-47BE-8D62-922A72AC0BC9}" presName="sibTrans" presStyleLbl="sibTrans2D1" presStyleIdx="3" presStyleCnt="5" custAng="21522284" custScaleX="145954" custScaleY="132020" custLinFactNeighborX="-151" custLinFactNeighborY="6798"/>
      <dgm:spPr/>
    </dgm:pt>
    <dgm:pt modelId="{430F07E6-DAFD-4DA0-BBB6-0482A3792D76}" type="pres">
      <dgm:prSet presAssocID="{DFD2ADD2-E94C-47BE-8D62-922A72AC0BC9}" presName="connectorText" presStyleLbl="sibTrans2D1" presStyleIdx="3" presStyleCnt="5"/>
      <dgm:spPr/>
    </dgm:pt>
    <dgm:pt modelId="{7DBC59C2-876A-4AAD-B67B-AA0C14653655}" type="pres">
      <dgm:prSet presAssocID="{332F7F3A-F5F0-452B-A942-A3F708CAEA0B}" presName="node" presStyleLbl="node1" presStyleIdx="4" presStyleCnt="6" custLinFactNeighborX="43446" custLinFactNeighborY="-2782">
        <dgm:presLayoutVars>
          <dgm:bulletEnabled val="1"/>
        </dgm:presLayoutVars>
      </dgm:prSet>
      <dgm:spPr/>
    </dgm:pt>
    <dgm:pt modelId="{A9010806-0350-4F79-91F0-8A1D6B773101}" type="pres">
      <dgm:prSet presAssocID="{61C2F012-E3DF-41E9-A29F-D0629FA3D8EF}" presName="sibTrans" presStyleLbl="sibTrans2D1" presStyleIdx="4" presStyleCnt="5" custAng="21139625" custScaleX="153855"/>
      <dgm:spPr/>
    </dgm:pt>
    <dgm:pt modelId="{660C006B-5644-46D3-BEB5-E8195022B62F}" type="pres">
      <dgm:prSet presAssocID="{61C2F012-E3DF-41E9-A29F-D0629FA3D8EF}" presName="connectorText" presStyleLbl="sibTrans2D1" presStyleIdx="4" presStyleCnt="5"/>
      <dgm:spPr/>
    </dgm:pt>
    <dgm:pt modelId="{91ABB2BB-3715-4583-B364-ADCD929B791C}" type="pres">
      <dgm:prSet presAssocID="{EBD45543-A104-4B8E-80E8-D172B7DA447D}" presName="node" presStyleLbl="node1" presStyleIdx="5" presStyleCnt="6" custLinFactNeighborX="7811">
        <dgm:presLayoutVars>
          <dgm:bulletEnabled val="1"/>
        </dgm:presLayoutVars>
      </dgm:prSet>
      <dgm:spPr/>
    </dgm:pt>
  </dgm:ptLst>
  <dgm:cxnLst>
    <dgm:cxn modelId="{C22C530B-C19D-4871-9828-1A6BD51C415B}" type="presOf" srcId="{61C2F012-E3DF-41E9-A29F-D0629FA3D8EF}" destId="{A9010806-0350-4F79-91F0-8A1D6B773101}" srcOrd="0" destOrd="0" presId="urn:microsoft.com/office/officeart/2005/8/layout/process5"/>
    <dgm:cxn modelId="{0C2CF52B-4A3D-4C74-BEB5-EC1BC99F051B}" srcId="{20039B7F-1E7A-4E6F-833F-7A25D2EC421C}" destId="{179D91A1-FC0E-46DF-B6AA-AA90341F4566}" srcOrd="0" destOrd="0" parTransId="{88B59414-CE25-467F-A196-7FB52154AEEA}" sibTransId="{B3BF3CE6-8BA5-4001-A59D-4EDC79DC4F8E}"/>
    <dgm:cxn modelId="{8765EF2F-6F23-4033-B5A2-3BFBF6FB1E35}" type="presOf" srcId="{7B0DF256-75B1-4C85-9714-B419D5043991}" destId="{D621F505-0521-42F1-90EB-0160334104B9}" srcOrd="0" destOrd="0" presId="urn:microsoft.com/office/officeart/2005/8/layout/process5"/>
    <dgm:cxn modelId="{0EDBD033-ECBF-40BC-AA88-B500432776FF}" srcId="{20039B7F-1E7A-4E6F-833F-7A25D2EC421C}" destId="{332F7F3A-F5F0-452B-A942-A3F708CAEA0B}" srcOrd="4" destOrd="0" parTransId="{185F930B-11DE-45AA-9409-EAA25170698C}" sibTransId="{61C2F012-E3DF-41E9-A29F-D0629FA3D8EF}"/>
    <dgm:cxn modelId="{1D9B6D36-0F21-47C3-997E-A3B18642AAD6}" type="presOf" srcId="{20039B7F-1E7A-4E6F-833F-7A25D2EC421C}" destId="{F46C8507-092B-47BA-B829-FCD881EE3050}" srcOrd="0" destOrd="0" presId="urn:microsoft.com/office/officeart/2005/8/layout/process5"/>
    <dgm:cxn modelId="{6431BD5E-B5C0-4FF2-82D2-DFE49BCBAB89}" srcId="{20039B7F-1E7A-4E6F-833F-7A25D2EC421C}" destId="{7B0DF256-75B1-4C85-9714-B419D5043991}" srcOrd="3" destOrd="0" parTransId="{C3F97B95-5EDC-41A7-999B-E835637F3305}" sibTransId="{DFD2ADD2-E94C-47BE-8D62-922A72AC0BC9}"/>
    <dgm:cxn modelId="{535F1861-5C48-40F4-84B1-6E1AA665198E}" srcId="{20039B7F-1E7A-4E6F-833F-7A25D2EC421C}" destId="{25484D35-8EF4-4A0D-9085-87D7C82E8246}" srcOrd="1" destOrd="0" parTransId="{01582755-2C44-4E3D-AA82-45B5D9260E13}" sibTransId="{AED6CA76-40F5-4E37-A56E-4F2D73C211B1}"/>
    <dgm:cxn modelId="{55ACD243-01A6-4492-A313-3608C38C5408}" type="presOf" srcId="{332F7F3A-F5F0-452B-A942-A3F708CAEA0B}" destId="{7DBC59C2-876A-4AAD-B67B-AA0C14653655}" srcOrd="0" destOrd="0" presId="urn:microsoft.com/office/officeart/2005/8/layout/process5"/>
    <dgm:cxn modelId="{EFFF4D44-6FBF-48F0-898E-F1C167B2DCF2}" type="presOf" srcId="{7B6926E0-EF45-49A8-85B4-82A1DA576F92}" destId="{5116E636-AF2A-4E1B-9FA1-279318067B2A}" srcOrd="0" destOrd="0" presId="urn:microsoft.com/office/officeart/2005/8/layout/process5"/>
    <dgm:cxn modelId="{16DB3845-3343-42AA-9687-B7A0AF7F6410}" type="presOf" srcId="{EBD45543-A104-4B8E-80E8-D172B7DA447D}" destId="{91ABB2BB-3715-4583-B364-ADCD929B791C}" srcOrd="0" destOrd="0" presId="urn:microsoft.com/office/officeart/2005/8/layout/process5"/>
    <dgm:cxn modelId="{8830784A-1C2D-4E28-B303-2553C1680CC0}" type="presOf" srcId="{AED6CA76-40F5-4E37-A56E-4F2D73C211B1}" destId="{5358AAB9-7F3E-4E56-9105-B762B45AF395}" srcOrd="1" destOrd="0" presId="urn:microsoft.com/office/officeart/2005/8/layout/process5"/>
    <dgm:cxn modelId="{6EA32A54-192F-4285-A674-2B4D63EDA6A0}" type="presOf" srcId="{B7AF6F88-15D0-4418-9083-379E4C1C6B01}" destId="{2579A3E2-CD7A-4F50-9991-212C552E0858}" srcOrd="1" destOrd="0" presId="urn:microsoft.com/office/officeart/2005/8/layout/process5"/>
    <dgm:cxn modelId="{8447A454-50D3-4FC5-87DB-F3F4C86AFF3A}" type="presOf" srcId="{DFD2ADD2-E94C-47BE-8D62-922A72AC0BC9}" destId="{80210538-04E5-435F-897C-9DD87D9A845D}" srcOrd="0" destOrd="0" presId="urn:microsoft.com/office/officeart/2005/8/layout/process5"/>
    <dgm:cxn modelId="{55C9DB7E-214B-444B-952B-926E0A7D1495}" type="presOf" srcId="{61C2F012-E3DF-41E9-A29F-D0629FA3D8EF}" destId="{660C006B-5644-46D3-BEB5-E8195022B62F}" srcOrd="1" destOrd="0" presId="urn:microsoft.com/office/officeart/2005/8/layout/process5"/>
    <dgm:cxn modelId="{1252D880-4E8C-4FF9-8A4E-4F56DFBCBFF7}" srcId="{20039B7F-1E7A-4E6F-833F-7A25D2EC421C}" destId="{EBD45543-A104-4B8E-80E8-D172B7DA447D}" srcOrd="5" destOrd="0" parTransId="{263881C8-8CC1-4B38-AADF-EA8F5F3B0040}" sibTransId="{C43F33C9-6354-438E-A341-649F9CFAC492}"/>
    <dgm:cxn modelId="{FD360AA9-5093-409D-B8B7-4839FF1E36A8}" type="presOf" srcId="{179D91A1-FC0E-46DF-B6AA-AA90341F4566}" destId="{E7FC8939-E681-43A3-9610-405C54AA1E7A}" srcOrd="0" destOrd="0" presId="urn:microsoft.com/office/officeart/2005/8/layout/process5"/>
    <dgm:cxn modelId="{2AB79ABA-B20B-4AE9-810B-BE9A67D53347}" type="presOf" srcId="{AED6CA76-40F5-4E37-A56E-4F2D73C211B1}" destId="{6007F432-99A8-487E-88E9-C50ACA6AD344}" srcOrd="0" destOrd="0" presId="urn:microsoft.com/office/officeart/2005/8/layout/process5"/>
    <dgm:cxn modelId="{D82146C5-A171-4BFB-8737-7779B33A3216}" type="presOf" srcId="{DFD2ADD2-E94C-47BE-8D62-922A72AC0BC9}" destId="{430F07E6-DAFD-4DA0-BBB6-0482A3792D76}" srcOrd="1" destOrd="0" presId="urn:microsoft.com/office/officeart/2005/8/layout/process5"/>
    <dgm:cxn modelId="{64BEF3DE-7EB5-4F1E-AB9A-9FA92043AD6C}" type="presOf" srcId="{25484D35-8EF4-4A0D-9085-87D7C82E8246}" destId="{0EE4A746-1C61-4FBA-85CE-7BA1465B041B}" srcOrd="0" destOrd="0" presId="urn:microsoft.com/office/officeart/2005/8/layout/process5"/>
    <dgm:cxn modelId="{55B9E6E1-48E4-4AFD-9A5F-CDC351E742B1}" type="presOf" srcId="{B3BF3CE6-8BA5-4001-A59D-4EDC79DC4F8E}" destId="{FC7E25D7-ADB2-4D1C-ABD7-F12164C2835B}" srcOrd="0" destOrd="0" presId="urn:microsoft.com/office/officeart/2005/8/layout/process5"/>
    <dgm:cxn modelId="{958DA6EE-F37D-47A4-B260-1A83207F71FB}" srcId="{20039B7F-1E7A-4E6F-833F-7A25D2EC421C}" destId="{7B6926E0-EF45-49A8-85B4-82A1DA576F92}" srcOrd="2" destOrd="0" parTransId="{8C3EA6A6-3EB9-4BA5-A904-8B83D22184B7}" sibTransId="{B7AF6F88-15D0-4418-9083-379E4C1C6B01}"/>
    <dgm:cxn modelId="{3166C6F8-7694-4D1B-930B-F92EBF72B060}" type="presOf" srcId="{B3BF3CE6-8BA5-4001-A59D-4EDC79DC4F8E}" destId="{88864369-6676-4F10-BFAA-4469D8408879}" srcOrd="1" destOrd="0" presId="urn:microsoft.com/office/officeart/2005/8/layout/process5"/>
    <dgm:cxn modelId="{2B8D72F9-191C-4ADB-AA84-9C30A4591946}" type="presOf" srcId="{B7AF6F88-15D0-4418-9083-379E4C1C6B01}" destId="{6DF7EEE9-C7DD-4222-BCDA-C115E3E0DD42}" srcOrd="0" destOrd="0" presId="urn:microsoft.com/office/officeart/2005/8/layout/process5"/>
    <dgm:cxn modelId="{FE527669-1037-46FE-9EBA-83C638F87323}" type="presParOf" srcId="{F46C8507-092B-47BA-B829-FCD881EE3050}" destId="{E7FC8939-E681-43A3-9610-405C54AA1E7A}" srcOrd="0" destOrd="0" presId="urn:microsoft.com/office/officeart/2005/8/layout/process5"/>
    <dgm:cxn modelId="{A35B3A95-E7B3-48BD-8732-62EF844E3232}" type="presParOf" srcId="{F46C8507-092B-47BA-B829-FCD881EE3050}" destId="{FC7E25D7-ADB2-4D1C-ABD7-F12164C2835B}" srcOrd="1" destOrd="0" presId="urn:microsoft.com/office/officeart/2005/8/layout/process5"/>
    <dgm:cxn modelId="{6E98B445-2EEB-4A44-A9FB-0BC3047CC782}" type="presParOf" srcId="{FC7E25D7-ADB2-4D1C-ABD7-F12164C2835B}" destId="{88864369-6676-4F10-BFAA-4469D8408879}" srcOrd="0" destOrd="0" presId="urn:microsoft.com/office/officeart/2005/8/layout/process5"/>
    <dgm:cxn modelId="{02CEB150-DC77-4B43-86F7-2535F254F939}" type="presParOf" srcId="{F46C8507-092B-47BA-B829-FCD881EE3050}" destId="{0EE4A746-1C61-4FBA-85CE-7BA1465B041B}" srcOrd="2" destOrd="0" presId="urn:microsoft.com/office/officeart/2005/8/layout/process5"/>
    <dgm:cxn modelId="{E6455F9D-B7C3-403A-B14D-5D5E70615E09}" type="presParOf" srcId="{F46C8507-092B-47BA-B829-FCD881EE3050}" destId="{6007F432-99A8-487E-88E9-C50ACA6AD344}" srcOrd="3" destOrd="0" presId="urn:microsoft.com/office/officeart/2005/8/layout/process5"/>
    <dgm:cxn modelId="{9A9A941D-75E1-4A95-A430-2658988A6C34}" type="presParOf" srcId="{6007F432-99A8-487E-88E9-C50ACA6AD344}" destId="{5358AAB9-7F3E-4E56-9105-B762B45AF395}" srcOrd="0" destOrd="0" presId="urn:microsoft.com/office/officeart/2005/8/layout/process5"/>
    <dgm:cxn modelId="{BAD750D9-09FB-458F-836D-C5DB42320E2A}" type="presParOf" srcId="{F46C8507-092B-47BA-B829-FCD881EE3050}" destId="{5116E636-AF2A-4E1B-9FA1-279318067B2A}" srcOrd="4" destOrd="0" presId="urn:microsoft.com/office/officeart/2005/8/layout/process5"/>
    <dgm:cxn modelId="{779256DF-598E-486E-866C-D84A76D27F6D}" type="presParOf" srcId="{F46C8507-092B-47BA-B829-FCD881EE3050}" destId="{6DF7EEE9-C7DD-4222-BCDA-C115E3E0DD42}" srcOrd="5" destOrd="0" presId="urn:microsoft.com/office/officeart/2005/8/layout/process5"/>
    <dgm:cxn modelId="{D482C391-FEAA-460B-A1F1-53328B6A9C0E}" type="presParOf" srcId="{6DF7EEE9-C7DD-4222-BCDA-C115E3E0DD42}" destId="{2579A3E2-CD7A-4F50-9991-212C552E0858}" srcOrd="0" destOrd="0" presId="urn:microsoft.com/office/officeart/2005/8/layout/process5"/>
    <dgm:cxn modelId="{94F3B6FE-D66E-4898-8BF8-D7F177082297}" type="presParOf" srcId="{F46C8507-092B-47BA-B829-FCD881EE3050}" destId="{D621F505-0521-42F1-90EB-0160334104B9}" srcOrd="6" destOrd="0" presId="urn:microsoft.com/office/officeart/2005/8/layout/process5"/>
    <dgm:cxn modelId="{C34D0389-B478-461D-AD65-5E0CD2ED242F}" type="presParOf" srcId="{F46C8507-092B-47BA-B829-FCD881EE3050}" destId="{80210538-04E5-435F-897C-9DD87D9A845D}" srcOrd="7" destOrd="0" presId="urn:microsoft.com/office/officeart/2005/8/layout/process5"/>
    <dgm:cxn modelId="{106EB4ED-A562-4397-8758-E28A8A45FDCE}" type="presParOf" srcId="{80210538-04E5-435F-897C-9DD87D9A845D}" destId="{430F07E6-DAFD-4DA0-BBB6-0482A3792D76}" srcOrd="0" destOrd="0" presId="urn:microsoft.com/office/officeart/2005/8/layout/process5"/>
    <dgm:cxn modelId="{045DE98D-D6DB-4A2D-BD51-BD20F26CD880}" type="presParOf" srcId="{F46C8507-092B-47BA-B829-FCD881EE3050}" destId="{7DBC59C2-876A-4AAD-B67B-AA0C14653655}" srcOrd="8" destOrd="0" presId="urn:microsoft.com/office/officeart/2005/8/layout/process5"/>
    <dgm:cxn modelId="{A0AC20F8-180D-4C3D-840C-AD2269B3C52A}" type="presParOf" srcId="{F46C8507-092B-47BA-B829-FCD881EE3050}" destId="{A9010806-0350-4F79-91F0-8A1D6B773101}" srcOrd="9" destOrd="0" presId="urn:microsoft.com/office/officeart/2005/8/layout/process5"/>
    <dgm:cxn modelId="{6450A788-690C-43A1-9334-AEB69FAFD536}" type="presParOf" srcId="{A9010806-0350-4F79-91F0-8A1D6B773101}" destId="{660C006B-5644-46D3-BEB5-E8195022B62F}" srcOrd="0" destOrd="0" presId="urn:microsoft.com/office/officeart/2005/8/layout/process5"/>
    <dgm:cxn modelId="{CEEC71DE-228A-4E86-B0C1-E37B572CB487}" type="presParOf" srcId="{F46C8507-092B-47BA-B829-FCD881EE3050}" destId="{91ABB2BB-3715-4583-B364-ADCD929B791C}" srcOrd="10" destOrd="0" presId="urn:microsoft.com/office/officeart/2005/8/layout/process5"/>
  </dgm:cxnLst>
  <dgm:bg/>
  <dgm:whole/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 xmlns:r="http://schemas.openxmlformats.org/officeDocument/2006/relationships">
  <dsp:spTree>
    <dsp:nvGrpSpPr>
      <dsp:cNvPr id="2" name="Grupo 1"/>
      <dsp:cNvGrpSpPr/>
    </dsp:nvGrpSpPr>
    <dsp:grpSpPr>
      <a:xfrm>
        <a:off x="0" y="0"/>
        <a:ext cx="11036935" cy="2536825"/>
        <a:chOff x="0" y="0"/>
        <a:chExt cx="11036935" cy="2536825"/>
      </a:xfrm>
    </dsp:grpSpPr>
    <dsp:sp modelId="{E7FC8939-E681-43A3-9610-405C54AA1E7A}">
      <dsp:nvSpPr>
        <dsp:cNvPr id="3" name="Retângulo arredondado 2"/>
        <dsp:cNvSpPr/>
      </dsp:nvSpPr>
      <dsp:spPr bwMode="white">
        <a:xfrm>
          <a:off x="289935" y="-1805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0"/>
            <a:satOff val="0"/>
            <a:lumOff val="0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68580" tIns="68580" rIns="68580" bIns="6858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/>
            <a:t>Fornecedor</a:t>
          </a:r>
        </a:p>
      </dsp:txBody>
      <dsp:txXfrm>
        <a:off x="289935" y="-1805"/>
        <a:ext cx="1589793" cy="953876"/>
      </dsp:txXfrm>
    </dsp:sp>
    <dsp:sp modelId="{FC7E25D7-ADB2-4D1C-ABD7-F12164C2835B}">
      <dsp:nvSpPr>
        <dsp:cNvPr id="4" name="Seta para a direita 3"/>
        <dsp:cNvSpPr/>
      </dsp:nvSpPr>
      <dsp:spPr bwMode="white">
        <a:xfrm rot="2681">
          <a:off x="2049941" y="278901"/>
          <a:ext cx="383884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0"/>
            <a:satOff val="0"/>
            <a:lumOff val="0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b="1"/>
            <a:t>CD1</a:t>
          </a:r>
        </a:p>
      </dsp:txBody>
      <dsp:txXfrm rot="2681">
        <a:off x="2049941" y="278901"/>
        <a:ext cx="383884" cy="394269"/>
      </dsp:txXfrm>
    </dsp:sp>
    <dsp:sp modelId="{0EE4A746-1C61-4FBA-85CE-7BA1465B041B}">
      <dsp:nvSpPr>
        <dsp:cNvPr id="5" name="Retângulo arredondado 4"/>
        <dsp:cNvSpPr/>
      </dsp:nvSpPr>
      <dsp:spPr bwMode="white">
        <a:xfrm>
          <a:off x="2604038" y="0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300000"/>
            <a:satOff val="-16783"/>
            <a:lumOff val="1725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41910" tIns="41910" rIns="41910" bIns="4191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sz="1100"/>
            <a:t>COA1</a:t>
          </a:r>
          <a:br>
            <a:rPr lang="pt-BR" sz="1900"/>
          </a:br>
          <a:r>
            <a:rPr lang="pt-BR" sz="2000"/>
            <a:t>Filial 1</a:t>
          </a:r>
          <a:endParaRPr lang="pt-BR" sz="1900"/>
        </a:p>
      </dsp:txBody>
      <dsp:txXfrm>
        <a:off x="2604038" y="0"/>
        <a:ext cx="1589793" cy="953876"/>
      </dsp:txXfrm>
    </dsp:sp>
    <dsp:sp modelId="{6007F432-99A8-487E-88E9-C50ACA6AD344}">
      <dsp:nvSpPr>
        <dsp:cNvPr id="6" name="Seta para a direita 5"/>
        <dsp:cNvSpPr/>
      </dsp:nvSpPr>
      <dsp:spPr bwMode="white">
        <a:xfrm>
          <a:off x="4376507" y="279804"/>
          <a:ext cx="411993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-375000"/>
            <a:satOff val="-20979"/>
            <a:lumOff val="2157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b="1"/>
            <a:t>CT1</a:t>
          </a:r>
        </a:p>
      </dsp:txBody>
      <dsp:txXfrm>
        <a:off x="4376507" y="279804"/>
        <a:ext cx="411993" cy="394269"/>
      </dsp:txXfrm>
    </dsp:sp>
    <dsp:sp modelId="{5116E636-AF2A-4E1B-9FA1-279318067B2A}">
      <dsp:nvSpPr>
        <dsp:cNvPr id="7" name="Retângulo arredondado 6"/>
        <dsp:cNvSpPr/>
      </dsp:nvSpPr>
      <dsp:spPr bwMode="white">
        <a:xfrm>
          <a:off x="4971176" y="0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600000"/>
            <a:satOff val="-33568"/>
            <a:lumOff val="3451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41910" tIns="41910" rIns="41910" bIns="4191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sz="1100"/>
            <a:t>COA2</a:t>
          </a:r>
          <a:br>
            <a:rPr lang="pt-BR" sz="2000"/>
          </a:br>
          <a:r>
            <a:rPr lang="pt-BR" sz="2000"/>
            <a:t>FILIAL 2</a:t>
          </a:r>
        </a:p>
      </dsp:txBody>
      <dsp:txXfrm>
        <a:off x="4971176" y="0"/>
        <a:ext cx="1589793" cy="953876"/>
      </dsp:txXfrm>
    </dsp:sp>
    <dsp:sp modelId="{6DF7EEE9-C7DD-4222-BCDA-C115E3E0DD42}">
      <dsp:nvSpPr>
        <dsp:cNvPr id="8" name="Seta para a direita 7"/>
        <dsp:cNvSpPr/>
      </dsp:nvSpPr>
      <dsp:spPr bwMode="white">
        <a:xfrm>
          <a:off x="6767249" y="279804"/>
          <a:ext cx="452606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-750000"/>
            <a:satOff val="-41960"/>
            <a:lumOff val="4314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b="1"/>
            <a:t>CT2</a:t>
          </a:r>
        </a:p>
      </dsp:txBody>
      <dsp:txXfrm>
        <a:off x="6767249" y="279804"/>
        <a:ext cx="452606" cy="394269"/>
      </dsp:txXfrm>
    </dsp:sp>
    <dsp:sp modelId="{D621F505-0521-42F1-90EB-0160334104B9}">
      <dsp:nvSpPr>
        <dsp:cNvPr id="9" name="Retângulo arredondado 8"/>
        <dsp:cNvSpPr/>
      </dsp:nvSpPr>
      <dsp:spPr bwMode="white">
        <a:xfrm>
          <a:off x="7414942" y="0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900000"/>
            <a:satOff val="-50352"/>
            <a:lumOff val="5176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41910" tIns="41910" rIns="41910" bIns="4191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sz="1100"/>
            <a:t>COA3</a:t>
          </a:r>
          <a:br>
            <a:rPr lang="pt-BR" sz="2000"/>
          </a:br>
          <a:r>
            <a:rPr lang="pt-BR" sz="2000"/>
            <a:t>FILIAL 3</a:t>
          </a:r>
        </a:p>
      </dsp:txBody>
      <dsp:txXfrm>
        <a:off x="7414942" y="0"/>
        <a:ext cx="1589793" cy="953876"/>
      </dsp:txXfrm>
    </dsp:sp>
    <dsp:sp modelId="{80210538-04E5-435F-897C-9DD87D9A845D}">
      <dsp:nvSpPr>
        <dsp:cNvPr id="10" name="Seta para a direita 9"/>
        <dsp:cNvSpPr/>
      </dsp:nvSpPr>
      <dsp:spPr bwMode="white">
        <a:xfrm rot="21522284">
          <a:off x="9108458" y="300105"/>
          <a:ext cx="234476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-1125000"/>
            <a:satOff val="-62940"/>
            <a:lumOff val="6471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sz="1200" b="1"/>
            <a:t>CD2</a:t>
          </a:r>
          <a:endParaRPr lang="pt-BR" sz="1100" b="1"/>
        </a:p>
      </dsp:txBody>
      <dsp:txXfrm rot="21522284">
        <a:off x="9108458" y="300105"/>
        <a:ext cx="234476" cy="394269"/>
      </dsp:txXfrm>
    </dsp:sp>
    <dsp:sp modelId="{7DBC59C2-876A-4AAD-B67B-AA0C14653655}">
      <dsp:nvSpPr>
        <dsp:cNvPr id="11" name="Retângulo arredondado 10"/>
        <dsp:cNvSpPr/>
      </dsp:nvSpPr>
      <dsp:spPr bwMode="white">
        <a:xfrm>
          <a:off x="9447142" y="0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1200000"/>
            <a:satOff val="-67136"/>
            <a:lumOff val="6902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68580" tIns="68580" rIns="68580" bIns="6858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/>
            <a:t>PARCEIRO</a:t>
          </a:r>
        </a:p>
      </dsp:txBody>
      <dsp:txXfrm>
        <a:off x="9447142" y="0"/>
        <a:ext cx="1589793" cy="953876"/>
      </dsp:txXfrm>
    </dsp:sp>
    <dsp:sp modelId="{A9010806-0350-4F79-91F0-8A1D6B773101}">
      <dsp:nvSpPr>
        <dsp:cNvPr id="12" name="Seta para a direita 11"/>
        <dsp:cNvSpPr/>
      </dsp:nvSpPr>
      <dsp:spPr bwMode="white">
        <a:xfrm rot="26898296">
          <a:off x="9991544" y="1071278"/>
          <a:ext cx="335232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-1500000"/>
            <a:satOff val="-83921"/>
            <a:lumOff val="8627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rot="-5400000"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b="1"/>
            <a:t>CP1</a:t>
          </a:r>
        </a:p>
      </dsp:txBody>
      <dsp:txXfrm rot="26898296">
        <a:off x="9991544" y="1071278"/>
        <a:ext cx="335232" cy="394269"/>
      </dsp:txXfrm>
    </dsp:sp>
    <dsp:sp modelId="{91ABB2BB-3715-4583-B364-ADCD929B791C}">
      <dsp:nvSpPr>
        <dsp:cNvPr id="13" name="Retângulo arredondado 12"/>
        <dsp:cNvSpPr/>
      </dsp:nvSpPr>
      <dsp:spPr bwMode="white">
        <a:xfrm>
          <a:off x="9281386" y="1582949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1500000"/>
            <a:satOff val="-83921"/>
            <a:lumOff val="8627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68580" tIns="68580" rIns="68580" bIns="6858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/>
            <a:t>DESTINATÁRIO</a:t>
          </a:r>
        </a:p>
      </dsp:txBody>
      <dsp:txXfrm>
        <a:off x="9281386" y="1582949"/>
        <a:ext cx="1589793" cy="95387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5">
  <dgm:title val=""/>
  <dgm:desc val=""/>
  <dgm:catLst>
    <dgm:cat type="process" pri="17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axis="self" func="var" arg="dir" op="equ" val="norm">
        <dgm:alg type="snake">
          <dgm:param type="bkpt" val="endCnv"/>
          <dgm:param type="contDir" val="revDir"/>
          <dgm:param type="grDir" val="tL"/>
          <dgm:param type="flowDir" val="row"/>
        </dgm:alg>
      </dgm:if>
      <dgm:else name="Name2">
        <dgm:alg type="snake">
          <dgm:param type="bkpt" val="endCnv"/>
          <dgm:param type="contDir" val="revDir"/>
          <dgm:param type="grDir" val="tR"/>
          <dgm:param type="flowDir" val="row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forName="sibTrans" refType="w" refFor="ch" refPtType="node" op="equ" fact="0.4"/>
      <dgm:constr type="sp" refType="w" refFor="ch" refForName="sibTrans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Node1">
    <dgm:scene3d>
      <a:camera prst="orthographicFront"/>
      <a:lightRig rig="threePt" dir="t"/>
    </dgm:scene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ImgPlace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2D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vennNode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FONTES!A1"/><Relationship Id="rId8" Type="http://schemas.openxmlformats.org/officeDocument/2006/relationships/hyperlink" Target="#'RESULTADO REDESPACHO'!A1"/><Relationship Id="rId7" Type="http://schemas.openxmlformats.org/officeDocument/2006/relationships/hyperlink" Target="#'RESULTADO DIRETO'!A1"/><Relationship Id="rId6" Type="http://schemas.openxmlformats.org/officeDocument/2006/relationships/hyperlink" Target="#'RELATORIO BASE'!A1"/><Relationship Id="rId5" Type="http://schemas.openxmlformats.org/officeDocument/2006/relationships/image" Target="../media/image1.png"/><Relationship Id="rId4" Type="http://schemas.openxmlformats.org/officeDocument/2006/relationships/diagramColors" Target="../diagrams/colors1.xml"/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0" Type="http://schemas.openxmlformats.org/officeDocument/2006/relationships/hyperlink" Target="#'CUSTO TRANSFERENCIA'!A1"/><Relationship Id="rId1" Type="http://schemas.openxmlformats.org/officeDocument/2006/relationships/diagramData" Target="../diagrams/data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BAS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BAS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BAS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BASE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1</xdr:row>
      <xdr:rowOff>152400</xdr:rowOff>
    </xdr:from>
    <xdr:to>
      <xdr:col>13</xdr:col>
      <xdr:colOff>38100</xdr:colOff>
      <xdr:row>15</xdr:row>
      <xdr:rowOff>91440</xdr:rowOff>
    </xdr:to>
    <xdr:graphicFrame>
      <xdr:nvGraphicFramePr>
        <xdr:cNvPr id="2" name="Diagrama 1"/>
        <xdr:cNvGraphicFramePr/>
      </xdr:nvGraphicFramePr>
      <xdr:xfrm>
        <a:off x="0" y="335280"/>
        <a:ext cx="11049000" cy="249936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12</xdr:col>
      <xdr:colOff>472440</xdr:colOff>
      <xdr:row>11</xdr:row>
      <xdr:rowOff>76201</xdr:rowOff>
    </xdr:from>
    <xdr:to>
      <xdr:col>16</xdr:col>
      <xdr:colOff>297180</xdr:colOff>
      <xdr:row>18</xdr:row>
      <xdr:rowOff>114301</xdr:rowOff>
    </xdr:to>
    <xdr:sp>
      <xdr:nvSpPr>
        <xdr:cNvPr id="3" name="CaixaDeTexto 2"/>
        <xdr:cNvSpPr txBox="1"/>
      </xdr:nvSpPr>
      <xdr:spPr>
        <a:xfrm>
          <a:off x="10866120" y="2087880"/>
          <a:ext cx="2293620" cy="1318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Legenda:</a:t>
          </a:r>
          <a:endParaRPr lang="pt-BR" sz="900" b="1"/>
        </a:p>
        <a:p>
          <a:endParaRPr lang="pt-BR" sz="800"/>
        </a:p>
        <a:p>
          <a:r>
            <a:rPr lang="pt-BR" sz="800" b="1"/>
            <a:t>CD1</a:t>
          </a:r>
          <a:r>
            <a:rPr lang="pt-BR" sz="800" baseline="0"/>
            <a:t> - Custo de distribuição na origem/coleta</a:t>
          </a:r>
          <a:endParaRPr lang="pt-BR" sz="800" baseline="0"/>
        </a:p>
        <a:p>
          <a:r>
            <a:rPr lang="pt-BR" sz="800" b="1" baseline="0"/>
            <a:t>CT1</a:t>
          </a:r>
          <a:r>
            <a:rPr lang="pt-BR" sz="800" baseline="0"/>
            <a:t> - Custo de transferência entre filiais 1-2</a:t>
          </a:r>
          <a:endParaRPr lang="pt-BR" sz="800" baseline="0"/>
        </a:p>
        <a:p>
          <a:r>
            <a:rPr lang="pt-BR" sz="800" b="1" baseline="0"/>
            <a:t>CT2</a:t>
          </a:r>
          <a:r>
            <a:rPr lang="pt-BR" sz="800" baseline="0"/>
            <a:t> - Custo de transferência entre filiais 2-3</a:t>
          </a:r>
          <a:endParaRPr lang="pt-BR" sz="800" baseline="0"/>
        </a:p>
        <a:p>
          <a:r>
            <a:rPr lang="pt-BR" sz="800" b="1" baseline="0"/>
            <a:t>CD2</a:t>
          </a:r>
          <a:r>
            <a:rPr lang="pt-BR" sz="800" baseline="0"/>
            <a:t> - Custo de distribuição na entrega/ parceiro</a:t>
          </a:r>
          <a:endParaRPr lang="pt-BR" sz="800" baseline="0"/>
        </a:p>
        <a:p>
          <a:r>
            <a:rPr lang="pt-BR" sz="800" b="1" baseline="0"/>
            <a:t>CP1</a:t>
          </a:r>
          <a:r>
            <a:rPr lang="pt-BR" sz="800" baseline="0"/>
            <a:t> - Custo parceiro cliente final</a:t>
          </a:r>
          <a:endParaRPr lang="pt-BR" sz="800" baseline="0"/>
        </a:p>
        <a:p>
          <a:r>
            <a:rPr lang="pt-BR" sz="800" b="1" baseline="0"/>
            <a:t>COA1</a:t>
          </a:r>
          <a:r>
            <a:rPr lang="pt-BR" sz="800" baseline="0"/>
            <a:t> - Custo operação armazem origem</a:t>
          </a:r>
          <a:endParaRPr lang="pt-BR" sz="800" baseline="0"/>
        </a:p>
        <a:p>
          <a:r>
            <a:rPr lang="pt-BR" sz="800" b="1" baseline="0"/>
            <a:t>COA2</a:t>
          </a:r>
          <a:r>
            <a:rPr lang="pt-BR" sz="800" baseline="0"/>
            <a:t> -Custo operação armazem destino</a:t>
          </a:r>
          <a:endParaRPr lang="pt-BR" sz="800"/>
        </a:p>
      </xdr:txBody>
    </xdr:sp>
    <xdr:clientData/>
  </xdr:twoCellAnchor>
  <xdr:twoCellAnchor editAs="absolute">
    <xdr:from>
      <xdr:col>13</xdr:col>
      <xdr:colOff>464820</xdr:colOff>
      <xdr:row>0</xdr:row>
      <xdr:rowOff>45720</xdr:rowOff>
    </xdr:from>
    <xdr:to>
      <xdr:col>17</xdr:col>
      <xdr:colOff>487680</xdr:colOff>
      <xdr:row>9</xdr:row>
      <xdr:rowOff>114300</xdr:rowOff>
    </xdr:to>
    <xdr:pic>
      <xdr:nvPicPr>
        <xdr:cNvPr id="11" name="Imagem 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5720" y="45720"/>
          <a:ext cx="2491740" cy="1714500"/>
        </a:xfrm>
        <a:prstGeom prst="rect">
          <a:avLst/>
        </a:prstGeom>
      </xdr:spPr>
    </xdr:pic>
    <xdr:clientData/>
  </xdr:twoCellAnchor>
  <xdr:twoCellAnchor>
    <xdr:from>
      <xdr:col>3</xdr:col>
      <xdr:colOff>594360</xdr:colOff>
      <xdr:row>14</xdr:row>
      <xdr:rowOff>99060</xdr:rowOff>
    </xdr:from>
    <xdr:to>
      <xdr:col>6</xdr:col>
      <xdr:colOff>403860</xdr:colOff>
      <xdr:row>25</xdr:row>
      <xdr:rowOff>38100</xdr:rowOff>
    </xdr:to>
    <xdr:grpSp>
      <xdr:nvGrpSpPr>
        <xdr:cNvPr id="10" name="Agrupar 9"/>
        <xdr:cNvGrpSpPr/>
      </xdr:nvGrpSpPr>
      <xdr:grpSpPr>
        <a:xfrm>
          <a:off x="5433060" y="2659380"/>
          <a:ext cx="1661160" cy="2499360"/>
          <a:chOff x="5425440" y="2430780"/>
          <a:chExt cx="1638300" cy="2468880"/>
        </a:xfrm>
      </xdr:grpSpPr>
      <xdr:grpSp>
        <xdr:nvGrpSpPr>
          <xdr:cNvPr id="8" name="Agrupar 7"/>
          <xdr:cNvGrpSpPr/>
        </xdr:nvGrpSpPr>
        <xdr:grpSpPr>
          <a:xfrm>
            <a:off x="5425440" y="2430780"/>
            <a:ext cx="1630680" cy="1950720"/>
            <a:chOff x="11064240" y="175260"/>
            <a:chExt cx="1112520" cy="2019300"/>
          </a:xfrm>
        </xdr:grpSpPr>
        <xdr:sp>
          <xdr:nvSpPr>
            <xdr:cNvPr id="4" name="Retângulo: Cantos Arredondados 3">
              <a:hlinkClick xmlns:r="http://schemas.openxmlformats.org/officeDocument/2006/relationships" r:id="rId6"/>
            </xdr:cNvPr>
            <xdr:cNvSpPr/>
          </xdr:nvSpPr>
          <xdr:spPr>
            <a:xfrm>
              <a:off x="11064240" y="175260"/>
              <a:ext cx="1112520" cy="388620"/>
            </a:xfrm>
            <a:prstGeom prst="round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Relatório</a:t>
              </a:r>
              <a:r>
                <a:rPr lang="pt-BR" sz="1200" b="1" baseline="0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 Base	</a:t>
              </a:r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	</a:t>
              </a:r>
              <a:endPara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endParaRPr>
            </a:p>
          </xdr:txBody>
        </xdr:sp>
        <xdr:sp>
          <xdr:nvSpPr>
            <xdr:cNvPr id="5" name="Retângulo: Cantos Arredondados 4">
              <a:hlinkClick xmlns:r="http://schemas.openxmlformats.org/officeDocument/2006/relationships" r:id="rId7"/>
            </xdr:cNvPr>
            <xdr:cNvSpPr/>
          </xdr:nvSpPr>
          <xdr:spPr>
            <a:xfrm>
              <a:off x="11064240" y="723900"/>
              <a:ext cx="1112520" cy="388620"/>
            </a:xfrm>
            <a:prstGeom prst="round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Resultado</a:t>
              </a:r>
              <a:r>
                <a:rPr lang="pt-BR" sz="1200" b="1" baseline="0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 Direto	</a:t>
              </a:r>
              <a:endPara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endParaRPr>
            </a:p>
          </xdr:txBody>
        </xdr:sp>
        <xdr:sp>
          <xdr:nvSpPr>
            <xdr:cNvPr id="6" name="Retângulo: Cantos Arredondados 5">
              <a:hlinkClick xmlns:r="http://schemas.openxmlformats.org/officeDocument/2006/relationships" r:id="rId8"/>
            </xdr:cNvPr>
            <xdr:cNvSpPr/>
          </xdr:nvSpPr>
          <xdr:spPr>
            <a:xfrm>
              <a:off x="11064240" y="1272540"/>
              <a:ext cx="1112520" cy="388620"/>
            </a:xfrm>
            <a:prstGeom prst="round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Resultado</a:t>
              </a:r>
              <a:r>
                <a:rPr lang="pt-BR" sz="1200" b="1" baseline="0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 Redespacho	</a:t>
              </a:r>
              <a:endPara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endParaRPr>
            </a:p>
          </xdr:txBody>
        </xdr:sp>
        <xdr:sp>
          <xdr:nvSpPr>
            <xdr:cNvPr id="7" name="Retângulo: Cantos Arredondados 6">
              <a:hlinkClick xmlns:r="http://schemas.openxmlformats.org/officeDocument/2006/relationships" r:id="rId9"/>
            </xdr:cNvPr>
            <xdr:cNvSpPr/>
          </xdr:nvSpPr>
          <xdr:spPr>
            <a:xfrm>
              <a:off x="11064240" y="1805940"/>
              <a:ext cx="1112520" cy="388620"/>
            </a:xfrm>
            <a:prstGeom prst="round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Fontes</a:t>
              </a:r>
              <a:endPara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endParaRPr>
            </a:p>
          </xdr:txBody>
        </xdr:sp>
      </xdr:grpSp>
      <xdr:sp>
        <xdr:nvSpPr>
          <xdr:cNvPr id="9" name="Retângulo: Cantos Arredondados 8">
            <a:hlinkClick xmlns:r="http://schemas.openxmlformats.org/officeDocument/2006/relationships" r:id="rId10"/>
          </xdr:cNvPr>
          <xdr:cNvSpPr/>
        </xdr:nvSpPr>
        <xdr:spPr>
          <a:xfrm>
            <a:off x="5433060" y="4511040"/>
            <a:ext cx="1630680" cy="388620"/>
          </a:xfrm>
          <a:prstGeom prst="round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Custos</a:t>
            </a:r>
            <a:r>
              <a:rPr lang="pt-BR" sz="1200" b="1" baseline="0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 Transferência</a:t>
            </a:r>
            <a:endPara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30480</xdr:rowOff>
    </xdr:from>
    <xdr:to>
      <xdr:col>2</xdr:col>
      <xdr:colOff>60960</xdr:colOff>
      <xdr:row>1</xdr:row>
      <xdr:rowOff>152400</xdr:rowOff>
    </xdr:to>
    <xdr:sp>
      <xdr:nvSpPr>
        <xdr:cNvPr id="2" name="Retângulo: Cantos Arredondados 1">
          <a:hlinkClick xmlns:r="http://schemas.openxmlformats.org/officeDocument/2006/relationships" r:id="rId1"/>
        </xdr:cNvPr>
        <xdr:cNvSpPr/>
      </xdr:nvSpPr>
      <xdr:spPr>
        <a:xfrm>
          <a:off x="38100" y="30480"/>
          <a:ext cx="169164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INÍCIO</a:t>
          </a:r>
          <a:endParaRPr lang="pt-BR" sz="12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60960</xdr:colOff>
      <xdr:row>0</xdr:row>
      <xdr:rowOff>68580</xdr:rowOff>
    </xdr:from>
    <xdr:to>
      <xdr:col>2</xdr:col>
      <xdr:colOff>83820</xdr:colOff>
      <xdr:row>2</xdr:row>
      <xdr:rowOff>7620</xdr:rowOff>
    </xdr:to>
    <xdr:sp>
      <xdr:nvSpPr>
        <xdr:cNvPr id="2" name="Retângulo: Cantos Arredondados 1">
          <a:hlinkClick xmlns:r="http://schemas.openxmlformats.org/officeDocument/2006/relationships" r:id="rId1"/>
        </xdr:cNvPr>
        <xdr:cNvSpPr/>
      </xdr:nvSpPr>
      <xdr:spPr>
        <a:xfrm>
          <a:off x="60960" y="68580"/>
          <a:ext cx="144018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INÍCIO</a:t>
          </a:r>
          <a:endParaRPr lang="pt-BR" sz="12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30480</xdr:rowOff>
    </xdr:from>
    <xdr:to>
      <xdr:col>2</xdr:col>
      <xdr:colOff>60960</xdr:colOff>
      <xdr:row>1</xdr:row>
      <xdr:rowOff>152400</xdr:rowOff>
    </xdr:to>
    <xdr:sp>
      <xdr:nvSpPr>
        <xdr:cNvPr id="2" name="Retângulo: Cantos Arredondados 1">
          <a:hlinkClick xmlns:r="http://schemas.openxmlformats.org/officeDocument/2006/relationships" r:id="rId1"/>
        </xdr:cNvPr>
        <xdr:cNvSpPr/>
      </xdr:nvSpPr>
      <xdr:spPr>
        <a:xfrm>
          <a:off x="38100" y="30480"/>
          <a:ext cx="125730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INÍCIO</a:t>
          </a:r>
          <a:endParaRPr lang="pt-BR" sz="12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144</xdr:col>
      <xdr:colOff>34925</xdr:colOff>
      <xdr:row>1</xdr:row>
      <xdr:rowOff>0</xdr:rowOff>
    </xdr:from>
    <xdr:to>
      <xdr:col>146</xdr:col>
      <xdr:colOff>600710</xdr:colOff>
      <xdr:row>239</xdr:row>
      <xdr:rowOff>91440</xdr:rowOff>
    </xdr:to>
    <xdr:pic>
      <xdr:nvPicPr>
        <xdr:cNvPr id="4" name="Imagem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032965" y="152400"/>
          <a:ext cx="1784985" cy="457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60960</xdr:colOff>
      <xdr:row>0</xdr:row>
      <xdr:rowOff>68580</xdr:rowOff>
    </xdr:from>
    <xdr:to>
      <xdr:col>4</xdr:col>
      <xdr:colOff>371475</xdr:colOff>
      <xdr:row>2</xdr:row>
      <xdr:rowOff>7620</xdr:rowOff>
    </xdr:to>
    <xdr:sp>
      <xdr:nvSpPr>
        <xdr:cNvPr id="2" name="Retângulo: Cantos Arredondados 1">
          <a:hlinkClick xmlns:r="http://schemas.openxmlformats.org/officeDocument/2006/relationships" r:id="rId1"/>
        </xdr:cNvPr>
        <xdr:cNvSpPr/>
      </xdr:nvSpPr>
      <xdr:spPr>
        <a:xfrm>
          <a:off x="60960" y="68580"/>
          <a:ext cx="123444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INÍCIO</a:t>
          </a:r>
          <a:endParaRPr lang="pt-BR" sz="12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9:G33"/>
  <sheetViews>
    <sheetView showGridLines="0" showRowColHeaders="0" zoomScale="115" zoomScaleNormal="115" workbookViewId="0">
      <selection activeCell="A1" sqref="A1"/>
    </sheetView>
  </sheetViews>
  <sheetFormatPr defaultColWidth="9" defaultRowHeight="14.4" outlineLevelCol="6"/>
  <cols>
    <col min="1" max="1" width="2.88888888888889" customWidth="1"/>
    <col min="2" max="2" width="23.6666666666667" customWidth="1"/>
    <col min="3" max="3" width="44" customWidth="1"/>
  </cols>
  <sheetData>
    <row r="19" ht="25.2" customHeight="1" spans="2:3">
      <c r="B19" s="204" t="s">
        <v>0</v>
      </c>
      <c r="C19" s="205" t="s">
        <v>1</v>
      </c>
    </row>
    <row r="20" ht="25.2" customHeight="1" spans="2:3">
      <c r="B20" s="204" t="s">
        <v>2</v>
      </c>
      <c r="C20" s="205" t="s">
        <v>3</v>
      </c>
    </row>
    <row r="21" ht="25.2" customHeight="1" spans="2:3">
      <c r="B21" s="204" t="s">
        <v>4</v>
      </c>
      <c r="C21" s="205" t="s">
        <v>5</v>
      </c>
    </row>
    <row r="22" ht="25.2" customHeight="1" spans="2:3">
      <c r="B22" s="204" t="s">
        <v>6</v>
      </c>
      <c r="C22" s="205" t="s">
        <v>7</v>
      </c>
    </row>
    <row r="33" spans="6:7">
      <c r="F33" s="206"/>
      <c r="G33" s="206"/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30"/>
  <sheetViews>
    <sheetView showGridLines="0" zoomScale="70" zoomScaleNormal="70" workbookViewId="0">
      <pane ySplit="2" topLeftCell="A3" activePane="bottomLeft" state="frozen"/>
      <selection/>
      <selection pane="bottomLeft" activeCell="Q29" sqref="Q29"/>
    </sheetView>
  </sheetViews>
  <sheetFormatPr defaultColWidth="9" defaultRowHeight="14.4"/>
  <cols>
    <col min="2" max="2" width="15.3333333333333" customWidth="1"/>
    <col min="3" max="3" width="11.1111111111111" customWidth="1"/>
    <col min="4" max="4" width="18.5555555555556" customWidth="1"/>
    <col min="5" max="5" width="10.3148148148148" customWidth="1"/>
    <col min="6" max="6" width="10.1111111111111" customWidth="1"/>
    <col min="7" max="7" width="11.8981481481481" customWidth="1"/>
    <col min="8" max="8" width="22.8888888888889" customWidth="1"/>
    <col min="9" max="9" width="16.6666666666667" customWidth="1"/>
    <col min="10" max="10" width="10.6666666666667" customWidth="1"/>
    <col min="11" max="11" width="14.1111111111111"/>
    <col min="12" max="12" width="50.5555555555556" customWidth="1"/>
    <col min="14" max="14" width="21"/>
    <col min="15" max="15" width="9.66666666666667"/>
    <col min="16" max="17" width="12.8888888888889"/>
    <col min="18" max="18" width="11.5555555555556"/>
    <col min="19" max="19" width="21"/>
    <col min="20" max="21" width="12.8888888888889"/>
  </cols>
  <sheetData>
    <row r="2" ht="15.15"/>
    <row r="3" ht="15.15" spans="2:21">
      <c r="B3" s="129" t="s">
        <v>8</v>
      </c>
      <c r="C3" s="129"/>
      <c r="D3" s="70" t="s">
        <v>9</v>
      </c>
      <c r="L3" s="130" t="s">
        <v>10</v>
      </c>
      <c r="M3" s="130"/>
      <c r="N3" s="130"/>
      <c r="P3" s="130" t="s">
        <v>11</v>
      </c>
      <c r="Q3" s="130"/>
      <c r="R3" s="130"/>
      <c r="S3" s="131">
        <v>70449976</v>
      </c>
    </row>
    <row r="4" ht="15.15" spans="2:21">
      <c r="B4" s="130" t="s">
        <v>12</v>
      </c>
      <c r="C4" s="130"/>
      <c r="D4" s="130"/>
      <c r="F4" s="132"/>
      <c r="G4" s="130" t="s">
        <v>10</v>
      </c>
      <c r="H4" s="130"/>
      <c r="I4" s="130"/>
      <c r="L4" s="133" t="s">
        <v>13</v>
      </c>
      <c r="M4" s="133"/>
      <c r="N4" s="134">
        <v>10313790</v>
      </c>
      <c r="P4" s="130" t="s">
        <v>14</v>
      </c>
      <c r="Q4" s="130"/>
      <c r="R4" s="130"/>
      <c r="S4" s="131">
        <v>15734290</v>
      </c>
    </row>
    <row r="5" ht="15.15" spans="2:21">
      <c r="B5" s="133" t="s">
        <v>15</v>
      </c>
      <c r="C5" s="133"/>
      <c r="D5" s="135">
        <f>VLOOKUP('RESULTADO DIRETO'!D3,FONTES!B5:I15,5,)</f>
        <v>77673.43</v>
      </c>
      <c r="E5" s="136"/>
      <c r="F5" s="132"/>
      <c r="G5" s="133" t="s">
        <v>16</v>
      </c>
      <c r="H5" s="133"/>
      <c r="I5" s="134">
        <f>VLOOKUP(D3,FONTES!B5:I15,8,)</f>
        <v>37010.73527</v>
      </c>
      <c r="L5" s="133" t="s">
        <v>17</v>
      </c>
      <c r="M5" s="133"/>
      <c r="N5" s="137">
        <v>4671731</v>
      </c>
      <c r="P5" s="130" t="s">
        <v>18</v>
      </c>
      <c r="Q5" s="130"/>
      <c r="R5" s="130"/>
      <c r="S5" s="131">
        <f>S4/S3</f>
        <v>0.223339891556528</v>
      </c>
    </row>
    <row r="6" ht="15.15" spans="2:21">
      <c r="B6" s="133" t="s">
        <v>19</v>
      </c>
      <c r="C6" s="133"/>
      <c r="D6" s="138">
        <f>D5/D24</f>
        <v>2.39262333233016</v>
      </c>
      <c r="F6" s="132"/>
      <c r="G6" s="133" t="s">
        <v>20</v>
      </c>
      <c r="H6" s="133"/>
      <c r="I6" s="139"/>
      <c r="J6" s="140"/>
      <c r="K6" s="141"/>
      <c r="L6" s="133" t="s">
        <v>21</v>
      </c>
      <c r="M6" s="133"/>
      <c r="N6" s="137">
        <v>-2454302.57</v>
      </c>
    </row>
    <row r="7" ht="15.15" spans="2:21">
      <c r="B7" s="133" t="s">
        <v>22</v>
      </c>
      <c r="C7" s="133"/>
      <c r="D7" s="142"/>
      <c r="F7" s="132"/>
      <c r="G7" s="133" t="s">
        <v>23</v>
      </c>
      <c r="H7" s="133"/>
      <c r="I7" s="137">
        <f>($D$25*0.01%)*7.38%+($D$25*0.01%)</f>
        <v>122.2704501018</v>
      </c>
      <c r="J7" s="143"/>
      <c r="L7" s="144" t="s">
        <v>24</v>
      </c>
      <c r="M7" s="144"/>
      <c r="N7" s="145">
        <f>SUM(N4:N6)</f>
        <v>12531218.43</v>
      </c>
      <c r="P7" s="130" t="s">
        <v>25</v>
      </c>
      <c r="Q7" s="130"/>
      <c r="R7" s="130"/>
      <c r="S7" s="131">
        <v>85634757.01</v>
      </c>
    </row>
    <row r="8" ht="15.15" spans="2:21">
      <c r="B8" s="133" t="s">
        <v>26</v>
      </c>
      <c r="C8" s="146">
        <v>0.12</v>
      </c>
      <c r="D8" s="147">
        <f>VLOOKUP('RESULTADO DIRETO'!D3,FONTES!B5:I15,3,)</f>
        <v>9075.3001</v>
      </c>
      <c r="E8">
        <f>IF(D7=$A$2,D5*C8,$A$11)</f>
        <v>9320.8116</v>
      </c>
      <c r="F8" s="132"/>
      <c r="G8" s="133" t="s">
        <v>27</v>
      </c>
      <c r="H8" s="133"/>
      <c r="I8" s="137">
        <f>($D$25*0.01%)*7.38%+($D$25*0.01%)</f>
        <v>122.2704501018</v>
      </c>
      <c r="L8" s="133" t="s">
        <v>28</v>
      </c>
      <c r="M8" s="133"/>
      <c r="N8" s="134">
        <v>1301293</v>
      </c>
      <c r="P8" s="133" t="s">
        <v>29</v>
      </c>
      <c r="Q8" s="133"/>
      <c r="S8" s="137">
        <v>600078</v>
      </c>
      <c r="T8" s="143"/>
    </row>
    <row r="9" ht="15.15" spans="2:21">
      <c r="F9" s="132"/>
      <c r="G9" s="148" t="s">
        <v>30</v>
      </c>
      <c r="H9" s="148"/>
      <c r="I9" s="149"/>
      <c r="L9" s="133" t="s">
        <v>31</v>
      </c>
      <c r="M9" s="133"/>
      <c r="N9" s="150">
        <v>-306752</v>
      </c>
      <c r="P9" s="151" t="s">
        <v>25</v>
      </c>
      <c r="Q9" s="151"/>
      <c r="R9" s="151"/>
      <c r="S9" s="152">
        <f>S8/S7</f>
        <v>0.00700741172103666</v>
      </c>
      <c r="T9" s="143"/>
    </row>
    <row r="10" ht="15.15" spans="2:21">
      <c r="B10" s="153" t="s">
        <v>32</v>
      </c>
      <c r="C10" s="153"/>
      <c r="D10" s="153"/>
      <c r="F10" s="154"/>
      <c r="G10" s="155" t="s">
        <v>33</v>
      </c>
      <c r="H10" s="156"/>
      <c r="I10" s="157"/>
      <c r="L10" s="133" t="s">
        <v>34</v>
      </c>
      <c r="M10" s="133"/>
      <c r="N10" s="150">
        <v>-54194</v>
      </c>
      <c r="P10" s="158"/>
      <c r="Q10" s="158"/>
      <c r="R10" s="159"/>
      <c r="T10" s="143"/>
    </row>
    <row r="11" ht="15.15" spans="2:21">
      <c r="B11" s="153" t="s">
        <v>35</v>
      </c>
      <c r="C11" s="153" t="s">
        <v>36</v>
      </c>
      <c r="D11" s="153" t="s">
        <v>15</v>
      </c>
      <c r="F11" s="160"/>
      <c r="G11" s="161" t="s">
        <v>37</v>
      </c>
      <c r="H11" s="162"/>
      <c r="I11" s="163"/>
      <c r="J11" s="132"/>
      <c r="L11" s="133" t="s">
        <v>38</v>
      </c>
      <c r="M11" s="133"/>
      <c r="N11" s="150">
        <v>-37032</v>
      </c>
      <c r="Q11" s="143"/>
      <c r="R11" s="143"/>
      <c r="S11" s="143"/>
      <c r="T11" s="143"/>
    </row>
    <row r="12" ht="15.15" spans="2:21">
      <c r="B12" s="133" t="s">
        <v>39</v>
      </c>
      <c r="C12" s="164"/>
      <c r="D12" s="165">
        <f>VLOOKUP(D3,FONTES!B5:I15,3,)</f>
        <v>9075.3001</v>
      </c>
      <c r="F12" s="166">
        <f>N27</f>
        <v>0.209061611035893</v>
      </c>
      <c r="G12" s="133" t="s">
        <v>40</v>
      </c>
      <c r="H12" s="133"/>
      <c r="I12" s="167">
        <f>'CUSTO NOVA'!X214</f>
        <v>4052.96922892554</v>
      </c>
      <c r="J12" s="168">
        <f>I12/D5</f>
        <v>0.0521796092811344</v>
      </c>
      <c r="L12" s="133" t="s">
        <v>41</v>
      </c>
      <c r="M12" s="133"/>
      <c r="N12" s="150">
        <v>-16900</v>
      </c>
      <c r="O12" s="169"/>
      <c r="Q12" s="170"/>
      <c r="R12" s="143"/>
      <c r="S12" s="143"/>
      <c r="T12" s="143"/>
      <c r="U12" s="143"/>
    </row>
    <row r="13" ht="15.15" spans="2:21">
      <c r="B13" s="171" t="s">
        <v>42</v>
      </c>
      <c r="C13" s="172"/>
      <c r="D13" s="173"/>
      <c r="F13" s="174">
        <f>N15</f>
        <v>0.190427012068819</v>
      </c>
      <c r="G13" s="175" t="s">
        <v>43</v>
      </c>
      <c r="H13" s="133"/>
      <c r="I13" s="167">
        <f>'CUSTO NOVA'!Z214</f>
        <v>2820.1539081231</v>
      </c>
      <c r="J13" s="168">
        <f>I13/D5</f>
        <v>0.0363078327830134</v>
      </c>
      <c r="L13" s="133" t="s">
        <v>44</v>
      </c>
      <c r="M13" s="133"/>
      <c r="N13" s="150">
        <v>-2055</v>
      </c>
      <c r="Q13" s="170"/>
      <c r="R13" s="143"/>
      <c r="S13" s="143"/>
      <c r="T13" s="143"/>
    </row>
    <row r="14" ht="15.15" spans="2:21">
      <c r="B14" s="133" t="s">
        <v>45</v>
      </c>
      <c r="C14" s="164">
        <v>0</v>
      </c>
      <c r="D14" s="165">
        <f>IF(D5="","",(D5*C14))</f>
        <v>0</v>
      </c>
      <c r="F14" s="132"/>
      <c r="G14" s="176" t="s">
        <v>46</v>
      </c>
      <c r="H14" s="176"/>
      <c r="I14" s="177">
        <f>SUM(I5:I13)</f>
        <v>44128.3993072523</v>
      </c>
      <c r="J14" s="178">
        <f>SUM(J12:J13)</f>
        <v>0.0884874420641478</v>
      </c>
      <c r="L14" s="144" t="s">
        <v>24</v>
      </c>
      <c r="M14" s="144"/>
      <c r="N14" s="145">
        <f>SUM(N8:N13)</f>
        <v>884360</v>
      </c>
      <c r="Q14" s="170"/>
      <c r="R14" s="143"/>
      <c r="S14" s="143"/>
      <c r="T14" s="143"/>
    </row>
    <row r="15" ht="15.15" spans="2:21">
      <c r="B15" s="133" t="s">
        <v>47</v>
      </c>
      <c r="C15" s="179">
        <v>0.052</v>
      </c>
      <c r="D15" s="180">
        <f>D5*C15</f>
        <v>4039.01836</v>
      </c>
      <c r="L15" s="144" t="s">
        <v>18</v>
      </c>
      <c r="M15" s="144"/>
      <c r="N15" s="145">
        <f>(N7+N14)/S3</f>
        <v>0.190427012068819</v>
      </c>
      <c r="Q15" s="143"/>
      <c r="R15" s="143"/>
      <c r="S15" s="143"/>
      <c r="T15" s="143"/>
    </row>
    <row r="16" ht="15.15" spans="2:21">
      <c r="B16" s="133" t="s">
        <v>48</v>
      </c>
      <c r="C16" s="179"/>
      <c r="D16" s="180"/>
      <c r="G16" s="130" t="s">
        <v>49</v>
      </c>
      <c r="H16" s="130"/>
      <c r="I16" s="130"/>
      <c r="Q16" s="143"/>
      <c r="R16" s="143"/>
      <c r="S16" s="143"/>
      <c r="T16" s="143"/>
    </row>
    <row r="17" ht="15.15" spans="2:20">
      <c r="B17" s="133" t="s">
        <v>50</v>
      </c>
      <c r="C17" s="179"/>
      <c r="D17" s="180"/>
      <c r="G17" s="133" t="s">
        <v>51</v>
      </c>
      <c r="H17" s="133"/>
      <c r="I17" s="181">
        <f>D5</f>
        <v>77673.43</v>
      </c>
      <c r="Q17" s="143"/>
      <c r="R17" s="143"/>
      <c r="S17" s="143"/>
      <c r="T17" s="143"/>
    </row>
    <row r="18" ht="15.15" spans="2:20">
      <c r="B18" s="133" t="s">
        <v>52</v>
      </c>
      <c r="C18" s="179"/>
      <c r="D18" s="180"/>
      <c r="G18" s="133" t="s">
        <v>53</v>
      </c>
      <c r="H18" s="133"/>
      <c r="I18" s="181">
        <f>D19*-1</f>
        <v>-13114.31846</v>
      </c>
      <c r="Q18" s="143"/>
      <c r="R18" s="143"/>
      <c r="S18" s="143"/>
      <c r="T18" s="143"/>
    </row>
    <row r="19" ht="15.15" spans="2:20">
      <c r="B19" s="182" t="s">
        <v>54</v>
      </c>
      <c r="C19" s="182"/>
      <c r="D19" s="183">
        <f>SUM(D12:D18)</f>
        <v>13114.31846</v>
      </c>
      <c r="G19" s="133" t="s">
        <v>55</v>
      </c>
      <c r="H19" s="133"/>
      <c r="I19" s="181">
        <f>I14*-1</f>
        <v>-44128.3993072523</v>
      </c>
      <c r="Q19" s="143"/>
      <c r="R19" s="143"/>
      <c r="S19" s="143"/>
      <c r="T19" s="143"/>
    </row>
    <row r="20" ht="15.15" spans="2:20">
      <c r="G20" s="133"/>
      <c r="H20" s="133"/>
      <c r="I20" s="147"/>
      <c r="L20" s="130" t="s">
        <v>10</v>
      </c>
      <c r="M20" s="130"/>
      <c r="N20" s="130"/>
      <c r="Q20" s="143"/>
      <c r="R20" s="143"/>
      <c r="S20" s="143"/>
      <c r="T20" s="143"/>
    </row>
    <row r="21" ht="15.15" spans="2:20">
      <c r="B21" s="130" t="s">
        <v>56</v>
      </c>
      <c r="C21" s="130"/>
      <c r="D21" s="183">
        <f>D5-D19</f>
        <v>64559.11154</v>
      </c>
      <c r="G21" s="133"/>
      <c r="H21" s="133"/>
      <c r="I21" s="147"/>
      <c r="L21" s="133" t="s">
        <v>57</v>
      </c>
      <c r="M21" s="133"/>
      <c r="N21" s="134">
        <v>15734290</v>
      </c>
      <c r="Q21" s="143"/>
      <c r="R21" s="143"/>
      <c r="S21" s="143"/>
      <c r="T21" s="143"/>
    </row>
    <row r="22" ht="15.15" spans="2:20">
      <c r="G22" s="184" t="s">
        <v>58</v>
      </c>
      <c r="H22" s="184"/>
      <c r="I22" s="185">
        <f>SUM(I17:I21)</f>
        <v>20430.7122327477</v>
      </c>
      <c r="L22" s="133" t="s">
        <v>59</v>
      </c>
      <c r="M22" s="133"/>
      <c r="N22" s="137">
        <v>76586</v>
      </c>
      <c r="Q22" s="143"/>
      <c r="R22" s="143"/>
      <c r="S22" s="143"/>
      <c r="T22" s="143"/>
    </row>
    <row r="23" ht="16.35" spans="2:20">
      <c r="B23" s="186" t="s">
        <v>60</v>
      </c>
      <c r="C23" s="187"/>
      <c r="D23" s="188"/>
      <c r="G23" s="189" t="s">
        <v>61</v>
      </c>
      <c r="H23" s="189"/>
      <c r="I23" s="190">
        <f>I22*100%/I17</f>
        <v>0.263033475317721</v>
      </c>
      <c r="L23" s="133" t="s">
        <v>62</v>
      </c>
      <c r="M23" s="133"/>
      <c r="N23" s="137">
        <v>12917</v>
      </c>
      <c r="Q23" s="143"/>
      <c r="R23" s="143"/>
      <c r="S23" s="143"/>
      <c r="T23" s="143"/>
    </row>
    <row r="24" ht="15.15" spans="2:20">
      <c r="B24" s="133" t="s">
        <v>63</v>
      </c>
      <c r="C24" s="133"/>
      <c r="D24" s="191">
        <f>VLOOKUP(D3,FONTES!B5:I15,4,)</f>
        <v>32463.71</v>
      </c>
      <c r="L24" s="133" t="s">
        <v>64</v>
      </c>
      <c r="M24" s="133"/>
      <c r="N24" s="137">
        <v>-306546.52</v>
      </c>
    </row>
    <row r="25" ht="15.15" spans="2:20">
      <c r="B25" s="133" t="s">
        <v>65</v>
      </c>
      <c r="C25" s="133"/>
      <c r="D25" s="192">
        <f>VLOOKUP(D3,FONTES!B5:I15,7,)</f>
        <v>1138670.61</v>
      </c>
      <c r="G25" s="193" t="s">
        <v>66</v>
      </c>
      <c r="H25" s="193">
        <v>82</v>
      </c>
      <c r="I25" s="194">
        <f>SUM(I26:I27)</f>
        <v>1</v>
      </c>
      <c r="L25" s="133" t="s">
        <v>67</v>
      </c>
      <c r="M25" s="133"/>
      <c r="N25" s="137">
        <v>-788861</v>
      </c>
    </row>
    <row r="26" ht="15.15" spans="2:20">
      <c r="B26" s="195" t="s">
        <v>68</v>
      </c>
      <c r="C26" s="195"/>
      <c r="D26" s="196">
        <f>VLOOKUP(D3,FONTES!B5:I15,6,)</f>
        <v>16765.9096</v>
      </c>
      <c r="E26" s="197">
        <f>D26/D5</f>
        <v>0.215851284023378</v>
      </c>
      <c r="G26" s="93" t="s">
        <v>69</v>
      </c>
      <c r="H26" s="93">
        <v>16</v>
      </c>
      <c r="I26" s="198">
        <f>H26/H25</f>
        <v>0.195121951219512</v>
      </c>
      <c r="L26" s="144" t="s">
        <v>24</v>
      </c>
      <c r="M26" s="144"/>
      <c r="N26" s="145">
        <f>SUM(N21:N25)</f>
        <v>14728385.48</v>
      </c>
    </row>
    <row r="27" ht="15.15" spans="2:20">
      <c r="B27" s="133"/>
      <c r="C27" s="133"/>
      <c r="D27" s="199"/>
      <c r="G27" s="93" t="s">
        <v>70</v>
      </c>
      <c r="H27" s="93">
        <v>66</v>
      </c>
      <c r="I27" s="198">
        <f>H27/H25</f>
        <v>0.804878048780488</v>
      </c>
      <c r="L27" s="144" t="s">
        <v>18</v>
      </c>
      <c r="M27" s="144"/>
      <c r="N27" s="145">
        <f>N26/S3</f>
        <v>0.209061611035893</v>
      </c>
    </row>
    <row r="28" ht="15.15" spans="2:20">
      <c r="B28" s="195" t="s">
        <v>71</v>
      </c>
      <c r="C28" s="195"/>
      <c r="D28" s="200">
        <v>21962.954</v>
      </c>
      <c r="E28" s="197">
        <f>D26/D28</f>
        <v>0.763372249470631</v>
      </c>
    </row>
    <row r="29" ht="15.15" spans="2:20">
      <c r="B29" s="201" t="s">
        <v>72</v>
      </c>
      <c r="C29" s="201"/>
      <c r="D29" s="201"/>
    </row>
    <row r="30" ht="15.15" spans="2:20">
      <c r="B30" s="133" t="s">
        <v>63</v>
      </c>
      <c r="C30" s="202"/>
      <c r="D30" s="203"/>
    </row>
  </sheetData>
  <mergeCells count="63">
    <mergeCell ref="B3:C3"/>
    <mergeCell ref="L3:N3"/>
    <mergeCell ref="P3:R3"/>
    <mergeCell ref="B4:D4"/>
    <mergeCell ref="G4:I4"/>
    <mergeCell ref="L4:M4"/>
    <mergeCell ref="P4:R4"/>
    <mergeCell ref="B5:C5"/>
    <mergeCell ref="G5:H5"/>
    <mergeCell ref="L5:M5"/>
    <mergeCell ref="P5:R5"/>
    <mergeCell ref="G6:H6"/>
    <mergeCell ref="L6:M6"/>
    <mergeCell ref="B7:C7"/>
    <mergeCell ref="G7:H7"/>
    <mergeCell ref="L7:M7"/>
    <mergeCell ref="P7:R7"/>
    <mergeCell ref="G8:H8"/>
    <mergeCell ref="L8:M8"/>
    <mergeCell ref="P8:Q8"/>
    <mergeCell ref="G9:H9"/>
    <mergeCell ref="L9:M9"/>
    <mergeCell ref="P9:R9"/>
    <mergeCell ref="B10:D10"/>
    <mergeCell ref="G10:H10"/>
    <mergeCell ref="L10:M10"/>
    <mergeCell ref="P10:Q10"/>
    <mergeCell ref="G11:H11"/>
    <mergeCell ref="L11:M11"/>
    <mergeCell ref="G12:H12"/>
    <mergeCell ref="L12:M12"/>
    <mergeCell ref="G13:H13"/>
    <mergeCell ref="L13:M13"/>
    <mergeCell ref="G14:H14"/>
    <mergeCell ref="L14:M14"/>
    <mergeCell ref="L15:M15"/>
    <mergeCell ref="G16:I16"/>
    <mergeCell ref="G17:H17"/>
    <mergeCell ref="G18:H18"/>
    <mergeCell ref="B19:C19"/>
    <mergeCell ref="G19:H19"/>
    <mergeCell ref="G20:H20"/>
    <mergeCell ref="L20:N20"/>
    <mergeCell ref="B21:C21"/>
    <mergeCell ref="G21:H21"/>
    <mergeCell ref="L21:M21"/>
    <mergeCell ref="G22:H22"/>
    <mergeCell ref="L22:M22"/>
    <mergeCell ref="B23:D23"/>
    <mergeCell ref="G23:H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B30:C30"/>
    <mergeCell ref="C15:C18"/>
    <mergeCell ref="D15:D18"/>
  </mergeCells>
  <dataValidations count="4">
    <dataValidation type="list" allowBlank="1" showInputMessage="1" showErrorMessage="1" sqref="D3">
      <formula1>"JAN,FEV,MAR,ABR,MAI,JUN,JUL,TOTAL GERAL"</formula1>
    </dataValidation>
    <dataValidation type="list" allowBlank="1" showErrorMessage="1" sqref="D7">
      <formula1>"$#REF!.$A$2:$A$3"</formula1>
    </dataValidation>
    <dataValidation type="list" allowBlank="1" showErrorMessage="1" sqref="C12">
      <formula1>$A$4:$A$10</formula1>
    </dataValidation>
    <dataValidation type="list" allowBlank="1" showErrorMessage="1" sqref="C14">
      <formula1>"0%,5%,7%,12%,18%"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15"/>
  <sheetViews>
    <sheetView showGridLines="0" workbookViewId="0">
      <selection activeCell="I7" sqref="I7"/>
    </sheetView>
  </sheetViews>
  <sheetFormatPr defaultColWidth="9" defaultRowHeight="14.4"/>
  <cols>
    <col min="2" max="2" width="11.6666666666667" customWidth="1"/>
    <col min="3" max="3" width="11.4444444444444" customWidth="1"/>
    <col min="4" max="4" width="10.5555555555556" customWidth="1"/>
    <col min="5" max="5" width="11" customWidth="1"/>
    <col min="6" max="7" width="14.3333333333333" customWidth="1"/>
    <col min="8" max="8" width="19.6666666666667" customWidth="1"/>
    <col min="9" max="9" width="14.3333333333333" customWidth="1"/>
    <col min="12" max="12" width="9.66666666666667"/>
    <col min="15" max="15" width="9.66666666666667"/>
    <col min="17" max="19" width="9.66666666666667"/>
  </cols>
  <sheetData>
    <row r="4" spans="2:9">
      <c r="G4" s="114"/>
    </row>
    <row r="5" spans="2:9">
      <c r="B5" s="115" t="s">
        <v>8</v>
      </c>
      <c r="C5" s="116" t="s">
        <v>73</v>
      </c>
      <c r="D5" s="117" t="s">
        <v>74</v>
      </c>
      <c r="E5" s="115" t="s">
        <v>75</v>
      </c>
      <c r="F5" s="116" t="s">
        <v>12</v>
      </c>
      <c r="G5" s="118" t="s">
        <v>76</v>
      </c>
      <c r="H5" s="115" t="s">
        <v>77</v>
      </c>
      <c r="I5" s="116" t="s">
        <v>24</v>
      </c>
    </row>
    <row r="6" spans="2:9">
      <c r="B6" s="119" t="s">
        <v>78</v>
      </c>
      <c r="C6" s="120">
        <f>'CUSTO NOVA'!I214</f>
        <v>82</v>
      </c>
      <c r="D6" s="121">
        <f>'CUSTO NOVA'!AF214</f>
        <v>9075.3001</v>
      </c>
      <c r="E6" s="122">
        <f>'CUSTO NOVA'!L214</f>
        <v>32463.71</v>
      </c>
      <c r="F6" s="121">
        <f>'CUSTO NOVA'!M214</f>
        <v>77673.43</v>
      </c>
      <c r="G6" s="121">
        <f>'CUSTO NOVA'!T214</f>
        <v>16765.9096</v>
      </c>
      <c r="H6" s="121">
        <f>'CUSTO NOVA'!J214</f>
        <v>1138670.61</v>
      </c>
      <c r="I6" s="121">
        <f>'CUSTO NOVA'!V214</f>
        <v>37010.73527</v>
      </c>
    </row>
    <row r="7" spans="2:9">
      <c r="B7" s="119" t="s">
        <v>79</v>
      </c>
      <c r="C7" s="123"/>
      <c r="D7" s="123"/>
      <c r="E7" s="123"/>
      <c r="F7" s="123"/>
      <c r="G7" s="123"/>
      <c r="H7" s="123"/>
      <c r="I7" s="123"/>
    </row>
    <row r="8" spans="2:9">
      <c r="B8" s="119" t="s">
        <v>80</v>
      </c>
      <c r="C8" s="123"/>
      <c r="D8" s="123"/>
      <c r="E8" s="123"/>
      <c r="F8" s="123"/>
      <c r="G8" s="123"/>
      <c r="H8" s="123"/>
      <c r="I8" s="123"/>
    </row>
    <row r="9" spans="2:9">
      <c r="B9" s="119" t="s">
        <v>81</v>
      </c>
      <c r="C9" s="123"/>
      <c r="D9" s="123"/>
      <c r="E9" s="123"/>
      <c r="F9" s="123"/>
      <c r="G9" s="123"/>
      <c r="H9" s="123"/>
      <c r="I9" s="123"/>
    </row>
    <row r="10" spans="2:9">
      <c r="B10" s="119" t="s">
        <v>82</v>
      </c>
      <c r="C10" s="123"/>
      <c r="D10" s="123"/>
      <c r="E10" s="123"/>
      <c r="F10" s="123"/>
      <c r="G10" s="123"/>
      <c r="H10" s="123"/>
      <c r="I10" s="123"/>
    </row>
    <row r="11" spans="2:9">
      <c r="B11" s="119" t="s">
        <v>83</v>
      </c>
      <c r="C11" s="123"/>
      <c r="D11" s="123"/>
      <c r="E11" s="123"/>
      <c r="F11" s="123"/>
      <c r="G11" s="123"/>
      <c r="H11" s="123"/>
      <c r="I11" s="123"/>
    </row>
    <row r="12" spans="2:9">
      <c r="B12" s="119" t="s">
        <v>84</v>
      </c>
      <c r="C12" s="123"/>
      <c r="D12" s="123"/>
      <c r="E12" s="123"/>
      <c r="F12" s="123"/>
      <c r="G12" s="123"/>
      <c r="H12" s="123"/>
      <c r="I12" s="123"/>
    </row>
    <row r="13" spans="2:9">
      <c r="B13" s="119" t="s">
        <v>85</v>
      </c>
      <c r="C13" s="123"/>
      <c r="D13" s="123"/>
      <c r="E13" s="123"/>
      <c r="F13" s="123"/>
      <c r="G13" s="123"/>
      <c r="H13" s="123"/>
      <c r="I13" s="123"/>
    </row>
    <row r="14" spans="2:9">
      <c r="B14" s="119" t="s">
        <v>86</v>
      </c>
      <c r="C14" s="123"/>
      <c r="D14" s="123"/>
      <c r="E14" s="123"/>
      <c r="F14" s="123"/>
      <c r="G14" s="123"/>
      <c r="H14" s="123"/>
      <c r="I14" s="123"/>
    </row>
    <row r="15" spans="2:9">
      <c r="B15" s="124" t="s">
        <v>87</v>
      </c>
      <c r="C15" s="125">
        <f t="shared" ref="C15:I15" si="0">SUM(C6:C14)</f>
        <v>82</v>
      </c>
      <c r="D15" s="126">
        <f t="shared" si="0"/>
        <v>9075.3001</v>
      </c>
      <c r="E15" s="127">
        <f t="shared" si="0"/>
        <v>32463.71</v>
      </c>
      <c r="F15" s="126">
        <f t="shared" si="0"/>
        <v>77673.43</v>
      </c>
      <c r="G15" s="126">
        <f t="shared" si="0"/>
        <v>16765.9096</v>
      </c>
      <c r="H15" s="128">
        <f t="shared" si="0"/>
        <v>1138670.61</v>
      </c>
      <c r="I15" s="126">
        <f t="shared" si="0"/>
        <v>37010.73527</v>
      </c>
    </row>
  </sheetData>
  <pageMargins left="0.511811024" right="0.511811024" top="0.787401575" bottom="0.787401575" header="0.31496062" footer="0.31496062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pane ySplit="2" topLeftCell="A3" activePane="bottomLeft" state="frozen"/>
      <selection/>
      <selection pane="bottomLeft" activeCell="H27" sqref="H27"/>
    </sheetView>
  </sheetViews>
  <sheetFormatPr defaultColWidth="9" defaultRowHeight="14.4" outlineLevelRow="1"/>
  <sheetData>
    <row r="2" ht="47" customHeight="1"/>
  </sheetData>
  <pageMargins left="0.511811024" right="0.511811024" top="0.787401575" bottom="0.787401575" header="0.31496062" footer="0.31496062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M222"/>
  <sheetViews>
    <sheetView zoomScale="85" zoomScaleNormal="85" topLeftCell="CR1" workbookViewId="0">
      <selection activeCell="DA186" sqref="DA186"/>
    </sheetView>
  </sheetViews>
  <sheetFormatPr defaultColWidth="8.88888888888889" defaultRowHeight="10.2"/>
  <cols>
    <col min="1" max="1" width="2.22222222222222" style="1" customWidth="1"/>
    <col min="2" max="5" width="8.88888888888889" style="1"/>
    <col min="6" max="6" width="11.4444444444444" style="1"/>
    <col min="7" max="38" width="8.88888888888889" style="1"/>
    <col min="39" max="39" width="15.037037037037" style="1" customWidth="1"/>
    <col min="40" max="41" width="8.88888888888889" style="1"/>
    <col min="42" max="42" width="8.88888888888889" style="1" customWidth="1"/>
    <col min="43" max="43" width="8.88888888888889" style="1"/>
    <col min="44" max="46" width="8.88888888888889" style="1" customWidth="1"/>
    <col min="47" max="47" width="13.7777777777778" style="1" customWidth="1"/>
    <col min="48" max="50" width="8.88888888888889" style="1" customWidth="1"/>
    <col min="51" max="51" width="9.66666666666667" style="1"/>
    <col min="52" max="53" width="8.88888888888889" style="1" customWidth="1"/>
    <col min="54" max="54" width="8.88888888888889" style="1"/>
    <col min="55" max="56" width="8.88888888888889" style="1" customWidth="1"/>
    <col min="57" max="58" width="8.88888888888889" style="1"/>
    <col min="59" max="98" width="8.88888888888889" style="1" customWidth="1"/>
    <col min="99" max="99" width="8.88888888888889" style="1"/>
    <col min="100" max="100" width="14.1111111111111" style="1" customWidth="1"/>
    <col min="101" max="101" width="14.5092592592593" style="1" customWidth="1"/>
    <col min="102" max="102" width="10.3240740740741" style="1" customWidth="1"/>
    <col min="103" max="103" width="10.8518518518519" style="1" customWidth="1"/>
    <col min="104" max="104" width="13.7222222222222" style="1" customWidth="1"/>
    <col min="105" max="105" width="23.2222222222222" style="1" customWidth="1"/>
    <col min="106" max="112" width="8.88888888888889" style="1"/>
    <col min="113" max="113" width="11.7777777777778" style="1"/>
    <col min="114" max="122" width="8.88888888888889" style="1"/>
    <col min="123" max="123" width="11.7777777777778" style="1"/>
    <col min="124" max="16384" width="8.88888888888889" style="1"/>
  </cols>
  <sheetData>
    <row r="1" s="107" customFormat="1" ht="12" spans="1:117">
      <c r="A1" s="107">
        <v>1</v>
      </c>
      <c r="B1" s="107" t="s">
        <v>88</v>
      </c>
      <c r="C1" s="107" t="s">
        <v>89</v>
      </c>
      <c r="D1" s="107" t="s">
        <v>90</v>
      </c>
      <c r="E1" s="107" t="s">
        <v>91</v>
      </c>
      <c r="F1" s="107" t="s">
        <v>92</v>
      </c>
      <c r="G1" s="107" t="s">
        <v>93</v>
      </c>
      <c r="H1" s="107" t="s">
        <v>94</v>
      </c>
      <c r="I1" s="107" t="s">
        <v>95</v>
      </c>
      <c r="J1" s="107" t="s">
        <v>96</v>
      </c>
      <c r="K1" s="107" t="s">
        <v>97</v>
      </c>
      <c r="L1" s="107" t="s">
        <v>98</v>
      </c>
      <c r="M1" s="107" t="s">
        <v>99</v>
      </c>
      <c r="N1" s="107" t="s">
        <v>100</v>
      </c>
      <c r="O1" s="107" t="s">
        <v>101</v>
      </c>
      <c r="P1" s="107" t="s">
        <v>102</v>
      </c>
      <c r="Q1" s="107" t="s">
        <v>103</v>
      </c>
      <c r="R1" s="107" t="s">
        <v>104</v>
      </c>
      <c r="S1" s="107" t="s">
        <v>105</v>
      </c>
      <c r="T1" s="107" t="s">
        <v>106</v>
      </c>
      <c r="U1" s="107" t="s">
        <v>107</v>
      </c>
      <c r="V1" s="107" t="s">
        <v>108</v>
      </c>
      <c r="W1" s="107" t="s">
        <v>109</v>
      </c>
      <c r="X1" s="107" t="s">
        <v>110</v>
      </c>
      <c r="Y1" s="107" t="s">
        <v>111</v>
      </c>
      <c r="Z1" s="107" t="s">
        <v>112</v>
      </c>
      <c r="AA1" s="107" t="s">
        <v>113</v>
      </c>
      <c r="AB1" s="107" t="s">
        <v>114</v>
      </c>
      <c r="AC1" s="107" t="s">
        <v>115</v>
      </c>
      <c r="AD1" s="107" t="s">
        <v>116</v>
      </c>
      <c r="AE1" s="107" t="s">
        <v>117</v>
      </c>
      <c r="AF1" s="107" t="s">
        <v>118</v>
      </c>
      <c r="AG1" s="107" t="s">
        <v>119</v>
      </c>
      <c r="AH1" s="107" t="s">
        <v>120</v>
      </c>
      <c r="AI1" s="107" t="s">
        <v>121</v>
      </c>
      <c r="AJ1" s="107" t="s">
        <v>122</v>
      </c>
      <c r="AK1" s="107" t="s">
        <v>123</v>
      </c>
      <c r="AL1" s="107" t="s">
        <v>124</v>
      </c>
      <c r="AM1" s="107" t="s">
        <v>125</v>
      </c>
      <c r="AN1" s="107" t="s">
        <v>126</v>
      </c>
      <c r="AO1" s="107" t="s">
        <v>127</v>
      </c>
      <c r="AP1" s="107" t="s">
        <v>128</v>
      </c>
      <c r="AQ1" s="107" t="s">
        <v>129</v>
      </c>
      <c r="AR1" s="107" t="s">
        <v>130</v>
      </c>
      <c r="AS1" s="107" t="s">
        <v>131</v>
      </c>
      <c r="AT1" s="107" t="s">
        <v>132</v>
      </c>
      <c r="AU1" s="107" t="s">
        <v>133</v>
      </c>
      <c r="AV1" s="107" t="s">
        <v>134</v>
      </c>
      <c r="AW1" s="107" t="s">
        <v>135</v>
      </c>
      <c r="AX1" s="107" t="s">
        <v>136</v>
      </c>
      <c r="AY1" s="107" t="s">
        <v>137</v>
      </c>
      <c r="AZ1" s="107" t="s">
        <v>138</v>
      </c>
      <c r="BA1" s="107" t="s">
        <v>139</v>
      </c>
      <c r="BB1" s="107" t="s">
        <v>140</v>
      </c>
      <c r="BC1" s="107" t="s">
        <v>141</v>
      </c>
      <c r="BD1" s="107" t="s">
        <v>142</v>
      </c>
      <c r="BE1" s="107" t="s">
        <v>143</v>
      </c>
      <c r="BF1" s="107" t="s">
        <v>144</v>
      </c>
      <c r="BG1" s="107" t="s">
        <v>145</v>
      </c>
      <c r="BH1" s="107" t="s">
        <v>146</v>
      </c>
      <c r="BI1" s="107" t="s">
        <v>147</v>
      </c>
      <c r="BJ1" s="107" t="s">
        <v>148</v>
      </c>
      <c r="BK1" s="107" t="s">
        <v>149</v>
      </c>
      <c r="BL1" s="107" t="s">
        <v>150</v>
      </c>
      <c r="BM1" s="107" t="s">
        <v>151</v>
      </c>
      <c r="BN1" s="107" t="s">
        <v>152</v>
      </c>
      <c r="BO1" s="107" t="s">
        <v>153</v>
      </c>
      <c r="BP1" s="107" t="s">
        <v>154</v>
      </c>
      <c r="BQ1" s="107" t="s">
        <v>155</v>
      </c>
      <c r="BR1" s="107" t="s">
        <v>156</v>
      </c>
      <c r="BS1" s="107" t="s">
        <v>157</v>
      </c>
      <c r="BT1" s="107" t="s">
        <v>158</v>
      </c>
      <c r="BU1" s="107" t="s">
        <v>159</v>
      </c>
      <c r="BV1" s="107" t="s">
        <v>160</v>
      </c>
      <c r="BW1" s="107" t="s">
        <v>161</v>
      </c>
      <c r="BX1" s="107" t="s">
        <v>162</v>
      </c>
      <c r="BY1" s="107" t="s">
        <v>163</v>
      </c>
      <c r="BZ1" s="107" t="s">
        <v>164</v>
      </c>
      <c r="CA1" s="107" t="s">
        <v>165</v>
      </c>
      <c r="CB1" s="107" t="s">
        <v>166</v>
      </c>
      <c r="CC1" s="107" t="s">
        <v>167</v>
      </c>
      <c r="CD1" s="107" t="s">
        <v>168</v>
      </c>
      <c r="CE1" s="107" t="s">
        <v>169</v>
      </c>
      <c r="CF1" s="107" t="s">
        <v>170</v>
      </c>
      <c r="CG1" s="107" t="s">
        <v>171</v>
      </c>
      <c r="CH1" s="107" t="s">
        <v>172</v>
      </c>
      <c r="CI1" s="107" t="s">
        <v>173</v>
      </c>
      <c r="CJ1" s="107" t="s">
        <v>174</v>
      </c>
      <c r="CK1" s="107" t="s">
        <v>175</v>
      </c>
      <c r="CL1" s="107" t="s">
        <v>176</v>
      </c>
      <c r="CM1" s="107" t="s">
        <v>177</v>
      </c>
      <c r="CN1" s="107" t="s">
        <v>178</v>
      </c>
      <c r="CO1" s="107" t="s">
        <v>179</v>
      </c>
      <c r="CP1" s="107" t="s">
        <v>180</v>
      </c>
      <c r="CQ1" s="107" t="s">
        <v>181</v>
      </c>
      <c r="CR1" s="107" t="s">
        <v>182</v>
      </c>
      <c r="CS1" s="107" t="s">
        <v>183</v>
      </c>
      <c r="CT1" s="107" t="s">
        <v>184</v>
      </c>
      <c r="CU1" s="107" t="s">
        <v>185</v>
      </c>
      <c r="CV1" s="107" t="s">
        <v>186</v>
      </c>
      <c r="CW1" s="108" t="s">
        <v>187</v>
      </c>
      <c r="CX1" s="107" t="s">
        <v>188</v>
      </c>
      <c r="CY1" s="107" t="s">
        <v>189</v>
      </c>
      <c r="CZ1" s="107" t="s">
        <v>190</v>
      </c>
      <c r="DA1" s="108" t="s">
        <v>191</v>
      </c>
      <c r="DB1" s="107" t="s">
        <v>192</v>
      </c>
      <c r="DC1" s="2"/>
      <c r="DD1" s="2"/>
      <c r="DE1" s="2" t="s">
        <v>193</v>
      </c>
      <c r="DF1" s="2" t="s">
        <v>194</v>
      </c>
      <c r="DG1" s="2" t="s">
        <v>195</v>
      </c>
      <c r="DH1" s="2" t="s">
        <v>196</v>
      </c>
      <c r="DI1" s="2" t="s">
        <v>197</v>
      </c>
      <c r="DJ1" s="2" t="s">
        <v>198</v>
      </c>
      <c r="DK1" s="2" t="s">
        <v>199</v>
      </c>
      <c r="DL1" s="2" t="s">
        <v>200</v>
      </c>
      <c r="DM1" s="2" t="s">
        <v>201</v>
      </c>
    </row>
    <row r="2" ht="13.8" hidden="1" spans="1:117">
      <c r="A2" s="109">
        <v>2</v>
      </c>
      <c r="B2" s="109" t="s">
        <v>202</v>
      </c>
      <c r="C2" s="109" t="s">
        <v>203</v>
      </c>
      <c r="D2" s="109" t="s">
        <v>204</v>
      </c>
      <c r="E2" s="109" t="s">
        <v>205</v>
      </c>
      <c r="F2" s="110">
        <v>46255</v>
      </c>
      <c r="G2" s="109" t="s">
        <v>206</v>
      </c>
      <c r="H2" s="109" t="s">
        <v>207</v>
      </c>
      <c r="I2" s="109" t="s">
        <v>208</v>
      </c>
      <c r="J2" s="109" t="s">
        <v>209</v>
      </c>
      <c r="K2" s="109" t="s">
        <v>210</v>
      </c>
      <c r="L2" s="109" t="s">
        <v>211</v>
      </c>
      <c r="M2" s="207" t="s">
        <v>212</v>
      </c>
      <c r="N2" s="109" t="s">
        <v>213</v>
      </c>
      <c r="O2" s="109" t="s">
        <v>214</v>
      </c>
      <c r="P2" s="109" t="s">
        <v>215</v>
      </c>
      <c r="Q2" s="109" t="s">
        <v>208</v>
      </c>
      <c r="R2" s="109" t="s">
        <v>209</v>
      </c>
      <c r="S2" s="109" t="s">
        <v>213</v>
      </c>
      <c r="T2" s="109" t="s">
        <v>214</v>
      </c>
      <c r="U2" s="109" t="s">
        <v>216</v>
      </c>
      <c r="V2" s="109" t="s">
        <v>217</v>
      </c>
      <c r="W2" s="109" t="s">
        <v>218</v>
      </c>
      <c r="X2" s="109" t="s">
        <v>219</v>
      </c>
      <c r="Y2" s="109" t="s">
        <v>220</v>
      </c>
      <c r="Z2" s="109" t="s">
        <v>221</v>
      </c>
      <c r="AA2" s="109" t="s">
        <v>222</v>
      </c>
      <c r="AB2" s="109" t="s">
        <v>223</v>
      </c>
      <c r="AC2" s="109" t="s">
        <v>216</v>
      </c>
      <c r="AD2" s="109" t="s">
        <v>217</v>
      </c>
      <c r="AE2" s="109" t="s">
        <v>224</v>
      </c>
      <c r="AF2" s="109" t="s">
        <v>225</v>
      </c>
      <c r="AG2" s="109" t="s">
        <v>220</v>
      </c>
      <c r="AH2" s="109" t="s">
        <v>221</v>
      </c>
      <c r="AI2" s="109" t="s">
        <v>216</v>
      </c>
      <c r="AJ2" s="109" t="s">
        <v>217</v>
      </c>
      <c r="AK2" s="109" t="s">
        <v>220</v>
      </c>
      <c r="AL2" s="109" t="s">
        <v>221</v>
      </c>
      <c r="AM2" s="109" t="s">
        <v>226</v>
      </c>
      <c r="AN2" s="207" t="s">
        <v>227</v>
      </c>
      <c r="AO2" s="109">
        <v>47</v>
      </c>
      <c r="AP2" s="109">
        <v>0</v>
      </c>
      <c r="AQ2" s="109">
        <v>3</v>
      </c>
      <c r="AR2" s="109">
        <v>0</v>
      </c>
      <c r="AS2" s="109" t="s">
        <v>228</v>
      </c>
      <c r="AT2" s="109" t="s">
        <v>229</v>
      </c>
      <c r="AU2" s="110">
        <v>46267</v>
      </c>
      <c r="AV2" s="109">
        <v>172.2</v>
      </c>
      <c r="AW2" s="109" t="s">
        <v>230</v>
      </c>
      <c r="AX2" s="109" t="s">
        <v>231</v>
      </c>
      <c r="AY2" s="109">
        <v>1057.88</v>
      </c>
      <c r="AZ2" s="109" t="s">
        <v>232</v>
      </c>
      <c r="BA2" s="109" t="s">
        <v>233</v>
      </c>
      <c r="BB2" s="109">
        <v>172.2</v>
      </c>
      <c r="BC2" s="109">
        <v>151.54</v>
      </c>
      <c r="BD2" s="109">
        <v>172.2</v>
      </c>
      <c r="BE2" s="109">
        <v>20.66</v>
      </c>
      <c r="BF2" s="111">
        <v>0.12</v>
      </c>
      <c r="BG2" s="109">
        <v>0</v>
      </c>
      <c r="BH2" s="109">
        <v>47</v>
      </c>
      <c r="BI2" s="109">
        <v>110.1</v>
      </c>
      <c r="BJ2" s="109">
        <v>0</v>
      </c>
      <c r="BK2" s="109">
        <v>17</v>
      </c>
      <c r="BL2" s="109">
        <v>0</v>
      </c>
      <c r="BM2" s="109">
        <v>9.76</v>
      </c>
      <c r="BN2" s="109">
        <v>2.25</v>
      </c>
      <c r="BO2" s="109">
        <v>5.5</v>
      </c>
      <c r="BP2" s="109">
        <v>3.23</v>
      </c>
      <c r="BQ2" s="109">
        <v>0</v>
      </c>
      <c r="BR2" s="109">
        <v>0</v>
      </c>
      <c r="BS2" s="109">
        <v>0</v>
      </c>
      <c r="BT2" s="109">
        <v>0</v>
      </c>
      <c r="BU2" s="109">
        <v>0</v>
      </c>
      <c r="BV2" s="109">
        <v>0</v>
      </c>
      <c r="BW2" s="109">
        <v>0</v>
      </c>
      <c r="BX2" s="109">
        <v>0</v>
      </c>
      <c r="BY2" s="109">
        <v>0</v>
      </c>
      <c r="BZ2" s="109">
        <v>0</v>
      </c>
      <c r="CA2" s="109">
        <v>3.7</v>
      </c>
      <c r="CB2" s="109" t="s">
        <v>234</v>
      </c>
      <c r="CC2" s="109" t="s">
        <v>225</v>
      </c>
      <c r="CD2" s="109">
        <v>378.38</v>
      </c>
      <c r="CE2" s="109">
        <v>0</v>
      </c>
      <c r="CF2" s="109">
        <v>0</v>
      </c>
      <c r="CG2" s="109">
        <v>0</v>
      </c>
      <c r="CH2" s="109">
        <v>0</v>
      </c>
      <c r="CI2" s="109">
        <v>0</v>
      </c>
      <c r="CJ2" s="109">
        <v>0</v>
      </c>
      <c r="CK2" s="109">
        <v>0</v>
      </c>
      <c r="CL2" s="109"/>
      <c r="CM2" s="109"/>
      <c r="CN2" s="109">
        <v>0</v>
      </c>
      <c r="CO2" s="109">
        <v>0</v>
      </c>
      <c r="CP2" s="109">
        <v>0</v>
      </c>
      <c r="CQ2" s="109">
        <v>0</v>
      </c>
      <c r="CR2" s="109">
        <v>0</v>
      </c>
      <c r="CS2" s="109">
        <v>0</v>
      </c>
      <c r="CT2" s="109">
        <v>0</v>
      </c>
      <c r="CU2" s="109">
        <v>15</v>
      </c>
      <c r="CV2" s="109" t="s">
        <v>235</v>
      </c>
      <c r="CW2" s="109">
        <v>0</v>
      </c>
      <c r="CX2" s="109"/>
      <c r="CY2" s="109">
        <v>12</v>
      </c>
      <c r="CZ2" s="109" t="s">
        <v>235</v>
      </c>
      <c r="DA2" s="109">
        <v>0</v>
      </c>
      <c r="DB2" s="109"/>
      <c r="DE2" s="109">
        <v>0</v>
      </c>
      <c r="DF2" s="109" t="s">
        <v>236</v>
      </c>
      <c r="DG2" s="109" t="s">
        <v>214</v>
      </c>
      <c r="DH2" s="109" t="s">
        <v>213</v>
      </c>
      <c r="DI2" s="207" t="s">
        <v>237</v>
      </c>
      <c r="DJ2" s="109" t="s">
        <v>238</v>
      </c>
      <c r="DK2" s="109">
        <v>0</v>
      </c>
      <c r="DL2" s="109" t="s">
        <v>226</v>
      </c>
      <c r="DM2" s="109">
        <v>20.66</v>
      </c>
    </row>
    <row r="3" ht="13.8" hidden="1" spans="1:117">
      <c r="A3" s="109">
        <v>2</v>
      </c>
      <c r="B3" s="109" t="s">
        <v>239</v>
      </c>
      <c r="C3" s="109" t="s">
        <v>203</v>
      </c>
      <c r="D3" s="109" t="s">
        <v>225</v>
      </c>
      <c r="E3" s="109" t="s">
        <v>226</v>
      </c>
      <c r="F3" s="110">
        <v>46237</v>
      </c>
      <c r="G3" s="109" t="s">
        <v>240</v>
      </c>
      <c r="H3" s="109" t="s">
        <v>241</v>
      </c>
      <c r="I3" s="109" t="s">
        <v>216</v>
      </c>
      <c r="J3" s="109" t="s">
        <v>217</v>
      </c>
      <c r="K3" s="109" t="s">
        <v>218</v>
      </c>
      <c r="L3" s="109" t="s">
        <v>219</v>
      </c>
      <c r="M3" s="207" t="s">
        <v>242</v>
      </c>
      <c r="N3" s="109" t="s">
        <v>220</v>
      </c>
      <c r="O3" s="109" t="s">
        <v>221</v>
      </c>
      <c r="P3" s="109" t="s">
        <v>243</v>
      </c>
      <c r="Q3" s="109" t="s">
        <v>216</v>
      </c>
      <c r="R3" s="109" t="s">
        <v>217</v>
      </c>
      <c r="S3" s="109" t="s">
        <v>220</v>
      </c>
      <c r="T3" s="109" t="s">
        <v>221</v>
      </c>
      <c r="U3" s="109" t="s">
        <v>216</v>
      </c>
      <c r="V3" s="109" t="s">
        <v>217</v>
      </c>
      <c r="W3" s="109" t="s">
        <v>218</v>
      </c>
      <c r="X3" s="109" t="s">
        <v>219</v>
      </c>
      <c r="Y3" s="109" t="s">
        <v>220</v>
      </c>
      <c r="Z3" s="109" t="s">
        <v>221</v>
      </c>
      <c r="AA3" s="109" t="s">
        <v>222</v>
      </c>
      <c r="AB3" s="109" t="s">
        <v>223</v>
      </c>
      <c r="AC3" s="109" t="s">
        <v>244</v>
      </c>
      <c r="AD3" s="109" t="s">
        <v>245</v>
      </c>
      <c r="AE3" s="109" t="s">
        <v>246</v>
      </c>
      <c r="AF3" s="109" t="s">
        <v>247</v>
      </c>
      <c r="AG3" s="109" t="s">
        <v>248</v>
      </c>
      <c r="AH3" s="109" t="s">
        <v>249</v>
      </c>
      <c r="AI3" s="109" t="s">
        <v>244</v>
      </c>
      <c r="AJ3" s="109" t="s">
        <v>245</v>
      </c>
      <c r="AK3" s="109" t="s">
        <v>248</v>
      </c>
      <c r="AL3" s="109" t="s">
        <v>249</v>
      </c>
      <c r="AM3" s="109" t="s">
        <v>250</v>
      </c>
      <c r="AN3" s="207" t="s">
        <v>251</v>
      </c>
      <c r="AO3" s="109">
        <v>93.93</v>
      </c>
      <c r="AP3" s="109">
        <v>0</v>
      </c>
      <c r="AQ3" s="109">
        <v>8</v>
      </c>
      <c r="AR3" s="109">
        <v>0</v>
      </c>
      <c r="AS3" s="109" t="s">
        <v>252</v>
      </c>
      <c r="AT3" s="109" t="s">
        <v>229</v>
      </c>
      <c r="AU3" s="110">
        <v>46253</v>
      </c>
      <c r="AV3" s="109">
        <v>460.4</v>
      </c>
      <c r="AW3" s="109" t="s">
        <v>230</v>
      </c>
      <c r="AX3" s="109" t="s">
        <v>230</v>
      </c>
      <c r="AY3" s="109">
        <v>3892.48</v>
      </c>
      <c r="AZ3" s="109" t="s">
        <v>232</v>
      </c>
      <c r="BA3" s="109" t="s">
        <v>253</v>
      </c>
      <c r="BB3" s="109">
        <v>460.4</v>
      </c>
      <c r="BC3" s="109">
        <v>405.15</v>
      </c>
      <c r="BD3" s="109">
        <v>460.4</v>
      </c>
      <c r="BE3" s="109">
        <v>55.25</v>
      </c>
      <c r="BF3" s="111">
        <v>0.12</v>
      </c>
      <c r="BG3" s="109">
        <v>0</v>
      </c>
      <c r="BH3" s="109">
        <v>93.93</v>
      </c>
      <c r="BI3" s="109">
        <v>100.2</v>
      </c>
      <c r="BJ3" s="109">
        <v>0</v>
      </c>
      <c r="BK3" s="109">
        <v>17</v>
      </c>
      <c r="BL3" s="109">
        <v>0</v>
      </c>
      <c r="BM3" s="109">
        <v>9.76</v>
      </c>
      <c r="BN3" s="109">
        <v>5.84</v>
      </c>
      <c r="BO3" s="109">
        <v>5.5</v>
      </c>
      <c r="BP3" s="109">
        <v>3.23</v>
      </c>
      <c r="BQ3" s="109">
        <v>0</v>
      </c>
      <c r="BR3" s="109">
        <v>0</v>
      </c>
      <c r="BS3" s="109">
        <v>0</v>
      </c>
      <c r="BT3" s="109">
        <v>0</v>
      </c>
      <c r="BU3" s="109">
        <v>0</v>
      </c>
      <c r="BV3" s="109">
        <v>0</v>
      </c>
      <c r="BW3" s="109">
        <v>0</v>
      </c>
      <c r="BX3" s="109">
        <v>250</v>
      </c>
      <c r="BY3" s="109">
        <v>0</v>
      </c>
      <c r="BZ3" s="109">
        <v>0</v>
      </c>
      <c r="CA3" s="109">
        <v>13.62</v>
      </c>
      <c r="CB3" s="109" t="s">
        <v>225</v>
      </c>
      <c r="CC3" s="109" t="s">
        <v>247</v>
      </c>
      <c r="CD3" s="109">
        <v>400.59</v>
      </c>
      <c r="CE3" s="109">
        <v>0</v>
      </c>
      <c r="CF3" s="109">
        <v>0</v>
      </c>
      <c r="CG3" s="109">
        <v>0</v>
      </c>
      <c r="CH3" s="109">
        <v>0</v>
      </c>
      <c r="CI3" s="109">
        <v>0</v>
      </c>
      <c r="CJ3" s="109">
        <v>0</v>
      </c>
      <c r="CK3" s="109">
        <v>0</v>
      </c>
      <c r="CL3" s="109"/>
      <c r="CM3" s="109"/>
      <c r="CN3" s="109">
        <v>0</v>
      </c>
      <c r="CO3" s="109">
        <v>0</v>
      </c>
      <c r="CP3" s="109">
        <v>0</v>
      </c>
      <c r="CQ3" s="109">
        <v>0</v>
      </c>
      <c r="CR3" s="109">
        <v>0</v>
      </c>
      <c r="CS3" s="109">
        <v>0</v>
      </c>
      <c r="CT3" s="109">
        <v>0</v>
      </c>
      <c r="CU3" s="109">
        <v>14.09</v>
      </c>
      <c r="CV3" s="109" t="s">
        <v>254</v>
      </c>
      <c r="CW3" s="109">
        <v>0</v>
      </c>
      <c r="CX3" s="109"/>
      <c r="CY3" s="109">
        <v>18</v>
      </c>
      <c r="CZ3" s="109" t="s">
        <v>254</v>
      </c>
      <c r="DA3" s="109">
        <v>0</v>
      </c>
      <c r="DB3" s="109"/>
      <c r="DE3" s="109">
        <v>0</v>
      </c>
      <c r="DF3" s="109" t="s">
        <v>236</v>
      </c>
      <c r="DG3" s="109" t="s">
        <v>221</v>
      </c>
      <c r="DH3" s="109" t="s">
        <v>220</v>
      </c>
      <c r="DI3" s="109">
        <v>9026067267</v>
      </c>
      <c r="DJ3" s="109" t="s">
        <v>222</v>
      </c>
      <c r="DK3" s="109">
        <v>0</v>
      </c>
      <c r="DL3" s="109" t="s">
        <v>226</v>
      </c>
      <c r="DM3" s="109">
        <v>55.25</v>
      </c>
    </row>
    <row r="4" ht="13.8" hidden="1" spans="1:117">
      <c r="A4" s="109">
        <v>2</v>
      </c>
      <c r="B4" s="109" t="s">
        <v>255</v>
      </c>
      <c r="C4" s="109" t="s">
        <v>203</v>
      </c>
      <c r="D4" s="109" t="s">
        <v>225</v>
      </c>
      <c r="E4" s="109" t="s">
        <v>226</v>
      </c>
      <c r="F4" s="110">
        <v>46237</v>
      </c>
      <c r="G4" s="109" t="s">
        <v>240</v>
      </c>
      <c r="H4" s="109" t="s">
        <v>256</v>
      </c>
      <c r="I4" s="109" t="s">
        <v>216</v>
      </c>
      <c r="J4" s="109" t="s">
        <v>217</v>
      </c>
      <c r="K4" s="109" t="s">
        <v>218</v>
      </c>
      <c r="L4" s="109" t="s">
        <v>219</v>
      </c>
      <c r="M4" s="207" t="s">
        <v>242</v>
      </c>
      <c r="N4" s="109" t="s">
        <v>220</v>
      </c>
      <c r="O4" s="109" t="s">
        <v>221</v>
      </c>
      <c r="P4" s="109" t="s">
        <v>243</v>
      </c>
      <c r="Q4" s="109" t="s">
        <v>216</v>
      </c>
      <c r="R4" s="109" t="s">
        <v>217</v>
      </c>
      <c r="S4" s="109" t="s">
        <v>220</v>
      </c>
      <c r="T4" s="109" t="s">
        <v>221</v>
      </c>
      <c r="U4" s="109" t="s">
        <v>216</v>
      </c>
      <c r="V4" s="109" t="s">
        <v>217</v>
      </c>
      <c r="W4" s="109" t="s">
        <v>218</v>
      </c>
      <c r="X4" s="109" t="s">
        <v>219</v>
      </c>
      <c r="Y4" s="109" t="s">
        <v>220</v>
      </c>
      <c r="Z4" s="109" t="s">
        <v>221</v>
      </c>
      <c r="AA4" s="109" t="s">
        <v>222</v>
      </c>
      <c r="AB4" s="109" t="s">
        <v>223</v>
      </c>
      <c r="AC4" s="109" t="s">
        <v>257</v>
      </c>
      <c r="AD4" s="109" t="s">
        <v>258</v>
      </c>
      <c r="AE4" s="109" t="s">
        <v>259</v>
      </c>
      <c r="AF4" s="109" t="s">
        <v>247</v>
      </c>
      <c r="AG4" s="109" t="s">
        <v>260</v>
      </c>
      <c r="AH4" s="109" t="s">
        <v>249</v>
      </c>
      <c r="AI4" s="109" t="s">
        <v>257</v>
      </c>
      <c r="AJ4" s="109" t="s">
        <v>258</v>
      </c>
      <c r="AK4" s="109" t="s">
        <v>260</v>
      </c>
      <c r="AL4" s="109" t="s">
        <v>249</v>
      </c>
      <c r="AM4" s="109" t="s">
        <v>250</v>
      </c>
      <c r="AN4" s="207" t="s">
        <v>261</v>
      </c>
      <c r="AO4" s="109">
        <v>85.965</v>
      </c>
      <c r="AP4" s="109">
        <v>0</v>
      </c>
      <c r="AQ4" s="109">
        <v>7</v>
      </c>
      <c r="AR4" s="109">
        <v>0</v>
      </c>
      <c r="AS4" s="109" t="s">
        <v>252</v>
      </c>
      <c r="AT4" s="109" t="s">
        <v>229</v>
      </c>
      <c r="AU4" s="110">
        <v>46253</v>
      </c>
      <c r="AV4" s="109">
        <v>452.75</v>
      </c>
      <c r="AW4" s="109" t="s">
        <v>230</v>
      </c>
      <c r="AX4" s="109" t="s">
        <v>231</v>
      </c>
      <c r="AY4" s="109">
        <v>2546.66</v>
      </c>
      <c r="AZ4" s="109" t="s">
        <v>232</v>
      </c>
      <c r="BA4" s="109" t="s">
        <v>253</v>
      </c>
      <c r="BB4" s="109">
        <v>452.75</v>
      </c>
      <c r="BC4" s="109">
        <v>398.42</v>
      </c>
      <c r="BD4" s="109">
        <v>452.75</v>
      </c>
      <c r="BE4" s="109">
        <v>54.33</v>
      </c>
      <c r="BF4" s="111">
        <v>0.12</v>
      </c>
      <c r="BG4" s="109">
        <v>0</v>
      </c>
      <c r="BH4" s="109">
        <v>85.965</v>
      </c>
      <c r="BI4" s="109">
        <v>100.2</v>
      </c>
      <c r="BJ4" s="109">
        <v>0</v>
      </c>
      <c r="BK4" s="109">
        <v>17</v>
      </c>
      <c r="BL4" s="109">
        <v>0</v>
      </c>
      <c r="BM4" s="109">
        <v>9.76</v>
      </c>
      <c r="BN4" s="109">
        <v>3.82</v>
      </c>
      <c r="BO4" s="109">
        <v>5.5</v>
      </c>
      <c r="BP4" s="109">
        <v>3.23</v>
      </c>
      <c r="BQ4" s="109">
        <v>0</v>
      </c>
      <c r="BR4" s="109">
        <v>0</v>
      </c>
      <c r="BS4" s="109">
        <v>0</v>
      </c>
      <c r="BT4" s="109">
        <v>0</v>
      </c>
      <c r="BU4" s="109">
        <v>0</v>
      </c>
      <c r="BV4" s="109">
        <v>0</v>
      </c>
      <c r="BW4" s="109">
        <v>0</v>
      </c>
      <c r="BX4" s="109">
        <v>250</v>
      </c>
      <c r="BY4" s="109">
        <v>0</v>
      </c>
      <c r="BZ4" s="109">
        <v>0</v>
      </c>
      <c r="CA4" s="109">
        <v>8.91</v>
      </c>
      <c r="CB4" s="109" t="s">
        <v>225</v>
      </c>
      <c r="CC4" s="109" t="s">
        <v>247</v>
      </c>
      <c r="CD4" s="109">
        <v>383.46</v>
      </c>
      <c r="CE4" s="109">
        <v>0</v>
      </c>
      <c r="CF4" s="109">
        <v>0</v>
      </c>
      <c r="CG4" s="109">
        <v>0</v>
      </c>
      <c r="CH4" s="109">
        <v>0</v>
      </c>
      <c r="CI4" s="109">
        <v>0</v>
      </c>
      <c r="CJ4" s="109">
        <v>0</v>
      </c>
      <c r="CK4" s="109">
        <v>0</v>
      </c>
      <c r="CL4" s="109"/>
      <c r="CM4" s="109"/>
      <c r="CN4" s="109">
        <v>0</v>
      </c>
      <c r="CO4" s="109">
        <v>0</v>
      </c>
      <c r="CP4" s="109">
        <v>0</v>
      </c>
      <c r="CQ4" s="109">
        <v>0</v>
      </c>
      <c r="CR4" s="109">
        <v>0</v>
      </c>
      <c r="CS4" s="109">
        <v>0</v>
      </c>
      <c r="CT4" s="109">
        <v>0</v>
      </c>
      <c r="CU4" s="109">
        <v>12.89</v>
      </c>
      <c r="CV4" s="109" t="s">
        <v>254</v>
      </c>
      <c r="CW4" s="109">
        <v>0</v>
      </c>
      <c r="CX4" s="109"/>
      <c r="CY4" s="109">
        <v>18</v>
      </c>
      <c r="CZ4" s="109" t="s">
        <v>254</v>
      </c>
      <c r="DA4" s="109">
        <v>0</v>
      </c>
      <c r="DB4" s="109"/>
      <c r="DE4" s="109">
        <v>0</v>
      </c>
      <c r="DF4" s="109" t="s">
        <v>236</v>
      </c>
      <c r="DG4" s="109" t="s">
        <v>221</v>
      </c>
      <c r="DH4" s="109" t="s">
        <v>220</v>
      </c>
      <c r="DI4" s="109">
        <v>9026067267</v>
      </c>
      <c r="DJ4" s="109" t="s">
        <v>222</v>
      </c>
      <c r="DK4" s="109">
        <v>0</v>
      </c>
      <c r="DL4" s="109" t="s">
        <v>226</v>
      </c>
      <c r="DM4" s="109">
        <v>54.33</v>
      </c>
    </row>
    <row r="5" ht="13.8" hidden="1" spans="1:117">
      <c r="A5" s="109">
        <v>2</v>
      </c>
      <c r="B5" s="109" t="s">
        <v>262</v>
      </c>
      <c r="C5" s="109" t="s">
        <v>203</v>
      </c>
      <c r="D5" s="109" t="s">
        <v>225</v>
      </c>
      <c r="E5" s="109" t="s">
        <v>226</v>
      </c>
      <c r="F5" s="110">
        <v>46237</v>
      </c>
      <c r="G5" s="109" t="s">
        <v>240</v>
      </c>
      <c r="H5" s="109" t="s">
        <v>263</v>
      </c>
      <c r="I5" s="109" t="s">
        <v>216</v>
      </c>
      <c r="J5" s="109" t="s">
        <v>217</v>
      </c>
      <c r="K5" s="109" t="s">
        <v>218</v>
      </c>
      <c r="L5" s="109" t="s">
        <v>219</v>
      </c>
      <c r="M5" s="207" t="s">
        <v>242</v>
      </c>
      <c r="N5" s="109" t="s">
        <v>220</v>
      </c>
      <c r="O5" s="109" t="s">
        <v>221</v>
      </c>
      <c r="P5" s="109" t="s">
        <v>243</v>
      </c>
      <c r="Q5" s="109" t="s">
        <v>216</v>
      </c>
      <c r="R5" s="109" t="s">
        <v>217</v>
      </c>
      <c r="S5" s="109" t="s">
        <v>220</v>
      </c>
      <c r="T5" s="109" t="s">
        <v>221</v>
      </c>
      <c r="U5" s="109" t="s">
        <v>216</v>
      </c>
      <c r="V5" s="109" t="s">
        <v>217</v>
      </c>
      <c r="W5" s="109" t="s">
        <v>218</v>
      </c>
      <c r="X5" s="109" t="s">
        <v>219</v>
      </c>
      <c r="Y5" s="109" t="s">
        <v>220</v>
      </c>
      <c r="Z5" s="109" t="s">
        <v>221</v>
      </c>
      <c r="AA5" s="109" t="s">
        <v>222</v>
      </c>
      <c r="AB5" s="109" t="s">
        <v>223</v>
      </c>
      <c r="AC5" s="109" t="s">
        <v>264</v>
      </c>
      <c r="AD5" s="109" t="s">
        <v>265</v>
      </c>
      <c r="AE5" s="109" t="s">
        <v>246</v>
      </c>
      <c r="AF5" s="109" t="s">
        <v>247</v>
      </c>
      <c r="AG5" s="109" t="s">
        <v>248</v>
      </c>
      <c r="AH5" s="109" t="s">
        <v>249</v>
      </c>
      <c r="AI5" s="109" t="s">
        <v>264</v>
      </c>
      <c r="AJ5" s="109" t="s">
        <v>265</v>
      </c>
      <c r="AK5" s="109" t="s">
        <v>248</v>
      </c>
      <c r="AL5" s="109" t="s">
        <v>249</v>
      </c>
      <c r="AM5" s="109" t="s">
        <v>250</v>
      </c>
      <c r="AN5" s="207" t="s">
        <v>266</v>
      </c>
      <c r="AO5" s="109">
        <v>249</v>
      </c>
      <c r="AP5" s="109">
        <v>0</v>
      </c>
      <c r="AQ5" s="109">
        <v>15</v>
      </c>
      <c r="AR5" s="109">
        <v>0</v>
      </c>
      <c r="AS5" s="109" t="s">
        <v>252</v>
      </c>
      <c r="AT5" s="109" t="s">
        <v>229</v>
      </c>
      <c r="AU5" s="110">
        <v>46253</v>
      </c>
      <c r="AV5" s="109">
        <v>334.93</v>
      </c>
      <c r="AW5" s="109" t="s">
        <v>230</v>
      </c>
      <c r="AX5" s="109" t="s">
        <v>230</v>
      </c>
      <c r="AY5" s="109">
        <v>4824.67</v>
      </c>
      <c r="AZ5" s="109" t="s">
        <v>232</v>
      </c>
      <c r="BA5" s="109" t="s">
        <v>253</v>
      </c>
      <c r="BB5" s="109">
        <v>334.93</v>
      </c>
      <c r="BC5" s="109">
        <v>294.74</v>
      </c>
      <c r="BD5" s="109">
        <v>334.93</v>
      </c>
      <c r="BE5" s="109">
        <v>40.19</v>
      </c>
      <c r="BF5" s="111">
        <v>0.12</v>
      </c>
      <c r="BG5" s="109">
        <v>0</v>
      </c>
      <c r="BH5" s="109">
        <v>249</v>
      </c>
      <c r="BI5" s="109">
        <v>224.12</v>
      </c>
      <c r="BJ5" s="109">
        <v>0</v>
      </c>
      <c r="BK5" s="109">
        <v>17</v>
      </c>
      <c r="BL5" s="109">
        <v>0</v>
      </c>
      <c r="BM5" s="109">
        <v>9.76</v>
      </c>
      <c r="BN5" s="109">
        <v>7.24</v>
      </c>
      <c r="BO5" s="109">
        <v>16.5</v>
      </c>
      <c r="BP5" s="109">
        <v>3.23</v>
      </c>
      <c r="BQ5" s="109">
        <v>0</v>
      </c>
      <c r="BR5" s="109">
        <v>0</v>
      </c>
      <c r="BS5" s="109">
        <v>0</v>
      </c>
      <c r="BT5" s="109">
        <v>0</v>
      </c>
      <c r="BU5" s="109">
        <v>0</v>
      </c>
      <c r="BV5" s="109">
        <v>0</v>
      </c>
      <c r="BW5" s="109">
        <v>0</v>
      </c>
      <c r="BX5" s="109">
        <v>0</v>
      </c>
      <c r="BY5" s="109">
        <v>0</v>
      </c>
      <c r="BZ5" s="109">
        <v>0</v>
      </c>
      <c r="CA5" s="109">
        <v>16.89</v>
      </c>
      <c r="CB5" s="109" t="s">
        <v>225</v>
      </c>
      <c r="CC5" s="109" t="s">
        <v>247</v>
      </c>
      <c r="CD5" s="109">
        <v>535.2</v>
      </c>
      <c r="CE5" s="109">
        <v>0</v>
      </c>
      <c r="CF5" s="109">
        <v>0</v>
      </c>
      <c r="CG5" s="109">
        <v>0</v>
      </c>
      <c r="CH5" s="109">
        <v>0</v>
      </c>
      <c r="CI5" s="109">
        <v>0</v>
      </c>
      <c r="CJ5" s="109">
        <v>0</v>
      </c>
      <c r="CK5" s="109">
        <v>0</v>
      </c>
      <c r="CL5" s="109"/>
      <c r="CM5" s="109"/>
      <c r="CN5" s="109">
        <v>0</v>
      </c>
      <c r="CO5" s="109">
        <v>0</v>
      </c>
      <c r="CP5" s="109">
        <v>0</v>
      </c>
      <c r="CQ5" s="109">
        <v>0</v>
      </c>
      <c r="CR5" s="109">
        <v>0</v>
      </c>
      <c r="CS5" s="109">
        <v>0</v>
      </c>
      <c r="CT5" s="109">
        <v>0</v>
      </c>
      <c r="CU5" s="109">
        <v>37.35</v>
      </c>
      <c r="CV5" s="109" t="s">
        <v>254</v>
      </c>
      <c r="CW5" s="109">
        <v>0</v>
      </c>
      <c r="CX5" s="109"/>
      <c r="CY5" s="109">
        <v>44.82</v>
      </c>
      <c r="CZ5" s="109" t="s">
        <v>254</v>
      </c>
      <c r="DA5" s="109">
        <v>0</v>
      </c>
      <c r="DB5" s="109"/>
      <c r="DE5" s="109">
        <v>0</v>
      </c>
      <c r="DF5" s="109" t="s">
        <v>236</v>
      </c>
      <c r="DG5" s="109" t="s">
        <v>221</v>
      </c>
      <c r="DH5" s="109" t="s">
        <v>220</v>
      </c>
      <c r="DI5" s="109">
        <v>9026067267</v>
      </c>
      <c r="DJ5" s="109" t="s">
        <v>222</v>
      </c>
      <c r="DK5" s="109">
        <v>0</v>
      </c>
      <c r="DL5" s="109" t="s">
        <v>226</v>
      </c>
      <c r="DM5" s="109">
        <v>40.19</v>
      </c>
    </row>
    <row r="6" ht="13.8" hidden="1" spans="1:117">
      <c r="A6" s="109">
        <v>2</v>
      </c>
      <c r="B6" s="109" t="s">
        <v>267</v>
      </c>
      <c r="C6" s="109" t="s">
        <v>203</v>
      </c>
      <c r="D6" s="109" t="s">
        <v>225</v>
      </c>
      <c r="E6" s="109" t="s">
        <v>226</v>
      </c>
      <c r="F6" s="110">
        <v>46237</v>
      </c>
      <c r="G6" s="109" t="s">
        <v>240</v>
      </c>
      <c r="H6" s="109" t="s">
        <v>268</v>
      </c>
      <c r="I6" s="109" t="s">
        <v>216</v>
      </c>
      <c r="J6" s="109" t="s">
        <v>217</v>
      </c>
      <c r="K6" s="109" t="s">
        <v>218</v>
      </c>
      <c r="L6" s="109" t="s">
        <v>219</v>
      </c>
      <c r="M6" s="207" t="s">
        <v>242</v>
      </c>
      <c r="N6" s="109" t="s">
        <v>220</v>
      </c>
      <c r="O6" s="109" t="s">
        <v>221</v>
      </c>
      <c r="P6" s="109" t="s">
        <v>243</v>
      </c>
      <c r="Q6" s="109" t="s">
        <v>216</v>
      </c>
      <c r="R6" s="109" t="s">
        <v>217</v>
      </c>
      <c r="S6" s="109" t="s">
        <v>220</v>
      </c>
      <c r="T6" s="109" t="s">
        <v>221</v>
      </c>
      <c r="U6" s="109" t="s">
        <v>216</v>
      </c>
      <c r="V6" s="109" t="s">
        <v>217</v>
      </c>
      <c r="W6" s="109" t="s">
        <v>218</v>
      </c>
      <c r="X6" s="109" t="s">
        <v>219</v>
      </c>
      <c r="Y6" s="109" t="s">
        <v>220</v>
      </c>
      <c r="Z6" s="109" t="s">
        <v>221</v>
      </c>
      <c r="AA6" s="109" t="s">
        <v>222</v>
      </c>
      <c r="AB6" s="109" t="s">
        <v>223</v>
      </c>
      <c r="AC6" s="109" t="s">
        <v>269</v>
      </c>
      <c r="AD6" s="109" t="s">
        <v>270</v>
      </c>
      <c r="AE6" s="109">
        <v>293</v>
      </c>
      <c r="AF6" s="109" t="s">
        <v>271</v>
      </c>
      <c r="AG6" s="109" t="s">
        <v>272</v>
      </c>
      <c r="AH6" s="109" t="s">
        <v>273</v>
      </c>
      <c r="AI6" s="109" t="s">
        <v>269</v>
      </c>
      <c r="AJ6" s="109" t="s">
        <v>270</v>
      </c>
      <c r="AK6" s="109" t="s">
        <v>272</v>
      </c>
      <c r="AL6" s="109" t="s">
        <v>273</v>
      </c>
      <c r="AM6" s="109" t="s">
        <v>274</v>
      </c>
      <c r="AN6" s="207" t="s">
        <v>275</v>
      </c>
      <c r="AO6" s="109">
        <v>106.816</v>
      </c>
      <c r="AP6" s="109">
        <v>0</v>
      </c>
      <c r="AQ6" s="109">
        <v>11</v>
      </c>
      <c r="AR6" s="109">
        <v>0</v>
      </c>
      <c r="AS6" s="109" t="s">
        <v>252</v>
      </c>
      <c r="AT6" s="109" t="s">
        <v>229</v>
      </c>
      <c r="AU6" s="110">
        <v>46253</v>
      </c>
      <c r="AV6" s="109">
        <v>192.94</v>
      </c>
      <c r="AW6" s="109" t="s">
        <v>230</v>
      </c>
      <c r="AX6" s="109" t="s">
        <v>230</v>
      </c>
      <c r="AY6" s="109">
        <v>5881.78</v>
      </c>
      <c r="AZ6" s="109" t="s">
        <v>232</v>
      </c>
      <c r="BA6" s="109" t="s">
        <v>276</v>
      </c>
      <c r="BB6" s="109">
        <v>192.94</v>
      </c>
      <c r="BC6" s="109">
        <v>179.43</v>
      </c>
      <c r="BD6" s="109">
        <v>192.94</v>
      </c>
      <c r="BE6" s="109">
        <v>13.51</v>
      </c>
      <c r="BF6" s="111">
        <v>0.07</v>
      </c>
      <c r="BG6" s="109">
        <v>0</v>
      </c>
      <c r="BH6" s="109">
        <v>106.816</v>
      </c>
      <c r="BI6" s="109">
        <v>109.03</v>
      </c>
      <c r="BJ6" s="109">
        <v>0</v>
      </c>
      <c r="BK6" s="109">
        <v>17</v>
      </c>
      <c r="BL6" s="109">
        <v>0</v>
      </c>
      <c r="BM6" s="109">
        <v>9.76</v>
      </c>
      <c r="BN6" s="109">
        <v>8.82</v>
      </c>
      <c r="BO6" s="109">
        <v>11</v>
      </c>
      <c r="BP6" s="109">
        <v>3.23</v>
      </c>
      <c r="BQ6" s="109">
        <v>0</v>
      </c>
      <c r="BR6" s="109">
        <v>0</v>
      </c>
      <c r="BS6" s="109">
        <v>0</v>
      </c>
      <c r="BT6" s="109">
        <v>0</v>
      </c>
      <c r="BU6" s="109">
        <v>0</v>
      </c>
      <c r="BV6" s="109">
        <v>0</v>
      </c>
      <c r="BW6" s="109">
        <v>0</v>
      </c>
      <c r="BX6" s="109">
        <v>0</v>
      </c>
      <c r="BY6" s="109">
        <v>0</v>
      </c>
      <c r="BZ6" s="109">
        <v>0</v>
      </c>
      <c r="CA6" s="109">
        <v>20.59</v>
      </c>
      <c r="CB6" s="109" t="s">
        <v>225</v>
      </c>
      <c r="CC6" s="109" t="s">
        <v>277</v>
      </c>
      <c r="CD6" s="109">
        <v>426.48</v>
      </c>
      <c r="CE6" s="109">
        <v>0</v>
      </c>
      <c r="CF6" s="109">
        <v>0</v>
      </c>
      <c r="CG6" s="109">
        <v>0</v>
      </c>
      <c r="CH6" s="109">
        <v>0</v>
      </c>
      <c r="CI6" s="109">
        <v>0</v>
      </c>
      <c r="CJ6" s="109">
        <v>0</v>
      </c>
      <c r="CK6" s="109">
        <v>0</v>
      </c>
      <c r="CL6" s="109"/>
      <c r="CM6" s="109"/>
      <c r="CN6" s="109">
        <v>0</v>
      </c>
      <c r="CO6" s="109">
        <v>0</v>
      </c>
      <c r="CP6" s="109">
        <v>0</v>
      </c>
      <c r="CQ6" s="109">
        <v>0</v>
      </c>
      <c r="CR6" s="109">
        <v>0</v>
      </c>
      <c r="CS6" s="109">
        <v>0</v>
      </c>
      <c r="CT6" s="109">
        <v>0</v>
      </c>
      <c r="CU6" s="109">
        <v>16.02</v>
      </c>
      <c r="CV6" s="109" t="s">
        <v>254</v>
      </c>
      <c r="CW6" s="109">
        <v>0</v>
      </c>
      <c r="CX6" s="109"/>
      <c r="CY6" s="109">
        <v>86.13</v>
      </c>
      <c r="CZ6" s="109" t="s">
        <v>278</v>
      </c>
      <c r="DA6" s="109">
        <v>92.61</v>
      </c>
      <c r="DB6" s="207" t="s">
        <v>279</v>
      </c>
      <c r="DE6" s="109">
        <v>0</v>
      </c>
      <c r="DF6" s="109" t="s">
        <v>236</v>
      </c>
      <c r="DG6" s="109" t="s">
        <v>221</v>
      </c>
      <c r="DH6" s="109" t="s">
        <v>220</v>
      </c>
      <c r="DI6" s="109">
        <v>9026067267</v>
      </c>
      <c r="DJ6" s="109" t="s">
        <v>222</v>
      </c>
      <c r="DK6" s="109">
        <v>0</v>
      </c>
      <c r="DL6" s="109" t="s">
        <v>226</v>
      </c>
      <c r="DM6" s="109">
        <v>13.51</v>
      </c>
    </row>
    <row r="7" ht="13.8" hidden="1" spans="1:117">
      <c r="A7" s="109">
        <v>2</v>
      </c>
      <c r="B7" s="109" t="s">
        <v>280</v>
      </c>
      <c r="C7" s="109" t="s">
        <v>203</v>
      </c>
      <c r="D7" s="109" t="s">
        <v>225</v>
      </c>
      <c r="E7" s="109" t="s">
        <v>226</v>
      </c>
      <c r="F7" s="110">
        <v>46237</v>
      </c>
      <c r="G7" s="109" t="s">
        <v>240</v>
      </c>
      <c r="H7" s="109" t="s">
        <v>281</v>
      </c>
      <c r="I7" s="109" t="s">
        <v>216</v>
      </c>
      <c r="J7" s="109" t="s">
        <v>217</v>
      </c>
      <c r="K7" s="109" t="s">
        <v>218</v>
      </c>
      <c r="L7" s="109" t="s">
        <v>219</v>
      </c>
      <c r="M7" s="207" t="s">
        <v>242</v>
      </c>
      <c r="N7" s="109" t="s">
        <v>220</v>
      </c>
      <c r="O7" s="109" t="s">
        <v>221</v>
      </c>
      <c r="P7" s="109" t="s">
        <v>243</v>
      </c>
      <c r="Q7" s="109" t="s">
        <v>216</v>
      </c>
      <c r="R7" s="109" t="s">
        <v>217</v>
      </c>
      <c r="S7" s="109" t="s">
        <v>220</v>
      </c>
      <c r="T7" s="109" t="s">
        <v>221</v>
      </c>
      <c r="U7" s="109" t="s">
        <v>216</v>
      </c>
      <c r="V7" s="109" t="s">
        <v>217</v>
      </c>
      <c r="W7" s="109" t="s">
        <v>218</v>
      </c>
      <c r="X7" s="109" t="s">
        <v>219</v>
      </c>
      <c r="Y7" s="109" t="s">
        <v>220</v>
      </c>
      <c r="Z7" s="109" t="s">
        <v>221</v>
      </c>
      <c r="AA7" s="109" t="s">
        <v>222</v>
      </c>
      <c r="AB7" s="109" t="s">
        <v>223</v>
      </c>
      <c r="AC7" s="109" t="s">
        <v>282</v>
      </c>
      <c r="AD7" s="109" t="s">
        <v>283</v>
      </c>
      <c r="AE7" s="109">
        <v>365</v>
      </c>
      <c r="AF7" s="109" t="s">
        <v>284</v>
      </c>
      <c r="AG7" s="109" t="s">
        <v>285</v>
      </c>
      <c r="AH7" s="109" t="s">
        <v>214</v>
      </c>
      <c r="AI7" s="109" t="s">
        <v>282</v>
      </c>
      <c r="AJ7" s="109" t="s">
        <v>283</v>
      </c>
      <c r="AK7" s="109" t="s">
        <v>285</v>
      </c>
      <c r="AL7" s="109" t="s">
        <v>214</v>
      </c>
      <c r="AM7" s="109" t="s">
        <v>286</v>
      </c>
      <c r="AN7" s="207" t="s">
        <v>287</v>
      </c>
      <c r="AO7" s="109">
        <v>7.945</v>
      </c>
      <c r="AP7" s="109">
        <v>0.4856</v>
      </c>
      <c r="AQ7" s="109">
        <v>1</v>
      </c>
      <c r="AR7" s="109">
        <v>0</v>
      </c>
      <c r="AS7" s="109" t="s">
        <v>252</v>
      </c>
      <c r="AT7" s="109" t="s">
        <v>229</v>
      </c>
      <c r="AU7" s="110">
        <v>46253</v>
      </c>
      <c r="AV7" s="109">
        <v>219.59</v>
      </c>
      <c r="AW7" s="109" t="s">
        <v>230</v>
      </c>
      <c r="AX7" s="109" t="s">
        <v>230</v>
      </c>
      <c r="AY7" s="109">
        <v>303.14</v>
      </c>
      <c r="AZ7" s="109" t="s">
        <v>232</v>
      </c>
      <c r="BA7" s="109" t="s">
        <v>288</v>
      </c>
      <c r="BB7" s="109">
        <v>219.59</v>
      </c>
      <c r="BC7" s="109">
        <v>193.24</v>
      </c>
      <c r="BD7" s="109">
        <v>219.59</v>
      </c>
      <c r="BE7" s="109">
        <v>26.35</v>
      </c>
      <c r="BF7" s="111">
        <v>0.12</v>
      </c>
      <c r="BG7" s="109">
        <v>0</v>
      </c>
      <c r="BH7" s="109">
        <v>145.68</v>
      </c>
      <c r="BI7" s="109">
        <v>148.94</v>
      </c>
      <c r="BJ7" s="109">
        <v>0</v>
      </c>
      <c r="BK7" s="109">
        <v>17</v>
      </c>
      <c r="BL7" s="109">
        <v>0</v>
      </c>
      <c r="BM7" s="109">
        <v>9.76</v>
      </c>
      <c r="BN7" s="109">
        <v>2.25</v>
      </c>
      <c r="BO7" s="109">
        <v>11</v>
      </c>
      <c r="BP7" s="109">
        <v>3.23</v>
      </c>
      <c r="BQ7" s="109">
        <v>0</v>
      </c>
      <c r="BR7" s="109">
        <v>0</v>
      </c>
      <c r="BS7" s="109">
        <v>0</v>
      </c>
      <c r="BT7" s="109">
        <v>0</v>
      </c>
      <c r="BU7" s="109">
        <v>0</v>
      </c>
      <c r="BV7" s="109">
        <v>0</v>
      </c>
      <c r="BW7" s="109">
        <v>0</v>
      </c>
      <c r="BX7" s="109">
        <v>0</v>
      </c>
      <c r="BY7" s="109">
        <v>0</v>
      </c>
      <c r="BZ7" s="109">
        <v>0</v>
      </c>
      <c r="CA7" s="109">
        <v>1.06</v>
      </c>
      <c r="CB7" s="109" t="s">
        <v>225</v>
      </c>
      <c r="CC7" s="109" t="s">
        <v>284</v>
      </c>
      <c r="CD7" s="109">
        <v>361.05</v>
      </c>
      <c r="CE7" s="109">
        <v>0</v>
      </c>
      <c r="CF7" s="109">
        <v>0</v>
      </c>
      <c r="CG7" s="109">
        <v>0</v>
      </c>
      <c r="CH7" s="109">
        <v>0</v>
      </c>
      <c r="CI7" s="109">
        <v>0</v>
      </c>
      <c r="CJ7" s="109">
        <v>0</v>
      </c>
      <c r="CK7" s="109">
        <v>0</v>
      </c>
      <c r="CL7" s="109"/>
      <c r="CM7" s="109"/>
      <c r="CN7" s="109">
        <v>0</v>
      </c>
      <c r="CO7" s="109">
        <v>0</v>
      </c>
      <c r="CP7" s="109">
        <v>0</v>
      </c>
      <c r="CQ7" s="109">
        <v>0</v>
      </c>
      <c r="CR7" s="109">
        <v>0</v>
      </c>
      <c r="CS7" s="109">
        <v>0</v>
      </c>
      <c r="CT7" s="109">
        <v>0</v>
      </c>
      <c r="CU7" s="109">
        <v>12</v>
      </c>
      <c r="CV7" s="109" t="s">
        <v>254</v>
      </c>
      <c r="CW7" s="109">
        <v>0</v>
      </c>
      <c r="CX7" s="109"/>
      <c r="CY7" s="109">
        <v>72.84</v>
      </c>
      <c r="CZ7" s="109" t="s">
        <v>289</v>
      </c>
      <c r="DA7" s="109">
        <f>CY7</f>
        <v>72.84</v>
      </c>
      <c r="DB7" s="109"/>
      <c r="DE7" s="109">
        <v>0</v>
      </c>
      <c r="DF7" s="109" t="s">
        <v>236</v>
      </c>
      <c r="DG7" s="109" t="s">
        <v>221</v>
      </c>
      <c r="DH7" s="109" t="s">
        <v>220</v>
      </c>
      <c r="DI7" s="109">
        <v>9026067267</v>
      </c>
      <c r="DJ7" s="109" t="s">
        <v>222</v>
      </c>
      <c r="DK7" s="109">
        <v>0</v>
      </c>
      <c r="DL7" s="109" t="s">
        <v>226</v>
      </c>
      <c r="DM7" s="109">
        <v>26.35</v>
      </c>
    </row>
    <row r="8" ht="13.8" hidden="1" spans="1:117">
      <c r="A8" s="109">
        <v>2</v>
      </c>
      <c r="B8" s="109" t="s">
        <v>290</v>
      </c>
      <c r="C8" s="109" t="s">
        <v>203</v>
      </c>
      <c r="D8" s="109" t="s">
        <v>225</v>
      </c>
      <c r="E8" s="109" t="s">
        <v>226</v>
      </c>
      <c r="F8" s="110">
        <v>46237</v>
      </c>
      <c r="G8" s="109" t="s">
        <v>240</v>
      </c>
      <c r="H8" s="109" t="s">
        <v>291</v>
      </c>
      <c r="I8" s="109" t="s">
        <v>216</v>
      </c>
      <c r="J8" s="109" t="s">
        <v>217</v>
      </c>
      <c r="K8" s="109" t="s">
        <v>218</v>
      </c>
      <c r="L8" s="109" t="s">
        <v>219</v>
      </c>
      <c r="M8" s="207" t="s">
        <v>242</v>
      </c>
      <c r="N8" s="109" t="s">
        <v>220</v>
      </c>
      <c r="O8" s="109" t="s">
        <v>221</v>
      </c>
      <c r="P8" s="109" t="s">
        <v>243</v>
      </c>
      <c r="Q8" s="109" t="s">
        <v>216</v>
      </c>
      <c r="R8" s="109" t="s">
        <v>217</v>
      </c>
      <c r="S8" s="109" t="s">
        <v>220</v>
      </c>
      <c r="T8" s="109" t="s">
        <v>221</v>
      </c>
      <c r="U8" s="109" t="s">
        <v>216</v>
      </c>
      <c r="V8" s="109" t="s">
        <v>217</v>
      </c>
      <c r="W8" s="109" t="s">
        <v>218</v>
      </c>
      <c r="X8" s="109" t="s">
        <v>219</v>
      </c>
      <c r="Y8" s="109" t="s">
        <v>220</v>
      </c>
      <c r="Z8" s="109" t="s">
        <v>221</v>
      </c>
      <c r="AA8" s="109" t="s">
        <v>222</v>
      </c>
      <c r="AB8" s="109" t="s">
        <v>223</v>
      </c>
      <c r="AC8" s="109" t="s">
        <v>292</v>
      </c>
      <c r="AD8" s="109" t="s">
        <v>293</v>
      </c>
      <c r="AE8" s="109" t="s">
        <v>294</v>
      </c>
      <c r="AF8" s="109" t="s">
        <v>295</v>
      </c>
      <c r="AG8" s="109" t="s">
        <v>296</v>
      </c>
      <c r="AH8" s="109" t="s">
        <v>297</v>
      </c>
      <c r="AI8" s="109" t="s">
        <v>292</v>
      </c>
      <c r="AJ8" s="109" t="s">
        <v>293</v>
      </c>
      <c r="AK8" s="109" t="s">
        <v>296</v>
      </c>
      <c r="AL8" s="109" t="s">
        <v>297</v>
      </c>
      <c r="AM8" s="109" t="s">
        <v>298</v>
      </c>
      <c r="AN8" s="207" t="s">
        <v>299</v>
      </c>
      <c r="AO8" s="109">
        <v>11.35</v>
      </c>
      <c r="AP8" s="109">
        <v>0</v>
      </c>
      <c r="AQ8" s="109">
        <v>2</v>
      </c>
      <c r="AR8" s="109">
        <v>0</v>
      </c>
      <c r="AS8" s="109" t="s">
        <v>252</v>
      </c>
      <c r="AT8" s="109" t="s">
        <v>229</v>
      </c>
      <c r="AU8" s="110">
        <v>46253</v>
      </c>
      <c r="AV8" s="109">
        <v>95.18</v>
      </c>
      <c r="AW8" s="109" t="s">
        <v>230</v>
      </c>
      <c r="AX8" s="109" t="s">
        <v>230</v>
      </c>
      <c r="AY8" s="109">
        <v>1713.74</v>
      </c>
      <c r="AZ8" s="109" t="s">
        <v>232</v>
      </c>
      <c r="BA8" s="109" t="s">
        <v>300</v>
      </c>
      <c r="BB8" s="109">
        <v>95.18</v>
      </c>
      <c r="BC8" s="109">
        <v>83.76</v>
      </c>
      <c r="BD8" s="109">
        <v>95.18</v>
      </c>
      <c r="BE8" s="109">
        <v>11.42</v>
      </c>
      <c r="BF8" s="111">
        <v>0.12</v>
      </c>
      <c r="BG8" s="109">
        <v>0</v>
      </c>
      <c r="BH8" s="109">
        <v>11.35</v>
      </c>
      <c r="BI8" s="109">
        <v>39.7</v>
      </c>
      <c r="BJ8" s="109">
        <v>0</v>
      </c>
      <c r="BK8" s="109">
        <v>17</v>
      </c>
      <c r="BL8" s="109">
        <v>0</v>
      </c>
      <c r="BM8" s="109">
        <v>9.76</v>
      </c>
      <c r="BN8" s="109">
        <v>2.57</v>
      </c>
      <c r="BO8" s="109">
        <v>5.5</v>
      </c>
      <c r="BP8" s="109">
        <v>3.23</v>
      </c>
      <c r="BQ8" s="109">
        <v>0</v>
      </c>
      <c r="BR8" s="109">
        <v>0</v>
      </c>
      <c r="BS8" s="109">
        <v>0</v>
      </c>
      <c r="BT8" s="109">
        <v>0</v>
      </c>
      <c r="BU8" s="109">
        <v>0</v>
      </c>
      <c r="BV8" s="109">
        <v>0</v>
      </c>
      <c r="BW8" s="109">
        <v>0</v>
      </c>
      <c r="BX8" s="109">
        <v>0</v>
      </c>
      <c r="BY8" s="109">
        <v>0</v>
      </c>
      <c r="BZ8" s="109">
        <v>0</v>
      </c>
      <c r="CA8" s="109">
        <v>6</v>
      </c>
      <c r="CB8" s="109" t="s">
        <v>225</v>
      </c>
      <c r="CC8" s="109" t="s">
        <v>295</v>
      </c>
      <c r="CD8" s="109">
        <v>375.17</v>
      </c>
      <c r="CE8" s="109">
        <v>0</v>
      </c>
      <c r="CF8" s="109">
        <v>0</v>
      </c>
      <c r="CG8" s="109">
        <v>0</v>
      </c>
      <c r="CH8" s="109">
        <v>0</v>
      </c>
      <c r="CI8" s="109">
        <v>0</v>
      </c>
      <c r="CJ8" s="109">
        <v>0</v>
      </c>
      <c r="CK8" s="109">
        <v>0</v>
      </c>
      <c r="CL8" s="109"/>
      <c r="CM8" s="109"/>
      <c r="CN8" s="109">
        <v>0</v>
      </c>
      <c r="CO8" s="109">
        <v>0</v>
      </c>
      <c r="CP8" s="109">
        <v>0</v>
      </c>
      <c r="CQ8" s="109">
        <v>0</v>
      </c>
      <c r="CR8" s="109">
        <v>0</v>
      </c>
      <c r="CS8" s="109">
        <v>0</v>
      </c>
      <c r="CT8" s="109">
        <v>0</v>
      </c>
      <c r="CU8" s="109">
        <v>12</v>
      </c>
      <c r="CV8" s="109" t="s">
        <v>254</v>
      </c>
      <c r="CW8" s="109">
        <v>0</v>
      </c>
      <c r="CX8" s="109"/>
      <c r="CY8" s="109">
        <v>18</v>
      </c>
      <c r="CZ8" s="109" t="s">
        <v>254</v>
      </c>
      <c r="DA8" s="109">
        <v>0</v>
      </c>
      <c r="DB8" s="109"/>
      <c r="DE8" s="109">
        <v>0</v>
      </c>
      <c r="DF8" s="109" t="s">
        <v>236</v>
      </c>
      <c r="DG8" s="109" t="s">
        <v>221</v>
      </c>
      <c r="DH8" s="109" t="s">
        <v>220</v>
      </c>
      <c r="DI8" s="109">
        <v>9026067267</v>
      </c>
      <c r="DJ8" s="109" t="s">
        <v>222</v>
      </c>
      <c r="DK8" s="109">
        <v>0</v>
      </c>
      <c r="DL8" s="109" t="s">
        <v>226</v>
      </c>
      <c r="DM8" s="109">
        <v>11.42</v>
      </c>
    </row>
    <row r="9" ht="13.8" hidden="1" spans="1:117">
      <c r="A9" s="109">
        <v>2</v>
      </c>
      <c r="B9" s="109" t="s">
        <v>301</v>
      </c>
      <c r="C9" s="109" t="s">
        <v>203</v>
      </c>
      <c r="D9" s="109" t="s">
        <v>225</v>
      </c>
      <c r="E9" s="109" t="s">
        <v>226</v>
      </c>
      <c r="F9" s="110">
        <v>46237</v>
      </c>
      <c r="G9" s="109" t="s">
        <v>240</v>
      </c>
      <c r="H9" s="109" t="s">
        <v>302</v>
      </c>
      <c r="I9" s="109" t="s">
        <v>216</v>
      </c>
      <c r="J9" s="109" t="s">
        <v>217</v>
      </c>
      <c r="K9" s="109" t="s">
        <v>218</v>
      </c>
      <c r="L9" s="109" t="s">
        <v>219</v>
      </c>
      <c r="M9" s="207" t="s">
        <v>242</v>
      </c>
      <c r="N9" s="109" t="s">
        <v>220</v>
      </c>
      <c r="O9" s="109" t="s">
        <v>221</v>
      </c>
      <c r="P9" s="109" t="s">
        <v>243</v>
      </c>
      <c r="Q9" s="109" t="s">
        <v>216</v>
      </c>
      <c r="R9" s="109" t="s">
        <v>217</v>
      </c>
      <c r="S9" s="109" t="s">
        <v>220</v>
      </c>
      <c r="T9" s="109" t="s">
        <v>221</v>
      </c>
      <c r="U9" s="109" t="s">
        <v>216</v>
      </c>
      <c r="V9" s="109" t="s">
        <v>217</v>
      </c>
      <c r="W9" s="109" t="s">
        <v>218</v>
      </c>
      <c r="X9" s="109" t="s">
        <v>219</v>
      </c>
      <c r="Y9" s="109" t="s">
        <v>220</v>
      </c>
      <c r="Z9" s="109" t="s">
        <v>221</v>
      </c>
      <c r="AA9" s="109" t="s">
        <v>222</v>
      </c>
      <c r="AB9" s="109" t="s">
        <v>223</v>
      </c>
      <c r="AC9" s="109" t="s">
        <v>303</v>
      </c>
      <c r="AD9" s="109" t="s">
        <v>304</v>
      </c>
      <c r="AE9" s="109" t="s">
        <v>305</v>
      </c>
      <c r="AF9" s="109" t="s">
        <v>204</v>
      </c>
      <c r="AG9" s="109" t="s">
        <v>306</v>
      </c>
      <c r="AH9" s="109" t="s">
        <v>214</v>
      </c>
      <c r="AI9" s="109" t="s">
        <v>303</v>
      </c>
      <c r="AJ9" s="109" t="s">
        <v>304</v>
      </c>
      <c r="AK9" s="109" t="s">
        <v>306</v>
      </c>
      <c r="AL9" s="109" t="s">
        <v>214</v>
      </c>
      <c r="AM9" s="109" t="s">
        <v>205</v>
      </c>
      <c r="AN9" s="207" t="s">
        <v>307</v>
      </c>
      <c r="AO9" s="109">
        <v>83.37</v>
      </c>
      <c r="AP9" s="109">
        <v>0</v>
      </c>
      <c r="AQ9" s="109">
        <v>7</v>
      </c>
      <c r="AR9" s="109">
        <v>0</v>
      </c>
      <c r="AS9" s="109" t="s">
        <v>252</v>
      </c>
      <c r="AT9" s="109" t="s">
        <v>229</v>
      </c>
      <c r="AU9" s="110">
        <v>46253</v>
      </c>
      <c r="AV9" s="109">
        <v>177.52</v>
      </c>
      <c r="AW9" s="109" t="s">
        <v>230</v>
      </c>
      <c r="AX9" s="109" t="s">
        <v>230</v>
      </c>
      <c r="AY9" s="109">
        <v>3905.33</v>
      </c>
      <c r="AZ9" s="109" t="s">
        <v>232</v>
      </c>
      <c r="BA9" s="109" t="s">
        <v>308</v>
      </c>
      <c r="BB9" s="109">
        <v>177.52</v>
      </c>
      <c r="BC9" s="109">
        <v>156.22</v>
      </c>
      <c r="BD9" s="109">
        <v>177.52</v>
      </c>
      <c r="BE9" s="109">
        <v>21.3</v>
      </c>
      <c r="BF9" s="111">
        <v>0.12</v>
      </c>
      <c r="BG9" s="109">
        <v>0</v>
      </c>
      <c r="BH9" s="109">
        <v>83.37</v>
      </c>
      <c r="BI9" s="109">
        <v>101.2</v>
      </c>
      <c r="BJ9" s="109">
        <v>0</v>
      </c>
      <c r="BK9" s="109">
        <v>17</v>
      </c>
      <c r="BL9" s="109">
        <v>0</v>
      </c>
      <c r="BM9" s="109">
        <v>9.76</v>
      </c>
      <c r="BN9" s="109">
        <v>5.86</v>
      </c>
      <c r="BO9" s="109">
        <v>5.5</v>
      </c>
      <c r="BP9" s="109">
        <v>3.23</v>
      </c>
      <c r="BQ9" s="109">
        <v>0</v>
      </c>
      <c r="BR9" s="109">
        <v>0</v>
      </c>
      <c r="BS9" s="109">
        <v>0</v>
      </c>
      <c r="BT9" s="109">
        <v>0</v>
      </c>
      <c r="BU9" s="109">
        <v>0</v>
      </c>
      <c r="BV9" s="109">
        <v>0</v>
      </c>
      <c r="BW9" s="109">
        <v>0</v>
      </c>
      <c r="BX9" s="109">
        <v>0</v>
      </c>
      <c r="BY9" s="109">
        <v>0</v>
      </c>
      <c r="BZ9" s="109">
        <v>0</v>
      </c>
      <c r="CA9" s="109">
        <v>13.67</v>
      </c>
      <c r="CB9" s="109" t="s">
        <v>225</v>
      </c>
      <c r="CC9" s="109" t="s">
        <v>204</v>
      </c>
      <c r="CD9" s="109">
        <v>400.72</v>
      </c>
      <c r="CE9" s="109">
        <v>0</v>
      </c>
      <c r="CF9" s="109">
        <v>0</v>
      </c>
      <c r="CG9" s="109">
        <v>0</v>
      </c>
      <c r="CH9" s="109">
        <v>0</v>
      </c>
      <c r="CI9" s="109">
        <v>0</v>
      </c>
      <c r="CJ9" s="109">
        <v>0</v>
      </c>
      <c r="CK9" s="109">
        <v>0</v>
      </c>
      <c r="CL9" s="109"/>
      <c r="CM9" s="109"/>
      <c r="CN9" s="109">
        <v>0</v>
      </c>
      <c r="CO9" s="109">
        <v>0</v>
      </c>
      <c r="CP9" s="109">
        <v>0</v>
      </c>
      <c r="CQ9" s="109">
        <v>0</v>
      </c>
      <c r="CR9" s="109">
        <v>0</v>
      </c>
      <c r="CS9" s="109">
        <v>0</v>
      </c>
      <c r="CT9" s="109">
        <v>0</v>
      </c>
      <c r="CU9" s="109">
        <v>12.51</v>
      </c>
      <c r="CV9" s="109" t="s">
        <v>254</v>
      </c>
      <c r="CW9" s="109">
        <v>0</v>
      </c>
      <c r="CX9" s="109"/>
      <c r="CY9" s="109">
        <v>15</v>
      </c>
      <c r="CZ9" s="109" t="s">
        <v>254</v>
      </c>
      <c r="DA9" s="109">
        <v>0</v>
      </c>
      <c r="DB9" s="109"/>
      <c r="DE9" s="109">
        <v>0</v>
      </c>
      <c r="DF9" s="109" t="s">
        <v>236</v>
      </c>
      <c r="DG9" s="109" t="s">
        <v>221</v>
      </c>
      <c r="DH9" s="109" t="s">
        <v>220</v>
      </c>
      <c r="DI9" s="109">
        <v>9026067267</v>
      </c>
      <c r="DJ9" s="109" t="s">
        <v>222</v>
      </c>
      <c r="DK9" s="109">
        <v>0</v>
      </c>
      <c r="DL9" s="109" t="s">
        <v>226</v>
      </c>
      <c r="DM9" s="109">
        <v>21.3</v>
      </c>
    </row>
    <row r="10" ht="13.8" hidden="1" spans="1:117">
      <c r="A10" s="109">
        <v>2</v>
      </c>
      <c r="B10" s="109" t="s">
        <v>309</v>
      </c>
      <c r="C10" s="109" t="s">
        <v>203</v>
      </c>
      <c r="D10" s="109" t="s">
        <v>225</v>
      </c>
      <c r="E10" s="109" t="s">
        <v>226</v>
      </c>
      <c r="F10" s="110">
        <v>46237</v>
      </c>
      <c r="G10" s="109" t="s">
        <v>240</v>
      </c>
      <c r="H10" s="109" t="s">
        <v>310</v>
      </c>
      <c r="I10" s="109" t="s">
        <v>216</v>
      </c>
      <c r="J10" s="109" t="s">
        <v>217</v>
      </c>
      <c r="K10" s="109" t="s">
        <v>218</v>
      </c>
      <c r="L10" s="109" t="s">
        <v>219</v>
      </c>
      <c r="M10" s="207" t="s">
        <v>242</v>
      </c>
      <c r="N10" s="109" t="s">
        <v>220</v>
      </c>
      <c r="O10" s="109" t="s">
        <v>221</v>
      </c>
      <c r="P10" s="109" t="s">
        <v>243</v>
      </c>
      <c r="Q10" s="109" t="s">
        <v>216</v>
      </c>
      <c r="R10" s="109" t="s">
        <v>217</v>
      </c>
      <c r="S10" s="109" t="s">
        <v>220</v>
      </c>
      <c r="T10" s="109" t="s">
        <v>221</v>
      </c>
      <c r="U10" s="109" t="s">
        <v>216</v>
      </c>
      <c r="V10" s="109" t="s">
        <v>217</v>
      </c>
      <c r="W10" s="109" t="s">
        <v>218</v>
      </c>
      <c r="X10" s="109" t="s">
        <v>219</v>
      </c>
      <c r="Y10" s="109" t="s">
        <v>220</v>
      </c>
      <c r="Z10" s="109" t="s">
        <v>221</v>
      </c>
      <c r="AA10" s="109" t="s">
        <v>222</v>
      </c>
      <c r="AB10" s="109" t="s">
        <v>223</v>
      </c>
      <c r="AC10" s="109" t="s">
        <v>311</v>
      </c>
      <c r="AD10" s="109" t="s">
        <v>245</v>
      </c>
      <c r="AE10" s="109" t="s">
        <v>312</v>
      </c>
      <c r="AF10" s="109" t="s">
        <v>295</v>
      </c>
      <c r="AG10" s="109" t="s">
        <v>313</v>
      </c>
      <c r="AH10" s="109" t="s">
        <v>297</v>
      </c>
      <c r="AI10" s="109" t="s">
        <v>311</v>
      </c>
      <c r="AJ10" s="109" t="s">
        <v>245</v>
      </c>
      <c r="AK10" s="109" t="s">
        <v>313</v>
      </c>
      <c r="AL10" s="109" t="s">
        <v>297</v>
      </c>
      <c r="AM10" s="109" t="s">
        <v>298</v>
      </c>
      <c r="AN10" s="207" t="s">
        <v>314</v>
      </c>
      <c r="AO10" s="109">
        <v>39.4</v>
      </c>
      <c r="AP10" s="109">
        <v>0</v>
      </c>
      <c r="AQ10" s="109">
        <v>4</v>
      </c>
      <c r="AR10" s="109">
        <v>0</v>
      </c>
      <c r="AS10" s="109" t="s">
        <v>252</v>
      </c>
      <c r="AT10" s="109" t="s">
        <v>229</v>
      </c>
      <c r="AU10" s="110">
        <v>46253</v>
      </c>
      <c r="AV10" s="109">
        <v>397</v>
      </c>
      <c r="AW10" s="109" t="s">
        <v>230</v>
      </c>
      <c r="AX10" s="109" t="s">
        <v>230</v>
      </c>
      <c r="AY10" s="109">
        <v>1375.97</v>
      </c>
      <c r="AZ10" s="109" t="s">
        <v>232</v>
      </c>
      <c r="BA10" s="109" t="s">
        <v>300</v>
      </c>
      <c r="BB10" s="109">
        <v>397</v>
      </c>
      <c r="BC10" s="109">
        <v>349.36</v>
      </c>
      <c r="BD10" s="109">
        <v>397</v>
      </c>
      <c r="BE10" s="109">
        <v>47.64</v>
      </c>
      <c r="BF10" s="111">
        <v>0.12</v>
      </c>
      <c r="BG10" s="109">
        <v>0</v>
      </c>
      <c r="BH10" s="109">
        <v>39.4</v>
      </c>
      <c r="BI10" s="109">
        <v>56.8</v>
      </c>
      <c r="BJ10" s="109">
        <v>0</v>
      </c>
      <c r="BK10" s="109">
        <v>17</v>
      </c>
      <c r="BL10" s="109">
        <v>0</v>
      </c>
      <c r="BM10" s="109">
        <v>9.76</v>
      </c>
      <c r="BN10" s="109">
        <v>2.25</v>
      </c>
      <c r="BO10" s="109">
        <v>5.5</v>
      </c>
      <c r="BP10" s="109">
        <v>3.23</v>
      </c>
      <c r="BQ10" s="109">
        <v>0</v>
      </c>
      <c r="BR10" s="109">
        <v>0</v>
      </c>
      <c r="BS10" s="109">
        <v>0</v>
      </c>
      <c r="BT10" s="109">
        <v>0</v>
      </c>
      <c r="BU10" s="109">
        <v>0</v>
      </c>
      <c r="BV10" s="109">
        <v>0</v>
      </c>
      <c r="BW10" s="109">
        <v>0</v>
      </c>
      <c r="BX10" s="109">
        <v>250</v>
      </c>
      <c r="BY10" s="109">
        <v>0</v>
      </c>
      <c r="BZ10" s="109">
        <v>0</v>
      </c>
      <c r="CA10" s="109">
        <v>4.82</v>
      </c>
      <c r="CB10" s="109" t="s">
        <v>225</v>
      </c>
      <c r="CC10" s="109" t="s">
        <v>295</v>
      </c>
      <c r="CD10" s="109">
        <v>371.76</v>
      </c>
      <c r="CE10" s="109">
        <v>0</v>
      </c>
      <c r="CF10" s="109">
        <v>0</v>
      </c>
      <c r="CG10" s="109">
        <v>0</v>
      </c>
      <c r="CH10" s="109">
        <v>0</v>
      </c>
      <c r="CI10" s="109">
        <v>0</v>
      </c>
      <c r="CJ10" s="109">
        <v>0</v>
      </c>
      <c r="CK10" s="109">
        <v>0</v>
      </c>
      <c r="CL10" s="109"/>
      <c r="CM10" s="109"/>
      <c r="CN10" s="109">
        <v>0</v>
      </c>
      <c r="CO10" s="109">
        <v>0</v>
      </c>
      <c r="CP10" s="109">
        <v>0</v>
      </c>
      <c r="CQ10" s="109">
        <v>0</v>
      </c>
      <c r="CR10" s="109">
        <v>0</v>
      </c>
      <c r="CS10" s="109">
        <v>0</v>
      </c>
      <c r="CT10" s="109">
        <v>0</v>
      </c>
      <c r="CU10" s="109">
        <v>12</v>
      </c>
      <c r="CV10" s="109" t="s">
        <v>254</v>
      </c>
      <c r="CW10" s="109">
        <v>0</v>
      </c>
      <c r="CX10" s="109"/>
      <c r="CY10" s="109">
        <v>18</v>
      </c>
      <c r="CZ10" s="109" t="s">
        <v>254</v>
      </c>
      <c r="DA10" s="109">
        <v>0</v>
      </c>
      <c r="DB10" s="109"/>
      <c r="DE10" s="109">
        <v>0</v>
      </c>
      <c r="DF10" s="109" t="s">
        <v>236</v>
      </c>
      <c r="DG10" s="109" t="s">
        <v>221</v>
      </c>
      <c r="DH10" s="109" t="s">
        <v>220</v>
      </c>
      <c r="DI10" s="109">
        <v>9026067267</v>
      </c>
      <c r="DJ10" s="109" t="s">
        <v>222</v>
      </c>
      <c r="DK10" s="109">
        <v>0</v>
      </c>
      <c r="DL10" s="109" t="s">
        <v>226</v>
      </c>
      <c r="DM10" s="109">
        <v>47.64</v>
      </c>
    </row>
    <row r="11" ht="13.8" hidden="1" spans="1:117">
      <c r="A11" s="109">
        <v>2</v>
      </c>
      <c r="B11" s="109" t="s">
        <v>315</v>
      </c>
      <c r="C11" s="109" t="s">
        <v>203</v>
      </c>
      <c r="D11" s="109" t="s">
        <v>225</v>
      </c>
      <c r="E11" s="109" t="s">
        <v>226</v>
      </c>
      <c r="F11" s="110">
        <v>46237</v>
      </c>
      <c r="G11" s="109" t="s">
        <v>240</v>
      </c>
      <c r="H11" s="109" t="s">
        <v>316</v>
      </c>
      <c r="I11" s="109" t="s">
        <v>216</v>
      </c>
      <c r="J11" s="109" t="s">
        <v>217</v>
      </c>
      <c r="K11" s="109" t="s">
        <v>218</v>
      </c>
      <c r="L11" s="109" t="s">
        <v>219</v>
      </c>
      <c r="M11" s="207" t="s">
        <v>242</v>
      </c>
      <c r="N11" s="109" t="s">
        <v>220</v>
      </c>
      <c r="O11" s="109" t="s">
        <v>221</v>
      </c>
      <c r="P11" s="109" t="s">
        <v>243</v>
      </c>
      <c r="Q11" s="109" t="s">
        <v>216</v>
      </c>
      <c r="R11" s="109" t="s">
        <v>217</v>
      </c>
      <c r="S11" s="109" t="s">
        <v>220</v>
      </c>
      <c r="T11" s="109" t="s">
        <v>221</v>
      </c>
      <c r="U11" s="109" t="s">
        <v>216</v>
      </c>
      <c r="V11" s="109" t="s">
        <v>217</v>
      </c>
      <c r="W11" s="109" t="s">
        <v>218</v>
      </c>
      <c r="X11" s="109" t="s">
        <v>219</v>
      </c>
      <c r="Y11" s="109" t="s">
        <v>220</v>
      </c>
      <c r="Z11" s="109" t="s">
        <v>221</v>
      </c>
      <c r="AA11" s="109" t="s">
        <v>222</v>
      </c>
      <c r="AB11" s="109" t="s">
        <v>223</v>
      </c>
      <c r="AC11" s="109" t="s">
        <v>317</v>
      </c>
      <c r="AD11" s="109" t="s">
        <v>318</v>
      </c>
      <c r="AE11" s="109" t="s">
        <v>319</v>
      </c>
      <c r="AF11" s="109" t="s">
        <v>247</v>
      </c>
      <c r="AG11" s="109" t="s">
        <v>320</v>
      </c>
      <c r="AH11" s="109" t="s">
        <v>249</v>
      </c>
      <c r="AI11" s="109" t="s">
        <v>317</v>
      </c>
      <c r="AJ11" s="109" t="s">
        <v>318</v>
      </c>
      <c r="AK11" s="109" t="s">
        <v>320</v>
      </c>
      <c r="AL11" s="109" t="s">
        <v>249</v>
      </c>
      <c r="AM11" s="109" t="s">
        <v>250</v>
      </c>
      <c r="AN11" s="207" t="s">
        <v>321</v>
      </c>
      <c r="AO11" s="109">
        <v>55.6</v>
      </c>
      <c r="AP11" s="109">
        <v>0</v>
      </c>
      <c r="AQ11" s="109">
        <v>9</v>
      </c>
      <c r="AR11" s="109">
        <v>0</v>
      </c>
      <c r="AS11" s="109" t="s">
        <v>252</v>
      </c>
      <c r="AT11" s="109" t="s">
        <v>229</v>
      </c>
      <c r="AU11" s="110">
        <v>46253</v>
      </c>
      <c r="AV11" s="109">
        <v>429.09</v>
      </c>
      <c r="AW11" s="109" t="s">
        <v>230</v>
      </c>
      <c r="AX11" s="109" t="s">
        <v>230</v>
      </c>
      <c r="AY11" s="109">
        <v>1903.24</v>
      </c>
      <c r="AZ11" s="109" t="s">
        <v>232</v>
      </c>
      <c r="BA11" s="109" t="s">
        <v>253</v>
      </c>
      <c r="BB11" s="109">
        <v>429.09</v>
      </c>
      <c r="BC11" s="109">
        <v>377.6</v>
      </c>
      <c r="BD11" s="109">
        <v>429.09</v>
      </c>
      <c r="BE11" s="109">
        <v>51.49</v>
      </c>
      <c r="BF11" s="111">
        <v>0.12</v>
      </c>
      <c r="BG11" s="109">
        <v>0</v>
      </c>
      <c r="BH11" s="109">
        <v>55.6</v>
      </c>
      <c r="BI11" s="109">
        <v>82.6</v>
      </c>
      <c r="BJ11" s="109">
        <v>0</v>
      </c>
      <c r="BK11" s="109">
        <v>17</v>
      </c>
      <c r="BL11" s="109">
        <v>0</v>
      </c>
      <c r="BM11" s="109">
        <v>9.76</v>
      </c>
      <c r="BN11" s="109">
        <v>2.85</v>
      </c>
      <c r="BO11" s="109">
        <v>5.5</v>
      </c>
      <c r="BP11" s="109">
        <v>3.23</v>
      </c>
      <c r="BQ11" s="109">
        <v>0</v>
      </c>
      <c r="BR11" s="109">
        <v>0</v>
      </c>
      <c r="BS11" s="109">
        <v>0</v>
      </c>
      <c r="BT11" s="109">
        <v>0</v>
      </c>
      <c r="BU11" s="109">
        <v>0</v>
      </c>
      <c r="BV11" s="109">
        <v>0</v>
      </c>
      <c r="BW11" s="109">
        <v>0</v>
      </c>
      <c r="BX11" s="109">
        <v>250</v>
      </c>
      <c r="BY11" s="109">
        <v>0</v>
      </c>
      <c r="BZ11" s="109">
        <v>0</v>
      </c>
      <c r="CA11" s="109">
        <v>6.66</v>
      </c>
      <c r="CB11" s="109" t="s">
        <v>225</v>
      </c>
      <c r="CC11" s="109" t="s">
        <v>247</v>
      </c>
      <c r="CD11" s="109">
        <v>377.02</v>
      </c>
      <c r="CE11" s="109">
        <v>0</v>
      </c>
      <c r="CF11" s="109">
        <v>0</v>
      </c>
      <c r="CG11" s="109">
        <v>0</v>
      </c>
      <c r="CH11" s="109">
        <v>0</v>
      </c>
      <c r="CI11" s="109">
        <v>0</v>
      </c>
      <c r="CJ11" s="109">
        <v>0</v>
      </c>
      <c r="CK11" s="109">
        <v>0</v>
      </c>
      <c r="CL11" s="109"/>
      <c r="CM11" s="109"/>
      <c r="CN11" s="109">
        <v>0</v>
      </c>
      <c r="CO11" s="109">
        <v>0</v>
      </c>
      <c r="CP11" s="109">
        <v>0</v>
      </c>
      <c r="CQ11" s="109">
        <v>0</v>
      </c>
      <c r="CR11" s="109">
        <v>0</v>
      </c>
      <c r="CS11" s="109">
        <v>0</v>
      </c>
      <c r="CT11" s="109">
        <v>0</v>
      </c>
      <c r="CU11" s="109">
        <v>12</v>
      </c>
      <c r="CV11" s="109" t="s">
        <v>254</v>
      </c>
      <c r="CW11" s="109">
        <v>0</v>
      </c>
      <c r="CX11" s="109"/>
      <c r="CY11" s="109">
        <v>18</v>
      </c>
      <c r="CZ11" s="109" t="s">
        <v>254</v>
      </c>
      <c r="DA11" s="109">
        <v>0</v>
      </c>
      <c r="DB11" s="109"/>
      <c r="DE11" s="109">
        <v>0</v>
      </c>
      <c r="DF11" s="109" t="s">
        <v>236</v>
      </c>
      <c r="DG11" s="109" t="s">
        <v>221</v>
      </c>
      <c r="DH11" s="109" t="s">
        <v>220</v>
      </c>
      <c r="DI11" s="109">
        <v>9026067267</v>
      </c>
      <c r="DJ11" s="109" t="s">
        <v>222</v>
      </c>
      <c r="DK11" s="109">
        <v>0</v>
      </c>
      <c r="DL11" s="109" t="s">
        <v>226</v>
      </c>
      <c r="DM11" s="109">
        <v>51.49</v>
      </c>
    </row>
    <row r="12" ht="13.8" hidden="1" spans="1:117">
      <c r="A12" s="109">
        <v>2</v>
      </c>
      <c r="B12" s="109" t="s">
        <v>322</v>
      </c>
      <c r="C12" s="109" t="s">
        <v>203</v>
      </c>
      <c r="D12" s="109" t="s">
        <v>225</v>
      </c>
      <c r="E12" s="109" t="s">
        <v>226</v>
      </c>
      <c r="F12" s="110">
        <v>46238</v>
      </c>
      <c r="G12" s="109" t="s">
        <v>240</v>
      </c>
      <c r="H12" s="109" t="s">
        <v>323</v>
      </c>
      <c r="I12" s="109" t="s">
        <v>216</v>
      </c>
      <c r="J12" s="109" t="s">
        <v>217</v>
      </c>
      <c r="K12" s="109" t="s">
        <v>218</v>
      </c>
      <c r="L12" s="109" t="s">
        <v>219</v>
      </c>
      <c r="M12" s="207" t="s">
        <v>242</v>
      </c>
      <c r="N12" s="109" t="s">
        <v>220</v>
      </c>
      <c r="O12" s="109" t="s">
        <v>221</v>
      </c>
      <c r="P12" s="109" t="s">
        <v>243</v>
      </c>
      <c r="Q12" s="109" t="s">
        <v>216</v>
      </c>
      <c r="R12" s="109" t="s">
        <v>217</v>
      </c>
      <c r="S12" s="109" t="s">
        <v>220</v>
      </c>
      <c r="T12" s="109" t="s">
        <v>221</v>
      </c>
      <c r="U12" s="109" t="s">
        <v>216</v>
      </c>
      <c r="V12" s="109" t="s">
        <v>217</v>
      </c>
      <c r="W12" s="109" t="s">
        <v>218</v>
      </c>
      <c r="X12" s="109" t="s">
        <v>219</v>
      </c>
      <c r="Y12" s="109" t="s">
        <v>220</v>
      </c>
      <c r="Z12" s="109" t="s">
        <v>221</v>
      </c>
      <c r="AA12" s="109" t="s">
        <v>222</v>
      </c>
      <c r="AB12" s="109" t="s">
        <v>223</v>
      </c>
      <c r="AC12" s="109" t="s">
        <v>324</v>
      </c>
      <c r="AD12" s="109" t="s">
        <v>325</v>
      </c>
      <c r="AE12" s="109" t="s">
        <v>246</v>
      </c>
      <c r="AF12" s="109" t="s">
        <v>247</v>
      </c>
      <c r="AG12" s="109" t="s">
        <v>248</v>
      </c>
      <c r="AH12" s="109" t="s">
        <v>249</v>
      </c>
      <c r="AI12" s="109" t="s">
        <v>324</v>
      </c>
      <c r="AJ12" s="109" t="s">
        <v>325</v>
      </c>
      <c r="AK12" s="109" t="s">
        <v>248</v>
      </c>
      <c r="AL12" s="109" t="s">
        <v>249</v>
      </c>
      <c r="AM12" s="109" t="s">
        <v>250</v>
      </c>
      <c r="AN12" s="207" t="s">
        <v>326</v>
      </c>
      <c r="AO12" s="109">
        <v>125.756</v>
      </c>
      <c r="AP12" s="109">
        <v>0</v>
      </c>
      <c r="AQ12" s="109">
        <v>13</v>
      </c>
      <c r="AR12" s="109">
        <v>0</v>
      </c>
      <c r="AS12" s="109" t="s">
        <v>252</v>
      </c>
      <c r="AT12" s="109" t="s">
        <v>229</v>
      </c>
      <c r="AU12" s="110">
        <v>46253</v>
      </c>
      <c r="AV12" s="109">
        <v>196.3</v>
      </c>
      <c r="AW12" s="109" t="s">
        <v>230</v>
      </c>
      <c r="AX12" s="109" t="s">
        <v>230</v>
      </c>
      <c r="AY12" s="109">
        <v>3711.94</v>
      </c>
      <c r="AZ12" s="109" t="s">
        <v>232</v>
      </c>
      <c r="BA12" s="109" t="s">
        <v>253</v>
      </c>
      <c r="BB12" s="109">
        <v>196.3</v>
      </c>
      <c r="BC12" s="109">
        <v>172.74</v>
      </c>
      <c r="BD12" s="109">
        <v>196.3</v>
      </c>
      <c r="BE12" s="109">
        <v>23.56</v>
      </c>
      <c r="BF12" s="111">
        <v>0.12</v>
      </c>
      <c r="BG12" s="109">
        <v>0</v>
      </c>
      <c r="BH12" s="109">
        <v>125.756</v>
      </c>
      <c r="BI12" s="109">
        <v>113.19</v>
      </c>
      <c r="BJ12" s="109">
        <v>0</v>
      </c>
      <c r="BK12" s="109">
        <v>17</v>
      </c>
      <c r="BL12" s="109">
        <v>0</v>
      </c>
      <c r="BM12" s="109">
        <v>9.76</v>
      </c>
      <c r="BN12" s="109">
        <v>5.57</v>
      </c>
      <c r="BO12" s="109">
        <v>11</v>
      </c>
      <c r="BP12" s="109">
        <v>3.23</v>
      </c>
      <c r="BQ12" s="109">
        <v>0</v>
      </c>
      <c r="BR12" s="109">
        <v>0</v>
      </c>
      <c r="BS12" s="109">
        <v>0</v>
      </c>
      <c r="BT12" s="109">
        <v>0</v>
      </c>
      <c r="BU12" s="109">
        <v>0</v>
      </c>
      <c r="BV12" s="109">
        <v>0</v>
      </c>
      <c r="BW12" s="109">
        <v>0</v>
      </c>
      <c r="BX12" s="109">
        <v>0</v>
      </c>
      <c r="BY12" s="109">
        <v>0</v>
      </c>
      <c r="BZ12" s="109">
        <v>0</v>
      </c>
      <c r="CA12" s="109">
        <v>12.99</v>
      </c>
      <c r="CB12" s="109" t="s">
        <v>225</v>
      </c>
      <c r="CC12" s="109" t="s">
        <v>247</v>
      </c>
      <c r="CD12" s="109">
        <v>398.26</v>
      </c>
      <c r="CE12" s="109">
        <v>0</v>
      </c>
      <c r="CF12" s="109">
        <v>0</v>
      </c>
      <c r="CG12" s="109">
        <v>0</v>
      </c>
      <c r="CH12" s="109">
        <v>0</v>
      </c>
      <c r="CI12" s="109">
        <v>0</v>
      </c>
      <c r="CJ12" s="109">
        <v>0</v>
      </c>
      <c r="CK12" s="109">
        <v>0</v>
      </c>
      <c r="CL12" s="109"/>
      <c r="CM12" s="109"/>
      <c r="CN12" s="109">
        <v>0</v>
      </c>
      <c r="CO12" s="109">
        <v>0</v>
      </c>
      <c r="CP12" s="109">
        <v>0</v>
      </c>
      <c r="CQ12" s="109">
        <v>0</v>
      </c>
      <c r="CR12" s="109">
        <v>0</v>
      </c>
      <c r="CS12" s="109">
        <v>0</v>
      </c>
      <c r="CT12" s="109">
        <v>0</v>
      </c>
      <c r="CU12" s="109">
        <v>18.86</v>
      </c>
      <c r="CV12" s="109" t="s">
        <v>254</v>
      </c>
      <c r="CW12" s="109">
        <v>0</v>
      </c>
      <c r="CX12" s="109"/>
      <c r="CY12" s="109">
        <v>22.64</v>
      </c>
      <c r="CZ12" s="109" t="s">
        <v>254</v>
      </c>
      <c r="DA12" s="109">
        <v>0</v>
      </c>
      <c r="DB12" s="109"/>
      <c r="DE12" s="109">
        <v>0</v>
      </c>
      <c r="DF12" s="109" t="s">
        <v>236</v>
      </c>
      <c r="DG12" s="109" t="s">
        <v>221</v>
      </c>
      <c r="DH12" s="109" t="s">
        <v>220</v>
      </c>
      <c r="DI12" s="109">
        <v>9026067267</v>
      </c>
      <c r="DJ12" s="109" t="s">
        <v>222</v>
      </c>
      <c r="DK12" s="109">
        <v>0</v>
      </c>
      <c r="DL12" s="109" t="s">
        <v>226</v>
      </c>
      <c r="DM12" s="109">
        <v>23.56</v>
      </c>
    </row>
    <row r="13" ht="13.8" hidden="1" spans="1:117">
      <c r="A13" s="109">
        <v>2</v>
      </c>
      <c r="B13" s="109" t="s">
        <v>327</v>
      </c>
      <c r="C13" s="109" t="s">
        <v>203</v>
      </c>
      <c r="D13" s="109" t="s">
        <v>225</v>
      </c>
      <c r="E13" s="109" t="s">
        <v>226</v>
      </c>
      <c r="F13" s="110">
        <v>46238</v>
      </c>
      <c r="G13" s="109" t="s">
        <v>240</v>
      </c>
      <c r="H13" s="109" t="s">
        <v>328</v>
      </c>
      <c r="I13" s="109" t="s">
        <v>216</v>
      </c>
      <c r="J13" s="109" t="s">
        <v>217</v>
      </c>
      <c r="K13" s="109" t="s">
        <v>218</v>
      </c>
      <c r="L13" s="109" t="s">
        <v>219</v>
      </c>
      <c r="M13" s="207" t="s">
        <v>242</v>
      </c>
      <c r="N13" s="109" t="s">
        <v>220</v>
      </c>
      <c r="O13" s="109" t="s">
        <v>221</v>
      </c>
      <c r="P13" s="109" t="s">
        <v>243</v>
      </c>
      <c r="Q13" s="109" t="s">
        <v>216</v>
      </c>
      <c r="R13" s="109" t="s">
        <v>217</v>
      </c>
      <c r="S13" s="109" t="s">
        <v>220</v>
      </c>
      <c r="T13" s="109" t="s">
        <v>221</v>
      </c>
      <c r="U13" s="109" t="s">
        <v>216</v>
      </c>
      <c r="V13" s="109" t="s">
        <v>217</v>
      </c>
      <c r="W13" s="109" t="s">
        <v>218</v>
      </c>
      <c r="X13" s="109" t="s">
        <v>219</v>
      </c>
      <c r="Y13" s="109" t="s">
        <v>220</v>
      </c>
      <c r="Z13" s="109" t="s">
        <v>221</v>
      </c>
      <c r="AA13" s="109" t="s">
        <v>222</v>
      </c>
      <c r="AB13" s="109" t="s">
        <v>223</v>
      </c>
      <c r="AC13" s="109" t="s">
        <v>329</v>
      </c>
      <c r="AD13" s="109" t="s">
        <v>330</v>
      </c>
      <c r="AE13" s="109">
        <v>384</v>
      </c>
      <c r="AF13" s="109" t="s">
        <v>331</v>
      </c>
      <c r="AG13" s="109" t="s">
        <v>332</v>
      </c>
      <c r="AH13" s="109" t="s">
        <v>214</v>
      </c>
      <c r="AI13" s="109" t="s">
        <v>329</v>
      </c>
      <c r="AJ13" s="109" t="s">
        <v>330</v>
      </c>
      <c r="AK13" s="109" t="s">
        <v>332</v>
      </c>
      <c r="AL13" s="109" t="s">
        <v>214</v>
      </c>
      <c r="AM13" s="109" t="s">
        <v>333</v>
      </c>
      <c r="AN13" s="207" t="s">
        <v>334</v>
      </c>
      <c r="AO13" s="109">
        <v>235.713</v>
      </c>
      <c r="AP13" s="109">
        <v>0</v>
      </c>
      <c r="AQ13" s="109">
        <v>19</v>
      </c>
      <c r="AR13" s="109">
        <v>0</v>
      </c>
      <c r="AS13" s="109" t="s">
        <v>252</v>
      </c>
      <c r="AT13" s="109" t="s">
        <v>229</v>
      </c>
      <c r="AU13" s="110">
        <v>46253</v>
      </c>
      <c r="AV13" s="109">
        <v>422.6</v>
      </c>
      <c r="AW13" s="109" t="s">
        <v>230</v>
      </c>
      <c r="AX13" s="109" t="s">
        <v>231</v>
      </c>
      <c r="AY13" s="109">
        <v>8494.14</v>
      </c>
      <c r="AZ13" s="109" t="s">
        <v>232</v>
      </c>
      <c r="BA13" s="109" t="s">
        <v>335</v>
      </c>
      <c r="BB13" s="109">
        <v>422.6</v>
      </c>
      <c r="BC13" s="109">
        <v>371.89</v>
      </c>
      <c r="BD13" s="109">
        <v>422.6</v>
      </c>
      <c r="BE13" s="109">
        <v>50.71</v>
      </c>
      <c r="BF13" s="111">
        <v>0.12</v>
      </c>
      <c r="BG13" s="109">
        <v>0</v>
      </c>
      <c r="BH13" s="109">
        <v>235.713</v>
      </c>
      <c r="BI13" s="109">
        <v>282.93</v>
      </c>
      <c r="BJ13" s="109">
        <v>0</v>
      </c>
      <c r="BK13" s="109">
        <v>17</v>
      </c>
      <c r="BL13" s="109">
        <v>0</v>
      </c>
      <c r="BM13" s="109">
        <v>9.76</v>
      </c>
      <c r="BN13" s="109">
        <v>12.74</v>
      </c>
      <c r="BO13" s="109">
        <v>16.5</v>
      </c>
      <c r="BP13" s="109">
        <v>3.23</v>
      </c>
      <c r="BQ13" s="109">
        <v>0</v>
      </c>
      <c r="BR13" s="109">
        <v>0</v>
      </c>
      <c r="BS13" s="109">
        <v>0</v>
      </c>
      <c r="BT13" s="109">
        <v>0</v>
      </c>
      <c r="BU13" s="109">
        <v>0</v>
      </c>
      <c r="BV13" s="109">
        <v>0</v>
      </c>
      <c r="BW13" s="109">
        <v>0</v>
      </c>
      <c r="BX13" s="109">
        <v>0</v>
      </c>
      <c r="BY13" s="109">
        <v>0</v>
      </c>
      <c r="BZ13" s="109">
        <v>0</v>
      </c>
      <c r="CA13" s="109">
        <v>29.73</v>
      </c>
      <c r="CB13" s="109" t="s">
        <v>225</v>
      </c>
      <c r="CC13" s="109" t="s">
        <v>336</v>
      </c>
      <c r="CD13" s="109">
        <v>549.69</v>
      </c>
      <c r="CE13" s="109">
        <v>0</v>
      </c>
      <c r="CF13" s="109">
        <v>0</v>
      </c>
      <c r="CG13" s="109">
        <v>0</v>
      </c>
      <c r="CH13" s="109">
        <v>0</v>
      </c>
      <c r="CI13" s="109">
        <v>0</v>
      </c>
      <c r="CJ13" s="109">
        <v>0</v>
      </c>
      <c r="CK13" s="109">
        <v>0</v>
      </c>
      <c r="CL13" s="109"/>
      <c r="CM13" s="109"/>
      <c r="CN13" s="109">
        <v>0</v>
      </c>
      <c r="CO13" s="109">
        <v>0</v>
      </c>
      <c r="CP13" s="109">
        <v>0</v>
      </c>
      <c r="CQ13" s="109">
        <v>0</v>
      </c>
      <c r="CR13" s="109">
        <v>0</v>
      </c>
      <c r="CS13" s="109">
        <v>0</v>
      </c>
      <c r="CT13" s="109">
        <v>0</v>
      </c>
      <c r="CU13" s="109">
        <v>35.36</v>
      </c>
      <c r="CV13" s="109" t="s">
        <v>254</v>
      </c>
      <c r="CW13" s="109">
        <v>0</v>
      </c>
      <c r="CX13" s="109"/>
      <c r="CY13" s="109">
        <v>169.04</v>
      </c>
      <c r="CZ13" s="109" t="s">
        <v>337</v>
      </c>
      <c r="DA13" s="109">
        <v>161.4</v>
      </c>
      <c r="DB13" s="109">
        <v>232309</v>
      </c>
      <c r="DE13" s="109">
        <v>0</v>
      </c>
      <c r="DF13" s="109" t="s">
        <v>236</v>
      </c>
      <c r="DG13" s="109" t="s">
        <v>221</v>
      </c>
      <c r="DH13" s="109" t="s">
        <v>220</v>
      </c>
      <c r="DI13" s="109">
        <v>9026067267</v>
      </c>
      <c r="DJ13" s="109" t="s">
        <v>222</v>
      </c>
      <c r="DK13" s="109">
        <v>0</v>
      </c>
      <c r="DL13" s="109" t="s">
        <v>226</v>
      </c>
      <c r="DM13" s="109">
        <v>50.71</v>
      </c>
    </row>
    <row r="14" ht="13.8" hidden="1" spans="1:117">
      <c r="A14" s="109">
        <v>2</v>
      </c>
      <c r="B14" s="109" t="s">
        <v>338</v>
      </c>
      <c r="C14" s="109" t="s">
        <v>203</v>
      </c>
      <c r="D14" s="109" t="s">
        <v>225</v>
      </c>
      <c r="E14" s="109" t="s">
        <v>226</v>
      </c>
      <c r="F14" s="110">
        <v>46238</v>
      </c>
      <c r="G14" s="109" t="s">
        <v>240</v>
      </c>
      <c r="H14" s="109" t="s">
        <v>339</v>
      </c>
      <c r="I14" s="109" t="s">
        <v>216</v>
      </c>
      <c r="J14" s="109" t="s">
        <v>217</v>
      </c>
      <c r="K14" s="109" t="s">
        <v>218</v>
      </c>
      <c r="L14" s="109" t="s">
        <v>219</v>
      </c>
      <c r="M14" s="207" t="s">
        <v>242</v>
      </c>
      <c r="N14" s="109" t="s">
        <v>220</v>
      </c>
      <c r="O14" s="109" t="s">
        <v>221</v>
      </c>
      <c r="P14" s="109" t="s">
        <v>243</v>
      </c>
      <c r="Q14" s="109" t="s">
        <v>216</v>
      </c>
      <c r="R14" s="109" t="s">
        <v>217</v>
      </c>
      <c r="S14" s="109" t="s">
        <v>220</v>
      </c>
      <c r="T14" s="109" t="s">
        <v>221</v>
      </c>
      <c r="U14" s="109" t="s">
        <v>216</v>
      </c>
      <c r="V14" s="109" t="s">
        <v>217</v>
      </c>
      <c r="W14" s="109" t="s">
        <v>218</v>
      </c>
      <c r="X14" s="109" t="s">
        <v>219</v>
      </c>
      <c r="Y14" s="109" t="s">
        <v>220</v>
      </c>
      <c r="Z14" s="109" t="s">
        <v>221</v>
      </c>
      <c r="AA14" s="109" t="s">
        <v>222</v>
      </c>
      <c r="AB14" s="109" t="s">
        <v>223</v>
      </c>
      <c r="AC14" s="109" t="s">
        <v>340</v>
      </c>
      <c r="AD14" s="109" t="s">
        <v>341</v>
      </c>
      <c r="AE14" s="109">
        <v>395</v>
      </c>
      <c r="AF14" s="109" t="s">
        <v>342</v>
      </c>
      <c r="AG14" s="109" t="s">
        <v>343</v>
      </c>
      <c r="AH14" s="109" t="s">
        <v>214</v>
      </c>
      <c r="AI14" s="109" t="s">
        <v>340</v>
      </c>
      <c r="AJ14" s="109" t="s">
        <v>341</v>
      </c>
      <c r="AK14" s="109" t="s">
        <v>343</v>
      </c>
      <c r="AL14" s="109" t="s">
        <v>214</v>
      </c>
      <c r="AM14" s="109" t="s">
        <v>344</v>
      </c>
      <c r="AN14" s="207" t="s">
        <v>345</v>
      </c>
      <c r="AO14" s="109">
        <v>210.65</v>
      </c>
      <c r="AP14" s="109">
        <v>0</v>
      </c>
      <c r="AQ14" s="109">
        <v>17</v>
      </c>
      <c r="AR14" s="109">
        <v>0</v>
      </c>
      <c r="AS14" s="109" t="s">
        <v>252</v>
      </c>
      <c r="AT14" s="109" t="s">
        <v>229</v>
      </c>
      <c r="AU14" s="110">
        <v>46253</v>
      </c>
      <c r="AV14" s="109">
        <v>375.43</v>
      </c>
      <c r="AW14" s="109" t="s">
        <v>230</v>
      </c>
      <c r="AX14" s="109" t="s">
        <v>230</v>
      </c>
      <c r="AY14" s="109">
        <v>6209.05</v>
      </c>
      <c r="AZ14" s="109" t="s">
        <v>232</v>
      </c>
      <c r="BA14" s="109" t="s">
        <v>346</v>
      </c>
      <c r="BB14" s="109">
        <v>375.43</v>
      </c>
      <c r="BC14" s="109">
        <v>330.38</v>
      </c>
      <c r="BD14" s="109">
        <v>375.43</v>
      </c>
      <c r="BE14" s="109">
        <v>45.05</v>
      </c>
      <c r="BF14" s="111">
        <v>0.12</v>
      </c>
      <c r="BG14" s="109">
        <v>0</v>
      </c>
      <c r="BH14" s="109">
        <v>210.65</v>
      </c>
      <c r="BI14" s="109">
        <v>252.85</v>
      </c>
      <c r="BJ14" s="109">
        <v>0</v>
      </c>
      <c r="BK14" s="109">
        <v>17</v>
      </c>
      <c r="BL14" s="109">
        <v>0</v>
      </c>
      <c r="BM14" s="109">
        <v>9.76</v>
      </c>
      <c r="BN14" s="109">
        <v>9.31</v>
      </c>
      <c r="BO14" s="109">
        <v>16.5</v>
      </c>
      <c r="BP14" s="109">
        <v>3.23</v>
      </c>
      <c r="BQ14" s="109">
        <v>0</v>
      </c>
      <c r="BR14" s="109">
        <v>0</v>
      </c>
      <c r="BS14" s="109">
        <v>0</v>
      </c>
      <c r="BT14" s="109">
        <v>0</v>
      </c>
      <c r="BU14" s="109">
        <v>0</v>
      </c>
      <c r="BV14" s="109">
        <v>0</v>
      </c>
      <c r="BW14" s="109">
        <v>0</v>
      </c>
      <c r="BX14" s="109">
        <v>0</v>
      </c>
      <c r="BY14" s="109">
        <v>0</v>
      </c>
      <c r="BZ14" s="109">
        <v>0</v>
      </c>
      <c r="CA14" s="109">
        <v>21.73</v>
      </c>
      <c r="CB14" s="109" t="s">
        <v>225</v>
      </c>
      <c r="CC14" s="109" t="s">
        <v>347</v>
      </c>
      <c r="CD14" s="109">
        <v>457.34</v>
      </c>
      <c r="CE14" s="109">
        <v>0</v>
      </c>
      <c r="CF14" s="109">
        <v>0</v>
      </c>
      <c r="CG14" s="109">
        <v>0</v>
      </c>
      <c r="CH14" s="109">
        <v>0</v>
      </c>
      <c r="CI14" s="109">
        <v>0</v>
      </c>
      <c r="CJ14" s="109">
        <v>0</v>
      </c>
      <c r="CK14" s="109">
        <v>0</v>
      </c>
      <c r="CL14" s="109"/>
      <c r="CM14" s="109"/>
      <c r="CN14" s="109">
        <v>0</v>
      </c>
      <c r="CO14" s="109">
        <v>0</v>
      </c>
      <c r="CP14" s="109">
        <v>0</v>
      </c>
      <c r="CQ14" s="109">
        <v>0</v>
      </c>
      <c r="CR14" s="109">
        <v>0</v>
      </c>
      <c r="CS14" s="109">
        <v>0</v>
      </c>
      <c r="CT14" s="109">
        <v>0</v>
      </c>
      <c r="CU14" s="109">
        <v>31.6</v>
      </c>
      <c r="CV14" s="109" t="s">
        <v>254</v>
      </c>
      <c r="CW14" s="109">
        <v>0</v>
      </c>
      <c r="CX14" s="109"/>
      <c r="CY14" s="109">
        <v>112.63</v>
      </c>
      <c r="CZ14" s="109" t="s">
        <v>289</v>
      </c>
      <c r="DA14" s="109">
        <f>CY14</f>
        <v>112.63</v>
      </c>
      <c r="DB14" s="109"/>
      <c r="DE14" s="109">
        <v>0</v>
      </c>
      <c r="DF14" s="109" t="s">
        <v>236</v>
      </c>
      <c r="DG14" s="109" t="s">
        <v>221</v>
      </c>
      <c r="DH14" s="109" t="s">
        <v>220</v>
      </c>
      <c r="DI14" s="109">
        <v>9026067267</v>
      </c>
      <c r="DJ14" s="109" t="s">
        <v>222</v>
      </c>
      <c r="DK14" s="109">
        <v>0</v>
      </c>
      <c r="DL14" s="109" t="s">
        <v>226</v>
      </c>
      <c r="DM14" s="109">
        <v>45.05</v>
      </c>
    </row>
    <row r="15" ht="13.8" hidden="1" spans="1:117">
      <c r="A15" s="109">
        <v>2</v>
      </c>
      <c r="B15" s="109" t="s">
        <v>348</v>
      </c>
      <c r="C15" s="109" t="s">
        <v>203</v>
      </c>
      <c r="D15" s="109" t="s">
        <v>225</v>
      </c>
      <c r="E15" s="109" t="s">
        <v>226</v>
      </c>
      <c r="F15" s="110">
        <v>46238</v>
      </c>
      <c r="G15" s="109" t="s">
        <v>240</v>
      </c>
      <c r="H15" s="109" t="s">
        <v>349</v>
      </c>
      <c r="I15" s="109" t="s">
        <v>216</v>
      </c>
      <c r="J15" s="109" t="s">
        <v>217</v>
      </c>
      <c r="K15" s="109" t="s">
        <v>218</v>
      </c>
      <c r="L15" s="109" t="s">
        <v>219</v>
      </c>
      <c r="M15" s="207" t="s">
        <v>242</v>
      </c>
      <c r="N15" s="109" t="s">
        <v>220</v>
      </c>
      <c r="O15" s="109" t="s">
        <v>221</v>
      </c>
      <c r="P15" s="109" t="s">
        <v>243</v>
      </c>
      <c r="Q15" s="109" t="s">
        <v>216</v>
      </c>
      <c r="R15" s="109" t="s">
        <v>217</v>
      </c>
      <c r="S15" s="109" t="s">
        <v>220</v>
      </c>
      <c r="T15" s="109" t="s">
        <v>221</v>
      </c>
      <c r="U15" s="109" t="s">
        <v>216</v>
      </c>
      <c r="V15" s="109" t="s">
        <v>217</v>
      </c>
      <c r="W15" s="109" t="s">
        <v>218</v>
      </c>
      <c r="X15" s="109" t="s">
        <v>219</v>
      </c>
      <c r="Y15" s="109" t="s">
        <v>220</v>
      </c>
      <c r="Z15" s="109" t="s">
        <v>221</v>
      </c>
      <c r="AA15" s="109" t="s">
        <v>222</v>
      </c>
      <c r="AB15" s="109" t="s">
        <v>223</v>
      </c>
      <c r="AC15" s="109" t="s">
        <v>350</v>
      </c>
      <c r="AD15" s="109" t="s">
        <v>351</v>
      </c>
      <c r="AE15" s="109">
        <v>256</v>
      </c>
      <c r="AF15" s="109" t="s">
        <v>352</v>
      </c>
      <c r="AG15" s="109" t="s">
        <v>353</v>
      </c>
      <c r="AH15" s="109" t="s">
        <v>249</v>
      </c>
      <c r="AI15" s="109" t="s">
        <v>350</v>
      </c>
      <c r="AJ15" s="109" t="s">
        <v>351</v>
      </c>
      <c r="AK15" s="109" t="s">
        <v>353</v>
      </c>
      <c r="AL15" s="109" t="s">
        <v>249</v>
      </c>
      <c r="AM15" s="109" t="s">
        <v>354</v>
      </c>
      <c r="AN15" s="207" t="s">
        <v>355</v>
      </c>
      <c r="AO15" s="109">
        <v>80.92</v>
      </c>
      <c r="AP15" s="109">
        <v>0</v>
      </c>
      <c r="AQ15" s="109">
        <v>10</v>
      </c>
      <c r="AR15" s="109">
        <v>0</v>
      </c>
      <c r="AS15" s="109" t="s">
        <v>252</v>
      </c>
      <c r="AT15" s="109" t="s">
        <v>229</v>
      </c>
      <c r="AU15" s="110">
        <v>46253</v>
      </c>
      <c r="AV15" s="109">
        <v>210.13</v>
      </c>
      <c r="AW15" s="109" t="s">
        <v>230</v>
      </c>
      <c r="AX15" s="109" t="s">
        <v>230</v>
      </c>
      <c r="AY15" s="109">
        <v>3835.45</v>
      </c>
      <c r="AZ15" s="109" t="s">
        <v>232</v>
      </c>
      <c r="BA15" s="109" t="s">
        <v>356</v>
      </c>
      <c r="BB15" s="109">
        <v>210.13</v>
      </c>
      <c r="BC15" s="109">
        <v>184.91</v>
      </c>
      <c r="BD15" s="109">
        <v>210.13</v>
      </c>
      <c r="BE15" s="109">
        <v>25.22</v>
      </c>
      <c r="BF15" s="111">
        <v>0.12</v>
      </c>
      <c r="BG15" s="109">
        <v>0</v>
      </c>
      <c r="BH15" s="109">
        <v>80.92</v>
      </c>
      <c r="BI15" s="109">
        <v>130.25</v>
      </c>
      <c r="BJ15" s="109">
        <v>0</v>
      </c>
      <c r="BK15" s="109">
        <v>17</v>
      </c>
      <c r="BL15" s="109">
        <v>0</v>
      </c>
      <c r="BM15" s="109">
        <v>9.76</v>
      </c>
      <c r="BN15" s="109">
        <v>5.75</v>
      </c>
      <c r="BO15" s="109">
        <v>5.5</v>
      </c>
      <c r="BP15" s="109">
        <v>3.23</v>
      </c>
      <c r="BQ15" s="109">
        <v>0</v>
      </c>
      <c r="BR15" s="109">
        <v>0</v>
      </c>
      <c r="BS15" s="109">
        <v>0</v>
      </c>
      <c r="BT15" s="109">
        <v>0</v>
      </c>
      <c r="BU15" s="109">
        <v>0</v>
      </c>
      <c r="BV15" s="109">
        <v>0</v>
      </c>
      <c r="BW15" s="109">
        <v>0</v>
      </c>
      <c r="BX15" s="109">
        <v>0</v>
      </c>
      <c r="BY15" s="109">
        <v>0</v>
      </c>
      <c r="BZ15" s="109">
        <v>0</v>
      </c>
      <c r="CA15" s="109">
        <v>13.42</v>
      </c>
      <c r="CB15" s="109" t="s">
        <v>225</v>
      </c>
      <c r="CC15" s="109" t="s">
        <v>357</v>
      </c>
      <c r="CD15" s="109">
        <v>399.87</v>
      </c>
      <c r="CE15" s="109">
        <v>0</v>
      </c>
      <c r="CF15" s="109">
        <v>0</v>
      </c>
      <c r="CG15" s="109">
        <v>0</v>
      </c>
      <c r="CH15" s="109">
        <v>0</v>
      </c>
      <c r="CI15" s="109">
        <v>0</v>
      </c>
      <c r="CJ15" s="109">
        <v>0</v>
      </c>
      <c r="CK15" s="109">
        <v>0</v>
      </c>
      <c r="CL15" s="109"/>
      <c r="CM15" s="109"/>
      <c r="CN15" s="109">
        <v>0</v>
      </c>
      <c r="CO15" s="109">
        <v>0</v>
      </c>
      <c r="CP15" s="109">
        <v>0</v>
      </c>
      <c r="CQ15" s="109">
        <v>0</v>
      </c>
      <c r="CR15" s="109">
        <v>0</v>
      </c>
      <c r="CS15" s="109">
        <v>0</v>
      </c>
      <c r="CT15" s="109">
        <v>0</v>
      </c>
      <c r="CU15" s="109">
        <v>12.14</v>
      </c>
      <c r="CV15" s="109" t="s">
        <v>254</v>
      </c>
      <c r="CW15" s="109">
        <v>0</v>
      </c>
      <c r="CX15" s="109"/>
      <c r="CY15" s="109">
        <v>68.82</v>
      </c>
      <c r="CZ15" s="109" t="s">
        <v>358</v>
      </c>
      <c r="DA15" s="109">
        <v>68.82</v>
      </c>
      <c r="DB15" s="207" t="s">
        <v>359</v>
      </c>
      <c r="DE15" s="109">
        <v>0</v>
      </c>
      <c r="DF15" s="109" t="s">
        <v>236</v>
      </c>
      <c r="DG15" s="109" t="s">
        <v>221</v>
      </c>
      <c r="DH15" s="109" t="s">
        <v>220</v>
      </c>
      <c r="DI15" s="109">
        <v>9026067267</v>
      </c>
      <c r="DJ15" s="109" t="s">
        <v>222</v>
      </c>
      <c r="DK15" s="109">
        <v>0</v>
      </c>
      <c r="DL15" s="109" t="s">
        <v>226</v>
      </c>
      <c r="DM15" s="109">
        <v>25.22</v>
      </c>
    </row>
    <row r="16" ht="13.8" hidden="1" spans="1:117">
      <c r="A16" s="109">
        <v>2</v>
      </c>
      <c r="B16" s="109" t="s">
        <v>360</v>
      </c>
      <c r="C16" s="109" t="s">
        <v>203</v>
      </c>
      <c r="D16" s="109" t="s">
        <v>225</v>
      </c>
      <c r="E16" s="109" t="s">
        <v>226</v>
      </c>
      <c r="F16" s="110">
        <v>46238</v>
      </c>
      <c r="G16" s="109" t="s">
        <v>240</v>
      </c>
      <c r="H16" s="109" t="s">
        <v>361</v>
      </c>
      <c r="I16" s="109" t="s">
        <v>216</v>
      </c>
      <c r="J16" s="109" t="s">
        <v>217</v>
      </c>
      <c r="K16" s="109" t="s">
        <v>218</v>
      </c>
      <c r="L16" s="109" t="s">
        <v>219</v>
      </c>
      <c r="M16" s="207" t="s">
        <v>242</v>
      </c>
      <c r="N16" s="109" t="s">
        <v>220</v>
      </c>
      <c r="O16" s="109" t="s">
        <v>221</v>
      </c>
      <c r="P16" s="109" t="s">
        <v>243</v>
      </c>
      <c r="Q16" s="109" t="s">
        <v>216</v>
      </c>
      <c r="R16" s="109" t="s">
        <v>217</v>
      </c>
      <c r="S16" s="109" t="s">
        <v>220</v>
      </c>
      <c r="T16" s="109" t="s">
        <v>221</v>
      </c>
      <c r="U16" s="109" t="s">
        <v>216</v>
      </c>
      <c r="V16" s="109" t="s">
        <v>217</v>
      </c>
      <c r="W16" s="109" t="s">
        <v>218</v>
      </c>
      <c r="X16" s="109" t="s">
        <v>219</v>
      </c>
      <c r="Y16" s="109" t="s">
        <v>220</v>
      </c>
      <c r="Z16" s="109" t="s">
        <v>221</v>
      </c>
      <c r="AA16" s="109" t="s">
        <v>222</v>
      </c>
      <c r="AB16" s="109" t="s">
        <v>223</v>
      </c>
      <c r="AC16" s="109" t="s">
        <v>362</v>
      </c>
      <c r="AD16" s="109" t="s">
        <v>363</v>
      </c>
      <c r="AE16" s="109">
        <v>133</v>
      </c>
      <c r="AF16" s="109" t="s">
        <v>364</v>
      </c>
      <c r="AG16" s="109" t="s">
        <v>365</v>
      </c>
      <c r="AH16" s="109" t="s">
        <v>297</v>
      </c>
      <c r="AI16" s="109" t="s">
        <v>362</v>
      </c>
      <c r="AJ16" s="109" t="s">
        <v>363</v>
      </c>
      <c r="AK16" s="109" t="s">
        <v>365</v>
      </c>
      <c r="AL16" s="109" t="s">
        <v>297</v>
      </c>
      <c r="AM16" s="109" t="s">
        <v>366</v>
      </c>
      <c r="AN16" s="207" t="s">
        <v>367</v>
      </c>
      <c r="AO16" s="109">
        <v>29.48</v>
      </c>
      <c r="AP16" s="109">
        <v>0</v>
      </c>
      <c r="AQ16" s="109">
        <v>5</v>
      </c>
      <c r="AR16" s="109">
        <v>0</v>
      </c>
      <c r="AS16" s="109" t="s">
        <v>252</v>
      </c>
      <c r="AT16" s="109" t="s">
        <v>229</v>
      </c>
      <c r="AU16" s="110">
        <v>46253</v>
      </c>
      <c r="AV16" s="109">
        <v>166.34</v>
      </c>
      <c r="AW16" s="109" t="s">
        <v>230</v>
      </c>
      <c r="AX16" s="109" t="s">
        <v>230</v>
      </c>
      <c r="AY16" s="109">
        <v>5585.62</v>
      </c>
      <c r="AZ16" s="109" t="s">
        <v>232</v>
      </c>
      <c r="BA16" s="109" t="s">
        <v>368</v>
      </c>
      <c r="BB16" s="109">
        <v>166.34</v>
      </c>
      <c r="BC16" s="109">
        <v>146.38</v>
      </c>
      <c r="BD16" s="109">
        <v>166.34</v>
      </c>
      <c r="BE16" s="109">
        <v>19.96</v>
      </c>
      <c r="BF16" s="111">
        <v>0.12</v>
      </c>
      <c r="BG16" s="109">
        <v>0</v>
      </c>
      <c r="BH16" s="109">
        <v>29.48</v>
      </c>
      <c r="BI16" s="109">
        <v>82.96</v>
      </c>
      <c r="BJ16" s="109">
        <v>0</v>
      </c>
      <c r="BK16" s="109">
        <v>17</v>
      </c>
      <c r="BL16" s="109">
        <v>0</v>
      </c>
      <c r="BM16" s="109">
        <v>9.76</v>
      </c>
      <c r="BN16" s="109">
        <v>8.38</v>
      </c>
      <c r="BO16" s="109">
        <v>5.5</v>
      </c>
      <c r="BP16" s="109">
        <v>3.23</v>
      </c>
      <c r="BQ16" s="109">
        <v>0</v>
      </c>
      <c r="BR16" s="109">
        <v>0</v>
      </c>
      <c r="BS16" s="109">
        <v>0</v>
      </c>
      <c r="BT16" s="109">
        <v>0</v>
      </c>
      <c r="BU16" s="109">
        <v>0</v>
      </c>
      <c r="BV16" s="109">
        <v>0</v>
      </c>
      <c r="BW16" s="109">
        <v>0</v>
      </c>
      <c r="BX16" s="109">
        <v>0</v>
      </c>
      <c r="BY16" s="109">
        <v>0</v>
      </c>
      <c r="BZ16" s="109">
        <v>0</v>
      </c>
      <c r="CA16" s="109">
        <v>19.55</v>
      </c>
      <c r="CB16" s="109" t="s">
        <v>225</v>
      </c>
      <c r="CC16" s="109" t="s">
        <v>369</v>
      </c>
      <c r="CD16" s="109">
        <v>422.61</v>
      </c>
      <c r="CE16" s="109">
        <v>0</v>
      </c>
      <c r="CF16" s="109">
        <v>0</v>
      </c>
      <c r="CG16" s="109">
        <v>0</v>
      </c>
      <c r="CH16" s="109">
        <v>0</v>
      </c>
      <c r="CI16" s="109">
        <v>0</v>
      </c>
      <c r="CJ16" s="109">
        <v>0</v>
      </c>
      <c r="CK16" s="109">
        <v>0</v>
      </c>
      <c r="CL16" s="109"/>
      <c r="CM16" s="109"/>
      <c r="CN16" s="109">
        <v>0</v>
      </c>
      <c r="CO16" s="109">
        <v>0</v>
      </c>
      <c r="CP16" s="109">
        <v>0</v>
      </c>
      <c r="CQ16" s="109">
        <v>0</v>
      </c>
      <c r="CR16" s="109">
        <v>0</v>
      </c>
      <c r="CS16" s="109">
        <v>0</v>
      </c>
      <c r="CT16" s="109">
        <v>0</v>
      </c>
      <c r="CU16" s="109">
        <v>12</v>
      </c>
      <c r="CV16" s="109" t="s">
        <v>254</v>
      </c>
      <c r="CW16" s="109">
        <v>0</v>
      </c>
      <c r="CX16" s="109"/>
      <c r="CY16" s="109">
        <v>49.5</v>
      </c>
      <c r="CZ16" s="109" t="s">
        <v>254</v>
      </c>
      <c r="DA16" s="109">
        <f>CY16</f>
        <v>49.5</v>
      </c>
      <c r="DB16" s="109"/>
      <c r="DE16" s="109">
        <v>0</v>
      </c>
      <c r="DF16" s="109" t="s">
        <v>236</v>
      </c>
      <c r="DG16" s="109" t="s">
        <v>221</v>
      </c>
      <c r="DH16" s="109" t="s">
        <v>220</v>
      </c>
      <c r="DI16" s="109">
        <v>9026067267</v>
      </c>
      <c r="DJ16" s="109" t="s">
        <v>222</v>
      </c>
      <c r="DK16" s="109">
        <v>0</v>
      </c>
      <c r="DL16" s="109" t="s">
        <v>226</v>
      </c>
      <c r="DM16" s="109">
        <v>19.96</v>
      </c>
    </row>
    <row r="17" ht="13.8" hidden="1" spans="1:117">
      <c r="A17" s="109">
        <v>2</v>
      </c>
      <c r="B17" s="109" t="s">
        <v>370</v>
      </c>
      <c r="C17" s="109" t="s">
        <v>203</v>
      </c>
      <c r="D17" s="109" t="s">
        <v>225</v>
      </c>
      <c r="E17" s="109" t="s">
        <v>226</v>
      </c>
      <c r="F17" s="110">
        <v>46238</v>
      </c>
      <c r="G17" s="109" t="s">
        <v>240</v>
      </c>
      <c r="H17" s="109" t="s">
        <v>371</v>
      </c>
      <c r="I17" s="109" t="s">
        <v>216</v>
      </c>
      <c r="J17" s="109" t="s">
        <v>217</v>
      </c>
      <c r="K17" s="109" t="s">
        <v>218</v>
      </c>
      <c r="L17" s="109" t="s">
        <v>219</v>
      </c>
      <c r="M17" s="207" t="s">
        <v>242</v>
      </c>
      <c r="N17" s="109" t="s">
        <v>220</v>
      </c>
      <c r="O17" s="109" t="s">
        <v>221</v>
      </c>
      <c r="P17" s="109" t="s">
        <v>243</v>
      </c>
      <c r="Q17" s="109" t="s">
        <v>216</v>
      </c>
      <c r="R17" s="109" t="s">
        <v>217</v>
      </c>
      <c r="S17" s="109" t="s">
        <v>220</v>
      </c>
      <c r="T17" s="109" t="s">
        <v>221</v>
      </c>
      <c r="U17" s="109" t="s">
        <v>216</v>
      </c>
      <c r="V17" s="109" t="s">
        <v>217</v>
      </c>
      <c r="W17" s="109" t="s">
        <v>218</v>
      </c>
      <c r="X17" s="109" t="s">
        <v>219</v>
      </c>
      <c r="Y17" s="109" t="s">
        <v>220</v>
      </c>
      <c r="Z17" s="109" t="s">
        <v>221</v>
      </c>
      <c r="AA17" s="109" t="s">
        <v>222</v>
      </c>
      <c r="AB17" s="109" t="s">
        <v>223</v>
      </c>
      <c r="AC17" s="109" t="s">
        <v>372</v>
      </c>
      <c r="AD17" s="109" t="s">
        <v>373</v>
      </c>
      <c r="AE17" s="109" t="s">
        <v>374</v>
      </c>
      <c r="AF17" s="109" t="s">
        <v>295</v>
      </c>
      <c r="AG17" s="109" t="s">
        <v>296</v>
      </c>
      <c r="AH17" s="109" t="s">
        <v>297</v>
      </c>
      <c r="AI17" s="109" t="s">
        <v>372</v>
      </c>
      <c r="AJ17" s="109" t="s">
        <v>373</v>
      </c>
      <c r="AK17" s="109" t="s">
        <v>296</v>
      </c>
      <c r="AL17" s="109" t="s">
        <v>297</v>
      </c>
      <c r="AM17" s="109" t="s">
        <v>298</v>
      </c>
      <c r="AN17" s="207" t="s">
        <v>375</v>
      </c>
      <c r="AO17" s="109">
        <v>35</v>
      </c>
      <c r="AP17" s="109">
        <v>0</v>
      </c>
      <c r="AQ17" s="109">
        <v>3</v>
      </c>
      <c r="AR17" s="109">
        <v>0</v>
      </c>
      <c r="AS17" s="109" t="s">
        <v>252</v>
      </c>
      <c r="AT17" s="109" t="s">
        <v>229</v>
      </c>
      <c r="AU17" s="110">
        <v>46253</v>
      </c>
      <c r="AV17" s="109">
        <v>396.82</v>
      </c>
      <c r="AW17" s="109" t="s">
        <v>230</v>
      </c>
      <c r="AX17" s="109" t="s">
        <v>230</v>
      </c>
      <c r="AY17" s="109">
        <v>1332.17</v>
      </c>
      <c r="AZ17" s="109" t="s">
        <v>232</v>
      </c>
      <c r="BA17" s="109" t="s">
        <v>300</v>
      </c>
      <c r="BB17" s="109">
        <v>396.82</v>
      </c>
      <c r="BC17" s="109">
        <v>349.2</v>
      </c>
      <c r="BD17" s="109">
        <v>396.82</v>
      </c>
      <c r="BE17" s="109">
        <v>47.62</v>
      </c>
      <c r="BF17" s="111">
        <v>0.12</v>
      </c>
      <c r="BG17" s="109">
        <v>0</v>
      </c>
      <c r="BH17" s="109">
        <v>35</v>
      </c>
      <c r="BI17" s="109">
        <v>56.8</v>
      </c>
      <c r="BJ17" s="109">
        <v>0</v>
      </c>
      <c r="BK17" s="109">
        <v>17</v>
      </c>
      <c r="BL17" s="109">
        <v>0</v>
      </c>
      <c r="BM17" s="109">
        <v>9.76</v>
      </c>
      <c r="BN17" s="109">
        <v>2.25</v>
      </c>
      <c r="BO17" s="109">
        <v>5.5</v>
      </c>
      <c r="BP17" s="109">
        <v>3.23</v>
      </c>
      <c r="BQ17" s="109">
        <v>0</v>
      </c>
      <c r="BR17" s="109">
        <v>0</v>
      </c>
      <c r="BS17" s="109">
        <v>0</v>
      </c>
      <c r="BT17" s="109">
        <v>0</v>
      </c>
      <c r="BU17" s="109">
        <v>0</v>
      </c>
      <c r="BV17" s="109">
        <v>0</v>
      </c>
      <c r="BW17" s="109">
        <v>0</v>
      </c>
      <c r="BX17" s="109">
        <v>250</v>
      </c>
      <c r="BY17" s="109">
        <v>0</v>
      </c>
      <c r="BZ17" s="109">
        <v>0</v>
      </c>
      <c r="CA17" s="109">
        <v>4.66</v>
      </c>
      <c r="CB17" s="109" t="s">
        <v>225</v>
      </c>
      <c r="CC17" s="109" t="s">
        <v>295</v>
      </c>
      <c r="CD17" s="109">
        <v>371.31</v>
      </c>
      <c r="CE17" s="109">
        <v>0</v>
      </c>
      <c r="CF17" s="109">
        <v>0</v>
      </c>
      <c r="CG17" s="109">
        <v>0</v>
      </c>
      <c r="CH17" s="109">
        <v>0</v>
      </c>
      <c r="CI17" s="109">
        <v>0</v>
      </c>
      <c r="CJ17" s="109">
        <v>0</v>
      </c>
      <c r="CK17" s="109">
        <v>0</v>
      </c>
      <c r="CL17" s="109"/>
      <c r="CM17" s="109"/>
      <c r="CN17" s="109">
        <v>0</v>
      </c>
      <c r="CO17" s="109">
        <v>0</v>
      </c>
      <c r="CP17" s="109">
        <v>0</v>
      </c>
      <c r="CQ17" s="109">
        <v>0</v>
      </c>
      <c r="CR17" s="109">
        <v>0</v>
      </c>
      <c r="CS17" s="109">
        <v>0</v>
      </c>
      <c r="CT17" s="109">
        <v>0</v>
      </c>
      <c r="CU17" s="109">
        <v>12</v>
      </c>
      <c r="CV17" s="109" t="s">
        <v>254</v>
      </c>
      <c r="CW17" s="109">
        <v>0</v>
      </c>
      <c r="CX17" s="109"/>
      <c r="CY17" s="109">
        <v>18</v>
      </c>
      <c r="CZ17" s="109" t="s">
        <v>254</v>
      </c>
      <c r="DA17" s="109">
        <v>0</v>
      </c>
      <c r="DB17" s="109"/>
      <c r="DE17" s="109">
        <v>0</v>
      </c>
      <c r="DF17" s="109" t="s">
        <v>236</v>
      </c>
      <c r="DG17" s="109" t="s">
        <v>221</v>
      </c>
      <c r="DH17" s="109" t="s">
        <v>220</v>
      </c>
      <c r="DI17" s="109">
        <v>9026067267</v>
      </c>
      <c r="DJ17" s="109" t="s">
        <v>222</v>
      </c>
      <c r="DK17" s="109">
        <v>0</v>
      </c>
      <c r="DL17" s="109" t="s">
        <v>226</v>
      </c>
      <c r="DM17" s="109">
        <v>47.62</v>
      </c>
    </row>
    <row r="18" ht="13.8" hidden="1" spans="1:117">
      <c r="A18" s="109">
        <v>2</v>
      </c>
      <c r="B18" s="109" t="s">
        <v>376</v>
      </c>
      <c r="C18" s="109" t="s">
        <v>203</v>
      </c>
      <c r="D18" s="109" t="s">
        <v>225</v>
      </c>
      <c r="E18" s="109" t="s">
        <v>226</v>
      </c>
      <c r="F18" s="110">
        <v>46238</v>
      </c>
      <c r="G18" s="109" t="s">
        <v>240</v>
      </c>
      <c r="H18" s="109" t="s">
        <v>377</v>
      </c>
      <c r="I18" s="109" t="s">
        <v>216</v>
      </c>
      <c r="J18" s="109" t="s">
        <v>217</v>
      </c>
      <c r="K18" s="109" t="s">
        <v>218</v>
      </c>
      <c r="L18" s="109" t="s">
        <v>219</v>
      </c>
      <c r="M18" s="207" t="s">
        <v>242</v>
      </c>
      <c r="N18" s="109" t="s">
        <v>220</v>
      </c>
      <c r="O18" s="109" t="s">
        <v>221</v>
      </c>
      <c r="P18" s="109" t="s">
        <v>243</v>
      </c>
      <c r="Q18" s="109" t="s">
        <v>216</v>
      </c>
      <c r="R18" s="109" t="s">
        <v>217</v>
      </c>
      <c r="S18" s="109" t="s">
        <v>220</v>
      </c>
      <c r="T18" s="109" t="s">
        <v>221</v>
      </c>
      <c r="U18" s="109" t="s">
        <v>216</v>
      </c>
      <c r="V18" s="109" t="s">
        <v>217</v>
      </c>
      <c r="W18" s="109" t="s">
        <v>218</v>
      </c>
      <c r="X18" s="109" t="s">
        <v>219</v>
      </c>
      <c r="Y18" s="109" t="s">
        <v>220</v>
      </c>
      <c r="Z18" s="109" t="s">
        <v>221</v>
      </c>
      <c r="AA18" s="109" t="s">
        <v>222</v>
      </c>
      <c r="AB18" s="109" t="s">
        <v>223</v>
      </c>
      <c r="AC18" s="109" t="s">
        <v>378</v>
      </c>
      <c r="AD18" s="109" t="s">
        <v>379</v>
      </c>
      <c r="AE18" s="109" t="s">
        <v>319</v>
      </c>
      <c r="AF18" s="109" t="s">
        <v>247</v>
      </c>
      <c r="AG18" s="109" t="s">
        <v>320</v>
      </c>
      <c r="AH18" s="109" t="s">
        <v>249</v>
      </c>
      <c r="AI18" s="109" t="s">
        <v>378</v>
      </c>
      <c r="AJ18" s="109" t="s">
        <v>379</v>
      </c>
      <c r="AK18" s="109" t="s">
        <v>320</v>
      </c>
      <c r="AL18" s="109" t="s">
        <v>249</v>
      </c>
      <c r="AM18" s="109" t="s">
        <v>250</v>
      </c>
      <c r="AN18" s="207" t="s">
        <v>380</v>
      </c>
      <c r="AO18" s="109">
        <v>148.6</v>
      </c>
      <c r="AP18" s="109">
        <v>0</v>
      </c>
      <c r="AQ18" s="109">
        <v>15</v>
      </c>
      <c r="AR18" s="109">
        <v>0</v>
      </c>
      <c r="AS18" s="109" t="s">
        <v>252</v>
      </c>
      <c r="AT18" s="109" t="s">
        <v>229</v>
      </c>
      <c r="AU18" s="110">
        <v>46253</v>
      </c>
      <c r="AV18" s="109">
        <v>513.05</v>
      </c>
      <c r="AW18" s="109" t="s">
        <v>230</v>
      </c>
      <c r="AX18" s="109" t="s">
        <v>230</v>
      </c>
      <c r="AY18" s="109">
        <v>5349.3</v>
      </c>
      <c r="AZ18" s="109" t="s">
        <v>232</v>
      </c>
      <c r="BA18" s="109" t="s">
        <v>253</v>
      </c>
      <c r="BB18" s="109">
        <v>513.05</v>
      </c>
      <c r="BC18" s="109">
        <v>451.48</v>
      </c>
      <c r="BD18" s="109">
        <v>513.05</v>
      </c>
      <c r="BE18" s="109">
        <v>61.57</v>
      </c>
      <c r="BF18" s="111">
        <v>0.12</v>
      </c>
      <c r="BG18" s="109">
        <v>0</v>
      </c>
      <c r="BH18" s="109">
        <v>148.6</v>
      </c>
      <c r="BI18" s="109">
        <v>133.75</v>
      </c>
      <c r="BJ18" s="109">
        <v>0</v>
      </c>
      <c r="BK18" s="109">
        <v>17</v>
      </c>
      <c r="BL18" s="109">
        <v>0</v>
      </c>
      <c r="BM18" s="109">
        <v>9.76</v>
      </c>
      <c r="BN18" s="109">
        <v>8.02</v>
      </c>
      <c r="BO18" s="109">
        <v>11</v>
      </c>
      <c r="BP18" s="109">
        <v>3.23</v>
      </c>
      <c r="BQ18" s="109">
        <v>0</v>
      </c>
      <c r="BR18" s="109">
        <v>0</v>
      </c>
      <c r="BS18" s="109">
        <v>0</v>
      </c>
      <c r="BT18" s="109">
        <v>0</v>
      </c>
      <c r="BU18" s="109">
        <v>0</v>
      </c>
      <c r="BV18" s="109">
        <v>0</v>
      </c>
      <c r="BW18" s="109">
        <v>0</v>
      </c>
      <c r="BX18" s="109">
        <v>250</v>
      </c>
      <c r="BY18" s="109">
        <v>0</v>
      </c>
      <c r="BZ18" s="109">
        <v>0</v>
      </c>
      <c r="CA18" s="109">
        <v>18.72</v>
      </c>
      <c r="CB18" s="109" t="s">
        <v>225</v>
      </c>
      <c r="CC18" s="109" t="s">
        <v>247</v>
      </c>
      <c r="CD18" s="109">
        <v>419.54</v>
      </c>
      <c r="CE18" s="109">
        <v>0</v>
      </c>
      <c r="CF18" s="109">
        <v>0</v>
      </c>
      <c r="CG18" s="109">
        <v>0</v>
      </c>
      <c r="CH18" s="109">
        <v>0</v>
      </c>
      <c r="CI18" s="109">
        <v>0</v>
      </c>
      <c r="CJ18" s="109">
        <v>0</v>
      </c>
      <c r="CK18" s="109">
        <v>0</v>
      </c>
      <c r="CL18" s="109"/>
      <c r="CM18" s="109"/>
      <c r="CN18" s="109">
        <v>0</v>
      </c>
      <c r="CO18" s="109">
        <v>0</v>
      </c>
      <c r="CP18" s="109">
        <v>0</v>
      </c>
      <c r="CQ18" s="109">
        <v>0</v>
      </c>
      <c r="CR18" s="109">
        <v>0</v>
      </c>
      <c r="CS18" s="109">
        <v>0</v>
      </c>
      <c r="CT18" s="109">
        <v>0</v>
      </c>
      <c r="CU18" s="109">
        <v>22.29</v>
      </c>
      <c r="CV18" s="109" t="s">
        <v>254</v>
      </c>
      <c r="CW18" s="109">
        <v>0</v>
      </c>
      <c r="CX18" s="109"/>
      <c r="CY18" s="109">
        <v>26.75</v>
      </c>
      <c r="CZ18" s="109" t="s">
        <v>254</v>
      </c>
      <c r="DA18" s="109">
        <v>0</v>
      </c>
      <c r="DB18" s="109"/>
      <c r="DE18" s="109">
        <v>0</v>
      </c>
      <c r="DF18" s="109" t="s">
        <v>236</v>
      </c>
      <c r="DG18" s="109" t="s">
        <v>221</v>
      </c>
      <c r="DH18" s="109" t="s">
        <v>220</v>
      </c>
      <c r="DI18" s="109">
        <v>9026067267</v>
      </c>
      <c r="DJ18" s="109" t="s">
        <v>222</v>
      </c>
      <c r="DK18" s="109">
        <v>0</v>
      </c>
      <c r="DL18" s="109" t="s">
        <v>226</v>
      </c>
      <c r="DM18" s="109">
        <v>61.57</v>
      </c>
    </row>
    <row r="19" ht="13.8" hidden="1" spans="1:117">
      <c r="A19" s="109">
        <v>2</v>
      </c>
      <c r="B19" s="109" t="s">
        <v>381</v>
      </c>
      <c r="C19" s="109" t="s">
        <v>203</v>
      </c>
      <c r="D19" s="109" t="s">
        <v>225</v>
      </c>
      <c r="E19" s="109" t="s">
        <v>226</v>
      </c>
      <c r="F19" s="110">
        <v>46238</v>
      </c>
      <c r="G19" s="109" t="s">
        <v>240</v>
      </c>
      <c r="H19" s="109" t="s">
        <v>382</v>
      </c>
      <c r="I19" s="109" t="s">
        <v>216</v>
      </c>
      <c r="J19" s="109" t="s">
        <v>217</v>
      </c>
      <c r="K19" s="109" t="s">
        <v>218</v>
      </c>
      <c r="L19" s="109" t="s">
        <v>219</v>
      </c>
      <c r="M19" s="207" t="s">
        <v>242</v>
      </c>
      <c r="N19" s="109" t="s">
        <v>220</v>
      </c>
      <c r="O19" s="109" t="s">
        <v>221</v>
      </c>
      <c r="P19" s="109" t="s">
        <v>243</v>
      </c>
      <c r="Q19" s="109" t="s">
        <v>216</v>
      </c>
      <c r="R19" s="109" t="s">
        <v>217</v>
      </c>
      <c r="S19" s="109" t="s">
        <v>220</v>
      </c>
      <c r="T19" s="109" t="s">
        <v>221</v>
      </c>
      <c r="U19" s="109" t="s">
        <v>216</v>
      </c>
      <c r="V19" s="109" t="s">
        <v>217</v>
      </c>
      <c r="W19" s="109" t="s">
        <v>218</v>
      </c>
      <c r="X19" s="109" t="s">
        <v>219</v>
      </c>
      <c r="Y19" s="109" t="s">
        <v>220</v>
      </c>
      <c r="Z19" s="109" t="s">
        <v>221</v>
      </c>
      <c r="AA19" s="109" t="s">
        <v>222</v>
      </c>
      <c r="AB19" s="109" t="s">
        <v>223</v>
      </c>
      <c r="AC19" s="109" t="s">
        <v>383</v>
      </c>
      <c r="AD19" s="109" t="s">
        <v>384</v>
      </c>
      <c r="AE19" s="109">
        <v>299</v>
      </c>
      <c r="AF19" s="109" t="s">
        <v>271</v>
      </c>
      <c r="AG19" s="109" t="s">
        <v>385</v>
      </c>
      <c r="AH19" s="109" t="s">
        <v>273</v>
      </c>
      <c r="AI19" s="109" t="s">
        <v>383</v>
      </c>
      <c r="AJ19" s="109" t="s">
        <v>384</v>
      </c>
      <c r="AK19" s="109" t="s">
        <v>385</v>
      </c>
      <c r="AL19" s="109" t="s">
        <v>273</v>
      </c>
      <c r="AM19" s="109" t="s">
        <v>274</v>
      </c>
      <c r="AN19" s="207" t="s">
        <v>386</v>
      </c>
      <c r="AO19" s="109">
        <v>315.27</v>
      </c>
      <c r="AP19" s="109">
        <v>0</v>
      </c>
      <c r="AQ19" s="109">
        <v>39</v>
      </c>
      <c r="AR19" s="109">
        <v>0</v>
      </c>
      <c r="AS19" s="109" t="s">
        <v>252</v>
      </c>
      <c r="AT19" s="109" t="s">
        <v>229</v>
      </c>
      <c r="AU19" s="110">
        <v>46253</v>
      </c>
      <c r="AV19" s="109">
        <v>463.4</v>
      </c>
      <c r="AW19" s="109" t="s">
        <v>230</v>
      </c>
      <c r="AX19" s="109" t="s">
        <v>230</v>
      </c>
      <c r="AY19" s="109">
        <v>11435.48</v>
      </c>
      <c r="AZ19" s="109" t="s">
        <v>232</v>
      </c>
      <c r="BA19" s="109" t="s">
        <v>276</v>
      </c>
      <c r="BB19" s="109">
        <v>463.4</v>
      </c>
      <c r="BC19" s="109">
        <v>430.96</v>
      </c>
      <c r="BD19" s="109">
        <v>463.4</v>
      </c>
      <c r="BE19" s="109">
        <v>32.44</v>
      </c>
      <c r="BF19" s="111">
        <v>0.07</v>
      </c>
      <c r="BG19" s="109">
        <v>0</v>
      </c>
      <c r="BH19" s="109">
        <v>315.27</v>
      </c>
      <c r="BI19" s="109">
        <v>321.8</v>
      </c>
      <c r="BJ19" s="109">
        <v>0</v>
      </c>
      <c r="BK19" s="109">
        <v>17</v>
      </c>
      <c r="BL19" s="109">
        <v>0</v>
      </c>
      <c r="BM19" s="109">
        <v>9.76</v>
      </c>
      <c r="BN19" s="109">
        <v>17.15</v>
      </c>
      <c r="BO19" s="109">
        <v>22</v>
      </c>
      <c r="BP19" s="109">
        <v>3.23</v>
      </c>
      <c r="BQ19" s="109">
        <v>0</v>
      </c>
      <c r="BR19" s="109">
        <v>0</v>
      </c>
      <c r="BS19" s="109">
        <v>0</v>
      </c>
      <c r="BT19" s="109">
        <v>0</v>
      </c>
      <c r="BU19" s="109">
        <v>0</v>
      </c>
      <c r="BV19" s="109">
        <v>0</v>
      </c>
      <c r="BW19" s="109">
        <v>0</v>
      </c>
      <c r="BX19" s="109">
        <v>0</v>
      </c>
      <c r="BY19" s="109">
        <v>0</v>
      </c>
      <c r="BZ19" s="109">
        <v>0</v>
      </c>
      <c r="CA19" s="109">
        <v>40.02</v>
      </c>
      <c r="CB19" s="109" t="s">
        <v>225</v>
      </c>
      <c r="CC19" s="109" t="s">
        <v>277</v>
      </c>
      <c r="CD19" s="109">
        <v>786.89</v>
      </c>
      <c r="CE19" s="109">
        <v>0</v>
      </c>
      <c r="CF19" s="109">
        <v>0</v>
      </c>
      <c r="CG19" s="109">
        <v>0</v>
      </c>
      <c r="CH19" s="109">
        <v>0</v>
      </c>
      <c r="CI19" s="109">
        <v>0</v>
      </c>
      <c r="CJ19" s="109">
        <v>0</v>
      </c>
      <c r="CK19" s="109">
        <v>0</v>
      </c>
      <c r="CL19" s="109"/>
      <c r="CM19" s="109"/>
      <c r="CN19" s="109">
        <v>0</v>
      </c>
      <c r="CO19" s="109">
        <v>0</v>
      </c>
      <c r="CP19" s="109">
        <v>0</v>
      </c>
      <c r="CQ19" s="109">
        <v>0</v>
      </c>
      <c r="CR19" s="109">
        <v>0</v>
      </c>
      <c r="CS19" s="109">
        <v>0</v>
      </c>
      <c r="CT19" s="109">
        <v>0</v>
      </c>
      <c r="CU19" s="109">
        <v>47.29</v>
      </c>
      <c r="CV19" s="109" t="s">
        <v>254</v>
      </c>
      <c r="CW19" s="109">
        <v>0</v>
      </c>
      <c r="CX19" s="109"/>
      <c r="CY19" s="109">
        <v>206.86</v>
      </c>
      <c r="CZ19" s="109" t="s">
        <v>387</v>
      </c>
      <c r="DA19" s="109">
        <v>222.43</v>
      </c>
      <c r="DB19" s="207" t="s">
        <v>388</v>
      </c>
      <c r="DE19" s="109">
        <v>0</v>
      </c>
      <c r="DF19" s="109" t="s">
        <v>236</v>
      </c>
      <c r="DG19" s="109" t="s">
        <v>221</v>
      </c>
      <c r="DH19" s="109" t="s">
        <v>220</v>
      </c>
      <c r="DI19" s="109">
        <v>9026067267</v>
      </c>
      <c r="DJ19" s="109" t="s">
        <v>222</v>
      </c>
      <c r="DK19" s="109">
        <v>0</v>
      </c>
      <c r="DL19" s="109" t="s">
        <v>226</v>
      </c>
      <c r="DM19" s="109">
        <v>32.44</v>
      </c>
    </row>
    <row r="20" ht="13.8" hidden="1" spans="1:117">
      <c r="A20" s="109">
        <v>2</v>
      </c>
      <c r="B20" s="109" t="s">
        <v>389</v>
      </c>
      <c r="C20" s="109" t="s">
        <v>203</v>
      </c>
      <c r="D20" s="109" t="s">
        <v>225</v>
      </c>
      <c r="E20" s="109" t="s">
        <v>226</v>
      </c>
      <c r="F20" s="110">
        <v>46238</v>
      </c>
      <c r="G20" s="109" t="s">
        <v>240</v>
      </c>
      <c r="H20" s="109" t="s">
        <v>390</v>
      </c>
      <c r="I20" s="109" t="s">
        <v>216</v>
      </c>
      <c r="J20" s="109" t="s">
        <v>217</v>
      </c>
      <c r="K20" s="109" t="s">
        <v>218</v>
      </c>
      <c r="L20" s="109" t="s">
        <v>219</v>
      </c>
      <c r="M20" s="207" t="s">
        <v>242</v>
      </c>
      <c r="N20" s="109" t="s">
        <v>220</v>
      </c>
      <c r="O20" s="109" t="s">
        <v>221</v>
      </c>
      <c r="P20" s="109" t="s">
        <v>243</v>
      </c>
      <c r="Q20" s="109" t="s">
        <v>216</v>
      </c>
      <c r="R20" s="109" t="s">
        <v>217</v>
      </c>
      <c r="S20" s="109" t="s">
        <v>220</v>
      </c>
      <c r="T20" s="109" t="s">
        <v>221</v>
      </c>
      <c r="U20" s="109" t="s">
        <v>216</v>
      </c>
      <c r="V20" s="109" t="s">
        <v>217</v>
      </c>
      <c r="W20" s="109" t="s">
        <v>218</v>
      </c>
      <c r="X20" s="109" t="s">
        <v>219</v>
      </c>
      <c r="Y20" s="109" t="s">
        <v>220</v>
      </c>
      <c r="Z20" s="109" t="s">
        <v>221</v>
      </c>
      <c r="AA20" s="109" t="s">
        <v>222</v>
      </c>
      <c r="AB20" s="109" t="s">
        <v>223</v>
      </c>
      <c r="AC20" s="109" t="s">
        <v>391</v>
      </c>
      <c r="AD20" s="109" t="s">
        <v>258</v>
      </c>
      <c r="AE20" s="109" t="s">
        <v>246</v>
      </c>
      <c r="AF20" s="109" t="s">
        <v>247</v>
      </c>
      <c r="AG20" s="109" t="s">
        <v>248</v>
      </c>
      <c r="AH20" s="109" t="s">
        <v>249</v>
      </c>
      <c r="AI20" s="109" t="s">
        <v>391</v>
      </c>
      <c r="AJ20" s="109" t="s">
        <v>258</v>
      </c>
      <c r="AK20" s="109" t="s">
        <v>248</v>
      </c>
      <c r="AL20" s="109" t="s">
        <v>249</v>
      </c>
      <c r="AM20" s="109" t="s">
        <v>250</v>
      </c>
      <c r="AN20" s="207" t="s">
        <v>392</v>
      </c>
      <c r="AO20" s="109">
        <v>84.03</v>
      </c>
      <c r="AP20" s="109">
        <v>0</v>
      </c>
      <c r="AQ20" s="109">
        <v>9</v>
      </c>
      <c r="AR20" s="109">
        <v>0</v>
      </c>
      <c r="AS20" s="109" t="s">
        <v>252</v>
      </c>
      <c r="AT20" s="109" t="s">
        <v>229</v>
      </c>
      <c r="AU20" s="110">
        <v>46253</v>
      </c>
      <c r="AV20" s="109">
        <v>452.1</v>
      </c>
      <c r="AW20" s="109" t="s">
        <v>230</v>
      </c>
      <c r="AX20" s="109" t="s">
        <v>230</v>
      </c>
      <c r="AY20" s="109">
        <v>2430.21</v>
      </c>
      <c r="AZ20" s="109" t="s">
        <v>232</v>
      </c>
      <c r="BA20" s="109" t="s">
        <v>253</v>
      </c>
      <c r="BB20" s="109">
        <v>452.1</v>
      </c>
      <c r="BC20" s="109">
        <v>397.85</v>
      </c>
      <c r="BD20" s="109">
        <v>452.1</v>
      </c>
      <c r="BE20" s="109">
        <v>54.25</v>
      </c>
      <c r="BF20" s="111">
        <v>0.12</v>
      </c>
      <c r="BG20" s="109">
        <v>0</v>
      </c>
      <c r="BH20" s="109">
        <v>84.03</v>
      </c>
      <c r="BI20" s="109">
        <v>100.2</v>
      </c>
      <c r="BJ20" s="109">
        <v>0</v>
      </c>
      <c r="BK20" s="109">
        <v>17</v>
      </c>
      <c r="BL20" s="109">
        <v>0</v>
      </c>
      <c r="BM20" s="109">
        <v>9.76</v>
      </c>
      <c r="BN20" s="109">
        <v>3.65</v>
      </c>
      <c r="BO20" s="109">
        <v>5.5</v>
      </c>
      <c r="BP20" s="109">
        <v>3.23</v>
      </c>
      <c r="BQ20" s="109">
        <v>0</v>
      </c>
      <c r="BR20" s="109">
        <v>0</v>
      </c>
      <c r="BS20" s="109">
        <v>0</v>
      </c>
      <c r="BT20" s="109">
        <v>0</v>
      </c>
      <c r="BU20" s="109">
        <v>0</v>
      </c>
      <c r="BV20" s="109">
        <v>0</v>
      </c>
      <c r="BW20" s="109">
        <v>0</v>
      </c>
      <c r="BX20" s="109">
        <v>250</v>
      </c>
      <c r="BY20" s="109">
        <v>0</v>
      </c>
      <c r="BZ20" s="109">
        <v>0</v>
      </c>
      <c r="CA20" s="109">
        <v>8.51</v>
      </c>
      <c r="CB20" s="109" t="s">
        <v>225</v>
      </c>
      <c r="CC20" s="109" t="s">
        <v>247</v>
      </c>
      <c r="CD20" s="109">
        <v>382.29</v>
      </c>
      <c r="CE20" s="109">
        <v>0</v>
      </c>
      <c r="CF20" s="109">
        <v>0</v>
      </c>
      <c r="CG20" s="109">
        <v>0</v>
      </c>
      <c r="CH20" s="109">
        <v>0</v>
      </c>
      <c r="CI20" s="109">
        <v>0</v>
      </c>
      <c r="CJ20" s="109">
        <v>0</v>
      </c>
      <c r="CK20" s="109">
        <v>0</v>
      </c>
      <c r="CL20" s="109"/>
      <c r="CM20" s="109"/>
      <c r="CN20" s="109">
        <v>0</v>
      </c>
      <c r="CO20" s="109">
        <v>0</v>
      </c>
      <c r="CP20" s="109">
        <v>0</v>
      </c>
      <c r="CQ20" s="109">
        <v>0</v>
      </c>
      <c r="CR20" s="109">
        <v>0</v>
      </c>
      <c r="CS20" s="109">
        <v>0</v>
      </c>
      <c r="CT20" s="109">
        <v>0</v>
      </c>
      <c r="CU20" s="109">
        <v>12.6</v>
      </c>
      <c r="CV20" s="109" t="s">
        <v>254</v>
      </c>
      <c r="CW20" s="109">
        <v>0</v>
      </c>
      <c r="CX20" s="109"/>
      <c r="CY20" s="109">
        <v>18</v>
      </c>
      <c r="CZ20" s="109" t="s">
        <v>235</v>
      </c>
      <c r="DA20" s="109">
        <v>0</v>
      </c>
      <c r="DB20" s="109"/>
      <c r="DE20" s="109">
        <v>0</v>
      </c>
      <c r="DF20" s="109" t="s">
        <v>236</v>
      </c>
      <c r="DG20" s="109" t="s">
        <v>221</v>
      </c>
      <c r="DH20" s="109" t="s">
        <v>220</v>
      </c>
      <c r="DI20" s="109">
        <v>9026067267</v>
      </c>
      <c r="DJ20" s="109" t="s">
        <v>222</v>
      </c>
      <c r="DK20" s="109">
        <v>0</v>
      </c>
      <c r="DL20" s="109" t="s">
        <v>226</v>
      </c>
      <c r="DM20" s="109">
        <v>54.25</v>
      </c>
    </row>
    <row r="21" ht="13.8" hidden="1" spans="1:117">
      <c r="A21" s="109">
        <v>2</v>
      </c>
      <c r="B21" s="109" t="s">
        <v>393</v>
      </c>
      <c r="C21" s="109" t="s">
        <v>203</v>
      </c>
      <c r="D21" s="109" t="s">
        <v>225</v>
      </c>
      <c r="E21" s="109" t="s">
        <v>226</v>
      </c>
      <c r="F21" s="110">
        <v>46238</v>
      </c>
      <c r="G21" s="109" t="s">
        <v>240</v>
      </c>
      <c r="H21" s="109" t="s">
        <v>394</v>
      </c>
      <c r="I21" s="109" t="s">
        <v>216</v>
      </c>
      <c r="J21" s="109" t="s">
        <v>217</v>
      </c>
      <c r="K21" s="109" t="s">
        <v>218</v>
      </c>
      <c r="L21" s="109" t="s">
        <v>219</v>
      </c>
      <c r="M21" s="207" t="s">
        <v>242</v>
      </c>
      <c r="N21" s="109" t="s">
        <v>220</v>
      </c>
      <c r="O21" s="109" t="s">
        <v>221</v>
      </c>
      <c r="P21" s="109" t="s">
        <v>243</v>
      </c>
      <c r="Q21" s="109" t="s">
        <v>216</v>
      </c>
      <c r="R21" s="109" t="s">
        <v>217</v>
      </c>
      <c r="S21" s="109" t="s">
        <v>220</v>
      </c>
      <c r="T21" s="109" t="s">
        <v>221</v>
      </c>
      <c r="U21" s="109" t="s">
        <v>216</v>
      </c>
      <c r="V21" s="109" t="s">
        <v>217</v>
      </c>
      <c r="W21" s="109" t="s">
        <v>218</v>
      </c>
      <c r="X21" s="109" t="s">
        <v>219</v>
      </c>
      <c r="Y21" s="109" t="s">
        <v>220</v>
      </c>
      <c r="Z21" s="109" t="s">
        <v>221</v>
      </c>
      <c r="AA21" s="109" t="s">
        <v>222</v>
      </c>
      <c r="AB21" s="109" t="s">
        <v>223</v>
      </c>
      <c r="AC21" s="109" t="s">
        <v>395</v>
      </c>
      <c r="AD21" s="109" t="s">
        <v>396</v>
      </c>
      <c r="AE21" s="109" t="s">
        <v>397</v>
      </c>
      <c r="AF21" s="109" t="s">
        <v>295</v>
      </c>
      <c r="AG21" s="109" t="s">
        <v>296</v>
      </c>
      <c r="AH21" s="109" t="s">
        <v>297</v>
      </c>
      <c r="AI21" s="109" t="s">
        <v>395</v>
      </c>
      <c r="AJ21" s="109" t="s">
        <v>396</v>
      </c>
      <c r="AK21" s="109" t="s">
        <v>296</v>
      </c>
      <c r="AL21" s="109" t="s">
        <v>297</v>
      </c>
      <c r="AM21" s="109" t="s">
        <v>298</v>
      </c>
      <c r="AN21" s="207" t="s">
        <v>398</v>
      </c>
      <c r="AO21" s="109">
        <v>41.67</v>
      </c>
      <c r="AP21" s="109">
        <v>0</v>
      </c>
      <c r="AQ21" s="109">
        <v>3</v>
      </c>
      <c r="AR21" s="109">
        <v>0</v>
      </c>
      <c r="AS21" s="109" t="s">
        <v>252</v>
      </c>
      <c r="AT21" s="109" t="s">
        <v>229</v>
      </c>
      <c r="AU21" s="110">
        <v>46253</v>
      </c>
      <c r="AV21" s="109">
        <v>397.86</v>
      </c>
      <c r="AW21" s="109" t="s">
        <v>230</v>
      </c>
      <c r="AX21" s="109" t="s">
        <v>230</v>
      </c>
      <c r="AY21" s="109">
        <v>1565.23</v>
      </c>
      <c r="AZ21" s="109" t="s">
        <v>232</v>
      </c>
      <c r="BA21" s="109" t="s">
        <v>300</v>
      </c>
      <c r="BB21" s="109">
        <v>397.86</v>
      </c>
      <c r="BC21" s="109">
        <v>350.12</v>
      </c>
      <c r="BD21" s="109">
        <v>397.86</v>
      </c>
      <c r="BE21" s="109">
        <v>47.74</v>
      </c>
      <c r="BF21" s="111">
        <v>0.12</v>
      </c>
      <c r="BG21" s="109">
        <v>0</v>
      </c>
      <c r="BH21" s="109">
        <v>41.67</v>
      </c>
      <c r="BI21" s="109">
        <v>56.8</v>
      </c>
      <c r="BJ21" s="109">
        <v>0</v>
      </c>
      <c r="BK21" s="109">
        <v>17</v>
      </c>
      <c r="BL21" s="109">
        <v>0</v>
      </c>
      <c r="BM21" s="109">
        <v>9.76</v>
      </c>
      <c r="BN21" s="109">
        <v>2.35</v>
      </c>
      <c r="BO21" s="109">
        <v>5.5</v>
      </c>
      <c r="BP21" s="109">
        <v>3.23</v>
      </c>
      <c r="BQ21" s="109">
        <v>0</v>
      </c>
      <c r="BR21" s="109">
        <v>0</v>
      </c>
      <c r="BS21" s="109">
        <v>0</v>
      </c>
      <c r="BT21" s="109">
        <v>0</v>
      </c>
      <c r="BU21" s="109">
        <v>0</v>
      </c>
      <c r="BV21" s="109">
        <v>0</v>
      </c>
      <c r="BW21" s="109">
        <v>0</v>
      </c>
      <c r="BX21" s="109">
        <v>250</v>
      </c>
      <c r="BY21" s="109">
        <v>0</v>
      </c>
      <c r="BZ21" s="109">
        <v>0</v>
      </c>
      <c r="CA21" s="109">
        <v>5.48</v>
      </c>
      <c r="CB21" s="109" t="s">
        <v>225</v>
      </c>
      <c r="CC21" s="109" t="s">
        <v>295</v>
      </c>
      <c r="CD21" s="109">
        <v>373.65</v>
      </c>
      <c r="CE21" s="109">
        <v>0</v>
      </c>
      <c r="CF21" s="109">
        <v>0</v>
      </c>
      <c r="CG21" s="109">
        <v>0</v>
      </c>
      <c r="CH21" s="109">
        <v>0</v>
      </c>
      <c r="CI21" s="109">
        <v>0</v>
      </c>
      <c r="CJ21" s="109">
        <v>0</v>
      </c>
      <c r="CK21" s="109">
        <v>0</v>
      </c>
      <c r="CL21" s="109"/>
      <c r="CM21" s="109"/>
      <c r="CN21" s="109">
        <v>0</v>
      </c>
      <c r="CO21" s="109">
        <v>0</v>
      </c>
      <c r="CP21" s="109">
        <v>0</v>
      </c>
      <c r="CQ21" s="109">
        <v>0</v>
      </c>
      <c r="CR21" s="109">
        <v>0</v>
      </c>
      <c r="CS21" s="109">
        <v>0</v>
      </c>
      <c r="CT21" s="109">
        <v>0</v>
      </c>
      <c r="CU21" s="109">
        <v>12</v>
      </c>
      <c r="CV21" s="109" t="s">
        <v>254</v>
      </c>
      <c r="CW21" s="109">
        <v>0</v>
      </c>
      <c r="CX21" s="109"/>
      <c r="CY21" s="109">
        <v>18</v>
      </c>
      <c r="CZ21" s="109" t="s">
        <v>254</v>
      </c>
      <c r="DA21" s="109">
        <v>0</v>
      </c>
      <c r="DB21" s="109"/>
      <c r="DE21" s="109">
        <v>0</v>
      </c>
      <c r="DF21" s="109" t="s">
        <v>236</v>
      </c>
      <c r="DG21" s="109" t="s">
        <v>221</v>
      </c>
      <c r="DH21" s="109" t="s">
        <v>220</v>
      </c>
      <c r="DI21" s="109">
        <v>9026067267</v>
      </c>
      <c r="DJ21" s="109" t="s">
        <v>222</v>
      </c>
      <c r="DK21" s="109">
        <v>0</v>
      </c>
      <c r="DL21" s="109" t="s">
        <v>226</v>
      </c>
      <c r="DM21" s="109">
        <v>47.74</v>
      </c>
    </row>
    <row r="22" ht="13.8" hidden="1" spans="1:117">
      <c r="A22" s="109">
        <v>2</v>
      </c>
      <c r="B22" s="109" t="s">
        <v>399</v>
      </c>
      <c r="C22" s="109" t="s">
        <v>203</v>
      </c>
      <c r="D22" s="109" t="s">
        <v>225</v>
      </c>
      <c r="E22" s="109" t="s">
        <v>226</v>
      </c>
      <c r="F22" s="110">
        <v>46238</v>
      </c>
      <c r="G22" s="109" t="s">
        <v>240</v>
      </c>
      <c r="H22" s="109" t="s">
        <v>400</v>
      </c>
      <c r="I22" s="109" t="s">
        <v>216</v>
      </c>
      <c r="J22" s="109" t="s">
        <v>217</v>
      </c>
      <c r="K22" s="109" t="s">
        <v>218</v>
      </c>
      <c r="L22" s="109" t="s">
        <v>219</v>
      </c>
      <c r="M22" s="207" t="s">
        <v>242</v>
      </c>
      <c r="N22" s="109" t="s">
        <v>220</v>
      </c>
      <c r="O22" s="109" t="s">
        <v>221</v>
      </c>
      <c r="P22" s="109" t="s">
        <v>243</v>
      </c>
      <c r="Q22" s="109" t="s">
        <v>216</v>
      </c>
      <c r="R22" s="109" t="s">
        <v>217</v>
      </c>
      <c r="S22" s="109" t="s">
        <v>220</v>
      </c>
      <c r="T22" s="109" t="s">
        <v>221</v>
      </c>
      <c r="U22" s="109" t="s">
        <v>216</v>
      </c>
      <c r="V22" s="109" t="s">
        <v>217</v>
      </c>
      <c r="W22" s="109" t="s">
        <v>218</v>
      </c>
      <c r="X22" s="109" t="s">
        <v>219</v>
      </c>
      <c r="Y22" s="109" t="s">
        <v>220</v>
      </c>
      <c r="Z22" s="109" t="s">
        <v>221</v>
      </c>
      <c r="AA22" s="109" t="s">
        <v>222</v>
      </c>
      <c r="AB22" s="109" t="s">
        <v>223</v>
      </c>
      <c r="AC22" s="109" t="s">
        <v>401</v>
      </c>
      <c r="AD22" s="109" t="s">
        <v>402</v>
      </c>
      <c r="AE22" s="109" t="s">
        <v>403</v>
      </c>
      <c r="AF22" s="109" t="s">
        <v>295</v>
      </c>
      <c r="AG22" s="109" t="s">
        <v>404</v>
      </c>
      <c r="AH22" s="109" t="s">
        <v>297</v>
      </c>
      <c r="AI22" s="109" t="s">
        <v>401</v>
      </c>
      <c r="AJ22" s="109" t="s">
        <v>402</v>
      </c>
      <c r="AK22" s="109" t="s">
        <v>404</v>
      </c>
      <c r="AL22" s="109" t="s">
        <v>297</v>
      </c>
      <c r="AM22" s="109" t="s">
        <v>298</v>
      </c>
      <c r="AN22" s="207" t="s">
        <v>405</v>
      </c>
      <c r="AO22" s="109">
        <v>32.8</v>
      </c>
      <c r="AP22" s="109">
        <v>0</v>
      </c>
      <c r="AQ22" s="109">
        <v>4</v>
      </c>
      <c r="AR22" s="109">
        <v>0</v>
      </c>
      <c r="AS22" s="109" t="s">
        <v>252</v>
      </c>
      <c r="AT22" s="109" t="s">
        <v>229</v>
      </c>
      <c r="AU22" s="110">
        <v>46253</v>
      </c>
      <c r="AV22" s="109">
        <v>133.48</v>
      </c>
      <c r="AW22" s="109" t="s">
        <v>230</v>
      </c>
      <c r="AX22" s="109" t="s">
        <v>230</v>
      </c>
      <c r="AY22" s="109">
        <v>5035.5</v>
      </c>
      <c r="AZ22" s="109" t="s">
        <v>232</v>
      </c>
      <c r="BA22" s="109" t="s">
        <v>300</v>
      </c>
      <c r="BB22" s="109">
        <v>133.48</v>
      </c>
      <c r="BC22" s="109">
        <v>117.46</v>
      </c>
      <c r="BD22" s="109">
        <v>133.48</v>
      </c>
      <c r="BE22" s="109">
        <v>16.02</v>
      </c>
      <c r="BF22" s="111">
        <v>0.12</v>
      </c>
      <c r="BG22" s="109">
        <v>0</v>
      </c>
      <c r="BH22" s="109">
        <v>32.8</v>
      </c>
      <c r="BI22" s="109">
        <v>56.8</v>
      </c>
      <c r="BJ22" s="109">
        <v>0</v>
      </c>
      <c r="BK22" s="109">
        <v>17</v>
      </c>
      <c r="BL22" s="109">
        <v>0</v>
      </c>
      <c r="BM22" s="109">
        <v>9.76</v>
      </c>
      <c r="BN22" s="109">
        <v>7.55</v>
      </c>
      <c r="BO22" s="109">
        <v>5.5</v>
      </c>
      <c r="BP22" s="109">
        <v>3.23</v>
      </c>
      <c r="BQ22" s="109">
        <v>0</v>
      </c>
      <c r="BR22" s="109">
        <v>0</v>
      </c>
      <c r="BS22" s="109">
        <v>0</v>
      </c>
      <c r="BT22" s="109">
        <v>0</v>
      </c>
      <c r="BU22" s="109">
        <v>0</v>
      </c>
      <c r="BV22" s="109">
        <v>0</v>
      </c>
      <c r="BW22" s="109">
        <v>0</v>
      </c>
      <c r="BX22" s="109">
        <v>0</v>
      </c>
      <c r="BY22" s="109">
        <v>0</v>
      </c>
      <c r="BZ22" s="109">
        <v>0</v>
      </c>
      <c r="CA22" s="109">
        <v>17.62</v>
      </c>
      <c r="CB22" s="109" t="s">
        <v>225</v>
      </c>
      <c r="CC22" s="109" t="s">
        <v>295</v>
      </c>
      <c r="CD22" s="109">
        <v>415.44</v>
      </c>
      <c r="CE22" s="109">
        <v>0</v>
      </c>
      <c r="CF22" s="109">
        <v>0</v>
      </c>
      <c r="CG22" s="109">
        <v>0</v>
      </c>
      <c r="CH22" s="109">
        <v>0</v>
      </c>
      <c r="CI22" s="109">
        <v>0</v>
      </c>
      <c r="CJ22" s="109">
        <v>0</v>
      </c>
      <c r="CK22" s="109">
        <v>0</v>
      </c>
      <c r="CL22" s="109"/>
      <c r="CM22" s="109"/>
      <c r="CN22" s="109">
        <v>0</v>
      </c>
      <c r="CO22" s="109">
        <v>0</v>
      </c>
      <c r="CP22" s="109">
        <v>0</v>
      </c>
      <c r="CQ22" s="109">
        <v>0</v>
      </c>
      <c r="CR22" s="109">
        <v>0</v>
      </c>
      <c r="CS22" s="109">
        <v>0</v>
      </c>
      <c r="CT22" s="109">
        <v>0</v>
      </c>
      <c r="CU22" s="109">
        <v>12</v>
      </c>
      <c r="CV22" s="109" t="s">
        <v>254</v>
      </c>
      <c r="CW22" s="109">
        <v>0</v>
      </c>
      <c r="CX22" s="109"/>
      <c r="CY22" s="109">
        <v>18</v>
      </c>
      <c r="CZ22" s="109" t="s">
        <v>254</v>
      </c>
      <c r="DA22" s="109">
        <v>0</v>
      </c>
      <c r="DB22" s="109"/>
      <c r="DE22" s="109">
        <v>0</v>
      </c>
      <c r="DF22" s="109" t="s">
        <v>236</v>
      </c>
      <c r="DG22" s="109" t="s">
        <v>221</v>
      </c>
      <c r="DH22" s="109" t="s">
        <v>220</v>
      </c>
      <c r="DI22" s="109">
        <v>9026067267</v>
      </c>
      <c r="DJ22" s="109" t="s">
        <v>222</v>
      </c>
      <c r="DK22" s="109">
        <v>0</v>
      </c>
      <c r="DL22" s="109" t="s">
        <v>226</v>
      </c>
      <c r="DM22" s="109">
        <v>16.02</v>
      </c>
    </row>
    <row r="23" ht="13.8" hidden="1" spans="1:117">
      <c r="A23" s="109">
        <v>2</v>
      </c>
      <c r="B23" s="109" t="s">
        <v>406</v>
      </c>
      <c r="C23" s="109" t="s">
        <v>203</v>
      </c>
      <c r="D23" s="109" t="s">
        <v>225</v>
      </c>
      <c r="E23" s="109" t="s">
        <v>226</v>
      </c>
      <c r="F23" s="110">
        <v>46238</v>
      </c>
      <c r="G23" s="109" t="s">
        <v>240</v>
      </c>
      <c r="H23" s="109" t="s">
        <v>407</v>
      </c>
      <c r="I23" s="109" t="s">
        <v>216</v>
      </c>
      <c r="J23" s="109" t="s">
        <v>217</v>
      </c>
      <c r="K23" s="109" t="s">
        <v>218</v>
      </c>
      <c r="L23" s="109" t="s">
        <v>219</v>
      </c>
      <c r="M23" s="207" t="s">
        <v>242</v>
      </c>
      <c r="N23" s="109" t="s">
        <v>220</v>
      </c>
      <c r="O23" s="109" t="s">
        <v>221</v>
      </c>
      <c r="P23" s="109" t="s">
        <v>243</v>
      </c>
      <c r="Q23" s="109" t="s">
        <v>216</v>
      </c>
      <c r="R23" s="109" t="s">
        <v>217</v>
      </c>
      <c r="S23" s="109" t="s">
        <v>220</v>
      </c>
      <c r="T23" s="109" t="s">
        <v>221</v>
      </c>
      <c r="U23" s="109" t="s">
        <v>216</v>
      </c>
      <c r="V23" s="109" t="s">
        <v>217</v>
      </c>
      <c r="W23" s="109" t="s">
        <v>218</v>
      </c>
      <c r="X23" s="109" t="s">
        <v>219</v>
      </c>
      <c r="Y23" s="109" t="s">
        <v>220</v>
      </c>
      <c r="Z23" s="109" t="s">
        <v>221</v>
      </c>
      <c r="AA23" s="109" t="s">
        <v>222</v>
      </c>
      <c r="AB23" s="109" t="s">
        <v>223</v>
      </c>
      <c r="AC23" s="109" t="s">
        <v>408</v>
      </c>
      <c r="AD23" s="109" t="s">
        <v>409</v>
      </c>
      <c r="AE23" s="109" t="s">
        <v>246</v>
      </c>
      <c r="AF23" s="109" t="s">
        <v>247</v>
      </c>
      <c r="AG23" s="109" t="s">
        <v>248</v>
      </c>
      <c r="AH23" s="109" t="s">
        <v>249</v>
      </c>
      <c r="AI23" s="109" t="s">
        <v>408</v>
      </c>
      <c r="AJ23" s="109" t="s">
        <v>409</v>
      </c>
      <c r="AK23" s="109" t="s">
        <v>248</v>
      </c>
      <c r="AL23" s="109" t="s">
        <v>249</v>
      </c>
      <c r="AM23" s="109" t="s">
        <v>250</v>
      </c>
      <c r="AN23" s="207" t="s">
        <v>410</v>
      </c>
      <c r="AO23" s="109">
        <v>1600</v>
      </c>
      <c r="AP23" s="109">
        <v>0</v>
      </c>
      <c r="AQ23" s="109">
        <v>100</v>
      </c>
      <c r="AR23" s="109">
        <v>0</v>
      </c>
      <c r="AS23" s="109" t="s">
        <v>252</v>
      </c>
      <c r="AT23" s="109" t="s">
        <v>229</v>
      </c>
      <c r="AU23" s="110">
        <v>46253</v>
      </c>
      <c r="AV23" s="109">
        <v>2038.49</v>
      </c>
      <c r="AW23" s="109" t="s">
        <v>230</v>
      </c>
      <c r="AX23" s="109" t="s">
        <v>230</v>
      </c>
      <c r="AY23" s="109">
        <v>47143.95</v>
      </c>
      <c r="AZ23" s="109" t="s">
        <v>232</v>
      </c>
      <c r="BA23" s="109" t="s">
        <v>253</v>
      </c>
      <c r="BB23" s="109">
        <v>2038.49</v>
      </c>
      <c r="BC23" s="109">
        <v>1793.87</v>
      </c>
      <c r="BD23" s="109">
        <v>2038.49</v>
      </c>
      <c r="BE23" s="109">
        <v>244.62</v>
      </c>
      <c r="BF23" s="111">
        <v>0.12</v>
      </c>
      <c r="BG23" s="109">
        <v>0</v>
      </c>
      <c r="BH23" s="109">
        <v>1600</v>
      </c>
      <c r="BI23" s="109">
        <v>1440.16</v>
      </c>
      <c r="BJ23" s="109">
        <v>0</v>
      </c>
      <c r="BK23" s="109">
        <v>17</v>
      </c>
      <c r="BL23" s="109">
        <v>0</v>
      </c>
      <c r="BM23" s="109">
        <v>9.76</v>
      </c>
      <c r="BN23" s="109">
        <v>70.72</v>
      </c>
      <c r="BO23" s="109">
        <v>88</v>
      </c>
      <c r="BP23" s="109">
        <v>3.23</v>
      </c>
      <c r="BQ23" s="109">
        <v>0</v>
      </c>
      <c r="BR23" s="109">
        <v>0</v>
      </c>
      <c r="BS23" s="109">
        <v>0</v>
      </c>
      <c r="BT23" s="109">
        <v>0</v>
      </c>
      <c r="BU23" s="109">
        <v>0</v>
      </c>
      <c r="BV23" s="109">
        <v>0</v>
      </c>
      <c r="BW23" s="109">
        <v>0</v>
      </c>
      <c r="BX23" s="109">
        <v>0</v>
      </c>
      <c r="BY23" s="109">
        <v>0</v>
      </c>
      <c r="BZ23" s="109">
        <v>0</v>
      </c>
      <c r="CA23" s="109">
        <v>165</v>
      </c>
      <c r="CB23" s="109" t="s">
        <v>225</v>
      </c>
      <c r="CC23" s="109" t="s">
        <v>247</v>
      </c>
      <c r="CD23" s="109">
        <v>4462.54</v>
      </c>
      <c r="CE23" s="109">
        <v>0</v>
      </c>
      <c r="CF23" s="109">
        <v>0</v>
      </c>
      <c r="CG23" s="109">
        <v>0</v>
      </c>
      <c r="CH23" s="109">
        <v>0</v>
      </c>
      <c r="CI23" s="109">
        <v>0</v>
      </c>
      <c r="CJ23" s="109">
        <v>0</v>
      </c>
      <c r="CK23" s="109">
        <v>0</v>
      </c>
      <c r="CL23" s="109"/>
      <c r="CM23" s="109"/>
      <c r="CN23" s="109">
        <v>0</v>
      </c>
      <c r="CO23" s="109">
        <v>0</v>
      </c>
      <c r="CP23" s="109">
        <v>0</v>
      </c>
      <c r="CQ23" s="109">
        <v>0</v>
      </c>
      <c r="CR23" s="109">
        <v>0</v>
      </c>
      <c r="CS23" s="109">
        <v>0</v>
      </c>
      <c r="CT23" s="109">
        <v>0</v>
      </c>
      <c r="CU23" s="109">
        <v>240</v>
      </c>
      <c r="CV23" s="109" t="s">
        <v>254</v>
      </c>
      <c r="CW23" s="109">
        <v>0</v>
      </c>
      <c r="CX23" s="109"/>
      <c r="CY23" s="109">
        <v>288</v>
      </c>
      <c r="CZ23" s="109" t="s">
        <v>254</v>
      </c>
      <c r="DA23" s="109">
        <v>0</v>
      </c>
      <c r="DB23" s="109"/>
      <c r="DE23" s="109">
        <v>0</v>
      </c>
      <c r="DF23" s="109" t="s">
        <v>236</v>
      </c>
      <c r="DG23" s="109" t="s">
        <v>221</v>
      </c>
      <c r="DH23" s="109" t="s">
        <v>220</v>
      </c>
      <c r="DI23" s="109">
        <v>9026067267</v>
      </c>
      <c r="DJ23" s="109" t="s">
        <v>222</v>
      </c>
      <c r="DK23" s="109">
        <v>0</v>
      </c>
      <c r="DL23" s="109" t="s">
        <v>226</v>
      </c>
      <c r="DM23" s="109">
        <v>244.62</v>
      </c>
    </row>
    <row r="24" ht="13.8" hidden="1" spans="1:117">
      <c r="A24" s="109">
        <v>2</v>
      </c>
      <c r="B24" s="109" t="s">
        <v>411</v>
      </c>
      <c r="C24" s="109" t="s">
        <v>412</v>
      </c>
      <c r="D24" s="109" t="s">
        <v>225</v>
      </c>
      <c r="E24" s="109" t="s">
        <v>226</v>
      </c>
      <c r="F24" s="110">
        <v>46239</v>
      </c>
      <c r="G24" s="109" t="s">
        <v>413</v>
      </c>
      <c r="H24" s="109" t="s">
        <v>414</v>
      </c>
      <c r="I24" s="109" t="s">
        <v>216</v>
      </c>
      <c r="J24" s="109" t="s">
        <v>217</v>
      </c>
      <c r="K24" s="109" t="s">
        <v>218</v>
      </c>
      <c r="L24" s="109" t="s">
        <v>219</v>
      </c>
      <c r="M24" s="207" t="s">
        <v>242</v>
      </c>
      <c r="N24" s="109" t="s">
        <v>220</v>
      </c>
      <c r="O24" s="109" t="s">
        <v>221</v>
      </c>
      <c r="P24" s="109" t="s">
        <v>243</v>
      </c>
      <c r="Q24" s="109" t="s">
        <v>216</v>
      </c>
      <c r="R24" s="109" t="s">
        <v>217</v>
      </c>
      <c r="S24" s="109" t="s">
        <v>220</v>
      </c>
      <c r="T24" s="109" t="s">
        <v>221</v>
      </c>
      <c r="U24" s="109" t="s">
        <v>216</v>
      </c>
      <c r="V24" s="109" t="s">
        <v>217</v>
      </c>
      <c r="W24" s="109" t="s">
        <v>218</v>
      </c>
      <c r="X24" s="109" t="s">
        <v>219</v>
      </c>
      <c r="Y24" s="109" t="s">
        <v>220</v>
      </c>
      <c r="Z24" s="109" t="s">
        <v>221</v>
      </c>
      <c r="AA24" s="109" t="s">
        <v>222</v>
      </c>
      <c r="AB24" s="109" t="s">
        <v>223</v>
      </c>
      <c r="AC24" s="109" t="s">
        <v>415</v>
      </c>
      <c r="AD24" s="109" t="s">
        <v>416</v>
      </c>
      <c r="AE24" s="109" t="s">
        <v>417</v>
      </c>
      <c r="AF24" s="109" t="s">
        <v>295</v>
      </c>
      <c r="AG24" s="109" t="s">
        <v>296</v>
      </c>
      <c r="AH24" s="109" t="s">
        <v>297</v>
      </c>
      <c r="AI24" s="109" t="s">
        <v>415</v>
      </c>
      <c r="AJ24" s="109" t="s">
        <v>416</v>
      </c>
      <c r="AK24" s="109" t="s">
        <v>296</v>
      </c>
      <c r="AL24" s="109" t="s">
        <v>297</v>
      </c>
      <c r="AM24" s="109" t="s">
        <v>298</v>
      </c>
      <c r="AN24" s="207" t="s">
        <v>418</v>
      </c>
      <c r="AO24" s="109">
        <v>49.28</v>
      </c>
      <c r="AP24" s="109">
        <v>0</v>
      </c>
      <c r="AQ24" s="109">
        <v>3</v>
      </c>
      <c r="AR24" s="109">
        <v>0</v>
      </c>
      <c r="AS24" s="109" t="s">
        <v>252</v>
      </c>
      <c r="AT24" s="109" t="s">
        <v>229</v>
      </c>
      <c r="AU24" s="110">
        <v>46253</v>
      </c>
      <c r="AV24" s="109">
        <v>284.09</v>
      </c>
      <c r="AW24" s="109" t="s">
        <v>230</v>
      </c>
      <c r="AX24" s="109" t="s">
        <v>230</v>
      </c>
      <c r="AY24" s="109">
        <v>1473.07</v>
      </c>
      <c r="AZ24" s="109" t="s">
        <v>419</v>
      </c>
      <c r="BA24" s="109"/>
      <c r="BB24" s="109">
        <v>284.09</v>
      </c>
      <c r="BC24" s="109">
        <v>250</v>
      </c>
      <c r="BD24" s="109">
        <v>284.09</v>
      </c>
      <c r="BE24" s="109">
        <v>34.09</v>
      </c>
      <c r="BF24" s="111">
        <v>0.12</v>
      </c>
      <c r="BG24" s="109">
        <v>0</v>
      </c>
      <c r="BH24" s="109">
        <v>49.28</v>
      </c>
      <c r="BI24" s="109">
        <v>0</v>
      </c>
      <c r="BJ24" s="109">
        <v>250</v>
      </c>
      <c r="BK24" s="109">
        <v>0</v>
      </c>
      <c r="BL24" s="109">
        <v>0</v>
      </c>
      <c r="BM24" s="109">
        <v>0</v>
      </c>
      <c r="BN24" s="109">
        <v>0</v>
      </c>
      <c r="BO24" s="109">
        <v>0</v>
      </c>
      <c r="BP24" s="109">
        <v>0</v>
      </c>
      <c r="BQ24" s="109">
        <v>0</v>
      </c>
      <c r="BR24" s="109">
        <v>0</v>
      </c>
      <c r="BS24" s="109">
        <v>0</v>
      </c>
      <c r="BT24" s="109">
        <v>0</v>
      </c>
      <c r="BU24" s="109">
        <v>0</v>
      </c>
      <c r="BV24" s="109">
        <v>0</v>
      </c>
      <c r="BW24" s="109">
        <v>0</v>
      </c>
      <c r="BX24" s="109">
        <v>0</v>
      </c>
      <c r="BY24" s="109">
        <v>0</v>
      </c>
      <c r="BZ24" s="109">
        <v>0</v>
      </c>
      <c r="CA24" s="109">
        <v>0</v>
      </c>
      <c r="CB24" s="109" t="s">
        <v>225</v>
      </c>
      <c r="CC24" s="109" t="s">
        <v>295</v>
      </c>
      <c r="CD24" s="109">
        <v>372.72</v>
      </c>
      <c r="CE24" s="109">
        <v>0</v>
      </c>
      <c r="CF24" s="109">
        <v>0</v>
      </c>
      <c r="CG24" s="109">
        <v>0</v>
      </c>
      <c r="CH24" s="109">
        <v>0</v>
      </c>
      <c r="CI24" s="109">
        <v>0</v>
      </c>
      <c r="CJ24" s="109">
        <v>0</v>
      </c>
      <c r="CK24" s="109">
        <v>0</v>
      </c>
      <c r="CL24" s="109"/>
      <c r="CM24" s="109"/>
      <c r="CN24" s="109">
        <v>0</v>
      </c>
      <c r="CO24" s="109">
        <v>0</v>
      </c>
      <c r="CP24" s="109">
        <v>0</v>
      </c>
      <c r="CQ24" s="109">
        <v>0</v>
      </c>
      <c r="CR24" s="109">
        <v>0</v>
      </c>
      <c r="CS24" s="109">
        <v>0</v>
      </c>
      <c r="CT24" s="109">
        <v>0</v>
      </c>
      <c r="CU24" s="109">
        <v>0</v>
      </c>
      <c r="CV24" s="109" t="s">
        <v>289</v>
      </c>
      <c r="CW24" s="109">
        <v>0</v>
      </c>
      <c r="CX24" s="109"/>
      <c r="CY24" s="109">
        <v>0</v>
      </c>
      <c r="CZ24" s="109" t="s">
        <v>289</v>
      </c>
      <c r="DA24" s="109">
        <v>0</v>
      </c>
      <c r="DB24" s="109"/>
      <c r="DE24" s="109">
        <v>0</v>
      </c>
      <c r="DF24" s="109" t="s">
        <v>236</v>
      </c>
      <c r="DG24" s="109" t="s">
        <v>221</v>
      </c>
      <c r="DH24" s="109" t="s">
        <v>220</v>
      </c>
      <c r="DI24" s="109">
        <v>9026067267</v>
      </c>
      <c r="DJ24" s="109" t="s">
        <v>222</v>
      </c>
      <c r="DK24" s="109">
        <v>0</v>
      </c>
      <c r="DL24" s="109" t="s">
        <v>226</v>
      </c>
      <c r="DM24" s="109">
        <v>34.09</v>
      </c>
    </row>
    <row r="25" ht="13.8" hidden="1" spans="1:117">
      <c r="A25" s="109">
        <v>2</v>
      </c>
      <c r="B25" s="109" t="s">
        <v>420</v>
      </c>
      <c r="C25" s="109" t="s">
        <v>203</v>
      </c>
      <c r="D25" s="109" t="s">
        <v>225</v>
      </c>
      <c r="E25" s="109" t="s">
        <v>226</v>
      </c>
      <c r="F25" s="110">
        <v>46239</v>
      </c>
      <c r="G25" s="109" t="s">
        <v>421</v>
      </c>
      <c r="H25" s="109" t="s">
        <v>422</v>
      </c>
      <c r="I25" s="109" t="s">
        <v>216</v>
      </c>
      <c r="J25" s="109" t="s">
        <v>217</v>
      </c>
      <c r="K25" s="109" t="s">
        <v>218</v>
      </c>
      <c r="L25" s="109" t="s">
        <v>219</v>
      </c>
      <c r="M25" s="207" t="s">
        <v>242</v>
      </c>
      <c r="N25" s="109" t="s">
        <v>220</v>
      </c>
      <c r="O25" s="109" t="s">
        <v>221</v>
      </c>
      <c r="P25" s="109" t="s">
        <v>243</v>
      </c>
      <c r="Q25" s="109" t="s">
        <v>216</v>
      </c>
      <c r="R25" s="109" t="s">
        <v>217</v>
      </c>
      <c r="S25" s="109" t="s">
        <v>220</v>
      </c>
      <c r="T25" s="109" t="s">
        <v>221</v>
      </c>
      <c r="U25" s="109" t="s">
        <v>216</v>
      </c>
      <c r="V25" s="109" t="s">
        <v>217</v>
      </c>
      <c r="W25" s="109" t="s">
        <v>218</v>
      </c>
      <c r="X25" s="109" t="s">
        <v>219</v>
      </c>
      <c r="Y25" s="109" t="s">
        <v>220</v>
      </c>
      <c r="Z25" s="109" t="s">
        <v>221</v>
      </c>
      <c r="AA25" s="109" t="s">
        <v>222</v>
      </c>
      <c r="AB25" s="109" t="s">
        <v>223</v>
      </c>
      <c r="AC25" s="109" t="s">
        <v>423</v>
      </c>
      <c r="AD25" s="109" t="s">
        <v>424</v>
      </c>
      <c r="AE25" s="109" t="s">
        <v>403</v>
      </c>
      <c r="AF25" s="109" t="s">
        <v>295</v>
      </c>
      <c r="AG25" s="109" t="s">
        <v>425</v>
      </c>
      <c r="AH25" s="109" t="s">
        <v>297</v>
      </c>
      <c r="AI25" s="109" t="s">
        <v>423</v>
      </c>
      <c r="AJ25" s="109" t="s">
        <v>424</v>
      </c>
      <c r="AK25" s="109" t="s">
        <v>425</v>
      </c>
      <c r="AL25" s="109" t="s">
        <v>297</v>
      </c>
      <c r="AM25" s="109" t="s">
        <v>298</v>
      </c>
      <c r="AN25" s="207" t="s">
        <v>426</v>
      </c>
      <c r="AO25" s="109">
        <v>35.061</v>
      </c>
      <c r="AP25" s="109">
        <v>0</v>
      </c>
      <c r="AQ25" s="109">
        <v>3</v>
      </c>
      <c r="AR25" s="109">
        <v>0</v>
      </c>
      <c r="AS25" s="109" t="s">
        <v>252</v>
      </c>
      <c r="AT25" s="109" t="s">
        <v>229</v>
      </c>
      <c r="AU25" s="110">
        <v>46253</v>
      </c>
      <c r="AV25" s="109">
        <v>113.5</v>
      </c>
      <c r="AW25" s="109" t="s">
        <v>230</v>
      </c>
      <c r="AX25" s="109" t="s">
        <v>230</v>
      </c>
      <c r="AY25" s="109">
        <v>1517.68</v>
      </c>
      <c r="AZ25" s="109" t="s">
        <v>232</v>
      </c>
      <c r="BA25" s="109" t="s">
        <v>300</v>
      </c>
      <c r="BB25" s="109">
        <v>113.5</v>
      </c>
      <c r="BC25" s="109">
        <v>99.88</v>
      </c>
      <c r="BD25" s="109">
        <v>113.5</v>
      </c>
      <c r="BE25" s="109">
        <v>13.62</v>
      </c>
      <c r="BF25" s="111">
        <v>0.12</v>
      </c>
      <c r="BG25" s="109">
        <v>0</v>
      </c>
      <c r="BH25" s="109">
        <v>35.061</v>
      </c>
      <c r="BI25" s="109">
        <v>56.8</v>
      </c>
      <c r="BJ25" s="109">
        <v>0</v>
      </c>
      <c r="BK25" s="109">
        <v>17</v>
      </c>
      <c r="BL25" s="109">
        <v>0</v>
      </c>
      <c r="BM25" s="109">
        <v>9.76</v>
      </c>
      <c r="BN25" s="109">
        <v>2.28</v>
      </c>
      <c r="BO25" s="109">
        <v>5.5</v>
      </c>
      <c r="BP25" s="109">
        <v>3.23</v>
      </c>
      <c r="BQ25" s="109">
        <v>0</v>
      </c>
      <c r="BR25" s="109">
        <v>0</v>
      </c>
      <c r="BS25" s="109">
        <v>0</v>
      </c>
      <c r="BT25" s="109">
        <v>0</v>
      </c>
      <c r="BU25" s="109">
        <v>0</v>
      </c>
      <c r="BV25" s="109">
        <v>0</v>
      </c>
      <c r="BW25" s="109">
        <v>0</v>
      </c>
      <c r="BX25" s="109">
        <v>0</v>
      </c>
      <c r="BY25" s="109">
        <v>0</v>
      </c>
      <c r="BZ25" s="109">
        <v>0</v>
      </c>
      <c r="CA25" s="109">
        <v>5.31</v>
      </c>
      <c r="CB25" s="109" t="s">
        <v>225</v>
      </c>
      <c r="CC25" s="109" t="s">
        <v>295</v>
      </c>
      <c r="CD25" s="109">
        <v>373.23</v>
      </c>
      <c r="CE25" s="109">
        <v>0</v>
      </c>
      <c r="CF25" s="109">
        <v>0</v>
      </c>
      <c r="CG25" s="109">
        <v>0</v>
      </c>
      <c r="CH25" s="109">
        <v>0</v>
      </c>
      <c r="CI25" s="109">
        <v>0</v>
      </c>
      <c r="CJ25" s="109">
        <v>0</v>
      </c>
      <c r="CK25" s="109">
        <v>0</v>
      </c>
      <c r="CL25" s="109"/>
      <c r="CM25" s="109"/>
      <c r="CN25" s="109">
        <v>0</v>
      </c>
      <c r="CO25" s="109">
        <v>0</v>
      </c>
      <c r="CP25" s="109">
        <v>0</v>
      </c>
      <c r="CQ25" s="109">
        <v>0</v>
      </c>
      <c r="CR25" s="109">
        <v>0</v>
      </c>
      <c r="CS25" s="109">
        <v>0</v>
      </c>
      <c r="CT25" s="109">
        <v>0</v>
      </c>
      <c r="CU25" s="109">
        <v>12</v>
      </c>
      <c r="CV25" s="109" t="s">
        <v>254</v>
      </c>
      <c r="CW25" s="109">
        <v>0</v>
      </c>
      <c r="CX25" s="109"/>
      <c r="CY25" s="109">
        <v>18</v>
      </c>
      <c r="CZ25" s="109" t="s">
        <v>254</v>
      </c>
      <c r="DA25" s="109">
        <v>0</v>
      </c>
      <c r="DB25" s="109"/>
      <c r="DE25" s="109">
        <v>0</v>
      </c>
      <c r="DF25" s="109" t="s">
        <v>236</v>
      </c>
      <c r="DG25" s="109" t="s">
        <v>221</v>
      </c>
      <c r="DH25" s="109" t="s">
        <v>220</v>
      </c>
      <c r="DI25" s="109">
        <v>9026067267</v>
      </c>
      <c r="DJ25" s="109" t="s">
        <v>222</v>
      </c>
      <c r="DK25" s="109">
        <v>0</v>
      </c>
      <c r="DL25" s="109" t="s">
        <v>226</v>
      </c>
      <c r="DM25" s="109">
        <v>13.62</v>
      </c>
    </row>
    <row r="26" ht="13.8" hidden="1" spans="1:117">
      <c r="A26" s="109">
        <v>2</v>
      </c>
      <c r="B26" s="109" t="s">
        <v>427</v>
      </c>
      <c r="C26" s="109" t="s">
        <v>203</v>
      </c>
      <c r="D26" s="109" t="s">
        <v>225</v>
      </c>
      <c r="E26" s="109" t="s">
        <v>226</v>
      </c>
      <c r="F26" s="110">
        <v>46239</v>
      </c>
      <c r="G26" s="109" t="s">
        <v>421</v>
      </c>
      <c r="H26" s="109" t="s">
        <v>428</v>
      </c>
      <c r="I26" s="109" t="s">
        <v>216</v>
      </c>
      <c r="J26" s="109" t="s">
        <v>217</v>
      </c>
      <c r="K26" s="109" t="s">
        <v>218</v>
      </c>
      <c r="L26" s="109" t="s">
        <v>219</v>
      </c>
      <c r="M26" s="207" t="s">
        <v>242</v>
      </c>
      <c r="N26" s="109" t="s">
        <v>220</v>
      </c>
      <c r="O26" s="109" t="s">
        <v>221</v>
      </c>
      <c r="P26" s="109" t="s">
        <v>243</v>
      </c>
      <c r="Q26" s="109" t="s">
        <v>216</v>
      </c>
      <c r="R26" s="109" t="s">
        <v>217</v>
      </c>
      <c r="S26" s="109" t="s">
        <v>220</v>
      </c>
      <c r="T26" s="109" t="s">
        <v>221</v>
      </c>
      <c r="U26" s="109" t="s">
        <v>216</v>
      </c>
      <c r="V26" s="109" t="s">
        <v>217</v>
      </c>
      <c r="W26" s="109" t="s">
        <v>218</v>
      </c>
      <c r="X26" s="109" t="s">
        <v>219</v>
      </c>
      <c r="Y26" s="109" t="s">
        <v>220</v>
      </c>
      <c r="Z26" s="109" t="s">
        <v>221</v>
      </c>
      <c r="AA26" s="109" t="s">
        <v>222</v>
      </c>
      <c r="AB26" s="109" t="s">
        <v>223</v>
      </c>
      <c r="AC26" s="109" t="s">
        <v>429</v>
      </c>
      <c r="AD26" s="109" t="s">
        <v>430</v>
      </c>
      <c r="AE26" s="109">
        <v>369</v>
      </c>
      <c r="AF26" s="109" t="s">
        <v>431</v>
      </c>
      <c r="AG26" s="109" t="s">
        <v>432</v>
      </c>
      <c r="AH26" s="109" t="s">
        <v>214</v>
      </c>
      <c r="AI26" s="109" t="s">
        <v>429</v>
      </c>
      <c r="AJ26" s="109" t="s">
        <v>430</v>
      </c>
      <c r="AK26" s="109" t="s">
        <v>432</v>
      </c>
      <c r="AL26" s="109" t="s">
        <v>214</v>
      </c>
      <c r="AM26" s="109" t="s">
        <v>433</v>
      </c>
      <c r="AN26" s="207" t="s">
        <v>434</v>
      </c>
      <c r="AO26" s="109">
        <v>149.4</v>
      </c>
      <c r="AP26" s="109">
        <v>0</v>
      </c>
      <c r="AQ26" s="109">
        <v>9</v>
      </c>
      <c r="AR26" s="109">
        <v>0</v>
      </c>
      <c r="AS26" s="109" t="s">
        <v>252</v>
      </c>
      <c r="AT26" s="109" t="s">
        <v>229</v>
      </c>
      <c r="AU26" s="110">
        <v>46253</v>
      </c>
      <c r="AV26" s="109">
        <v>268.61</v>
      </c>
      <c r="AW26" s="109" t="s">
        <v>230</v>
      </c>
      <c r="AX26" s="109" t="s">
        <v>230</v>
      </c>
      <c r="AY26" s="109">
        <v>3212.6</v>
      </c>
      <c r="AZ26" s="109" t="s">
        <v>232</v>
      </c>
      <c r="BA26" s="109" t="s">
        <v>233</v>
      </c>
      <c r="BB26" s="109">
        <v>268.61</v>
      </c>
      <c r="BC26" s="109">
        <v>236.38</v>
      </c>
      <c r="BD26" s="109">
        <v>268.61</v>
      </c>
      <c r="BE26" s="109">
        <v>32.23</v>
      </c>
      <c r="BF26" s="111">
        <v>0.12</v>
      </c>
      <c r="BG26" s="109">
        <v>0</v>
      </c>
      <c r="BH26" s="109">
        <v>149.4</v>
      </c>
      <c r="BI26" s="109">
        <v>179.33</v>
      </c>
      <c r="BJ26" s="109">
        <v>0</v>
      </c>
      <c r="BK26" s="109">
        <v>17</v>
      </c>
      <c r="BL26" s="109">
        <v>0</v>
      </c>
      <c r="BM26" s="109">
        <v>9.76</v>
      </c>
      <c r="BN26" s="109">
        <v>4.82</v>
      </c>
      <c r="BO26" s="109">
        <v>11</v>
      </c>
      <c r="BP26" s="109">
        <v>3.23</v>
      </c>
      <c r="BQ26" s="109">
        <v>0</v>
      </c>
      <c r="BR26" s="109">
        <v>0</v>
      </c>
      <c r="BS26" s="109">
        <v>0</v>
      </c>
      <c r="BT26" s="109">
        <v>0</v>
      </c>
      <c r="BU26" s="109">
        <v>0</v>
      </c>
      <c r="BV26" s="109">
        <v>0</v>
      </c>
      <c r="BW26" s="109">
        <v>0</v>
      </c>
      <c r="BX26" s="109">
        <v>0</v>
      </c>
      <c r="BY26" s="109">
        <v>0</v>
      </c>
      <c r="BZ26" s="109">
        <v>0</v>
      </c>
      <c r="CA26" s="109">
        <v>11.24</v>
      </c>
      <c r="CB26" s="109" t="s">
        <v>225</v>
      </c>
      <c r="CC26" s="109" t="s">
        <v>234</v>
      </c>
      <c r="CD26" s="109">
        <v>391.79</v>
      </c>
      <c r="CE26" s="109">
        <v>0</v>
      </c>
      <c r="CF26" s="109">
        <v>0</v>
      </c>
      <c r="CG26" s="109">
        <v>0</v>
      </c>
      <c r="CH26" s="109">
        <v>0</v>
      </c>
      <c r="CI26" s="109">
        <v>0</v>
      </c>
      <c r="CJ26" s="109">
        <v>0</v>
      </c>
      <c r="CK26" s="109">
        <v>0</v>
      </c>
      <c r="CL26" s="109"/>
      <c r="CM26" s="109"/>
      <c r="CN26" s="109">
        <v>0</v>
      </c>
      <c r="CO26" s="109">
        <v>0</v>
      </c>
      <c r="CP26" s="109">
        <v>0</v>
      </c>
      <c r="CQ26" s="109">
        <v>0</v>
      </c>
      <c r="CR26" s="109">
        <v>0</v>
      </c>
      <c r="CS26" s="109">
        <v>0</v>
      </c>
      <c r="CT26" s="109">
        <v>0</v>
      </c>
      <c r="CU26" s="109">
        <v>22.41</v>
      </c>
      <c r="CV26" s="109" t="s">
        <v>254</v>
      </c>
      <c r="CW26" s="109">
        <v>0</v>
      </c>
      <c r="CX26" s="109"/>
      <c r="CY26" s="109">
        <v>103.01</v>
      </c>
      <c r="CZ26" s="109" t="s">
        <v>435</v>
      </c>
      <c r="DA26" s="109">
        <v>103.01</v>
      </c>
      <c r="DB26" s="207" t="s">
        <v>436</v>
      </c>
      <c r="DE26" s="109">
        <v>0</v>
      </c>
      <c r="DF26" s="109" t="s">
        <v>236</v>
      </c>
      <c r="DG26" s="109" t="s">
        <v>221</v>
      </c>
      <c r="DH26" s="109" t="s">
        <v>220</v>
      </c>
      <c r="DI26" s="109">
        <v>9026067267</v>
      </c>
      <c r="DJ26" s="109" t="s">
        <v>222</v>
      </c>
      <c r="DK26" s="109">
        <v>0</v>
      </c>
      <c r="DL26" s="109" t="s">
        <v>226</v>
      </c>
      <c r="DM26" s="109">
        <v>32.23</v>
      </c>
    </row>
    <row r="27" ht="13.8" hidden="1" spans="1:117">
      <c r="A27" s="109">
        <v>2</v>
      </c>
      <c r="B27" s="109" t="s">
        <v>437</v>
      </c>
      <c r="C27" s="109" t="s">
        <v>203</v>
      </c>
      <c r="D27" s="109" t="s">
        <v>225</v>
      </c>
      <c r="E27" s="109" t="s">
        <v>226</v>
      </c>
      <c r="F27" s="110">
        <v>46239</v>
      </c>
      <c r="G27" s="109" t="s">
        <v>421</v>
      </c>
      <c r="H27" s="109" t="s">
        <v>438</v>
      </c>
      <c r="I27" s="109" t="s">
        <v>216</v>
      </c>
      <c r="J27" s="109" t="s">
        <v>217</v>
      </c>
      <c r="K27" s="109" t="s">
        <v>218</v>
      </c>
      <c r="L27" s="109" t="s">
        <v>219</v>
      </c>
      <c r="M27" s="207" t="s">
        <v>242</v>
      </c>
      <c r="N27" s="109" t="s">
        <v>220</v>
      </c>
      <c r="O27" s="109" t="s">
        <v>221</v>
      </c>
      <c r="P27" s="109" t="s">
        <v>243</v>
      </c>
      <c r="Q27" s="109" t="s">
        <v>216</v>
      </c>
      <c r="R27" s="109" t="s">
        <v>217</v>
      </c>
      <c r="S27" s="109" t="s">
        <v>220</v>
      </c>
      <c r="T27" s="109" t="s">
        <v>221</v>
      </c>
      <c r="U27" s="109" t="s">
        <v>216</v>
      </c>
      <c r="V27" s="109" t="s">
        <v>217</v>
      </c>
      <c r="W27" s="109" t="s">
        <v>218</v>
      </c>
      <c r="X27" s="109" t="s">
        <v>219</v>
      </c>
      <c r="Y27" s="109" t="s">
        <v>220</v>
      </c>
      <c r="Z27" s="109" t="s">
        <v>221</v>
      </c>
      <c r="AA27" s="109" t="s">
        <v>222</v>
      </c>
      <c r="AB27" s="109" t="s">
        <v>223</v>
      </c>
      <c r="AC27" s="109" t="s">
        <v>439</v>
      </c>
      <c r="AD27" s="109" t="s">
        <v>440</v>
      </c>
      <c r="AE27" s="109">
        <v>365</v>
      </c>
      <c r="AF27" s="109" t="s">
        <v>284</v>
      </c>
      <c r="AG27" s="109" t="s">
        <v>441</v>
      </c>
      <c r="AH27" s="109" t="s">
        <v>214</v>
      </c>
      <c r="AI27" s="109" t="s">
        <v>439</v>
      </c>
      <c r="AJ27" s="109" t="s">
        <v>440</v>
      </c>
      <c r="AK27" s="109" t="s">
        <v>441</v>
      </c>
      <c r="AL27" s="109" t="s">
        <v>214</v>
      </c>
      <c r="AM27" s="109" t="s">
        <v>286</v>
      </c>
      <c r="AN27" s="207" t="s">
        <v>442</v>
      </c>
      <c r="AO27" s="109">
        <v>200.55</v>
      </c>
      <c r="AP27" s="109">
        <v>0</v>
      </c>
      <c r="AQ27" s="109">
        <v>21</v>
      </c>
      <c r="AR27" s="109">
        <v>0</v>
      </c>
      <c r="AS27" s="109" t="s">
        <v>252</v>
      </c>
      <c r="AT27" s="109" t="s">
        <v>229</v>
      </c>
      <c r="AU27" s="110">
        <v>46253</v>
      </c>
      <c r="AV27" s="109">
        <v>321.93</v>
      </c>
      <c r="AW27" s="109" t="s">
        <v>230</v>
      </c>
      <c r="AX27" s="109" t="s">
        <v>230</v>
      </c>
      <c r="AY27" s="109">
        <v>6353.02</v>
      </c>
      <c r="AZ27" s="109" t="s">
        <v>232</v>
      </c>
      <c r="BA27" s="109" t="s">
        <v>288</v>
      </c>
      <c r="BB27" s="109">
        <v>321.93</v>
      </c>
      <c r="BC27" s="109">
        <v>283.3</v>
      </c>
      <c r="BD27" s="109">
        <v>321.93</v>
      </c>
      <c r="BE27" s="109">
        <v>38.63</v>
      </c>
      <c r="BF27" s="111">
        <v>0.12</v>
      </c>
      <c r="BG27" s="109">
        <v>0</v>
      </c>
      <c r="BH27" s="109">
        <v>200.55</v>
      </c>
      <c r="BI27" s="109">
        <v>205.04</v>
      </c>
      <c r="BJ27" s="109">
        <v>0</v>
      </c>
      <c r="BK27" s="109">
        <v>17</v>
      </c>
      <c r="BL27" s="109">
        <v>0</v>
      </c>
      <c r="BM27" s="109">
        <v>9.76</v>
      </c>
      <c r="BN27" s="109">
        <v>9.53</v>
      </c>
      <c r="BO27" s="109">
        <v>16.5</v>
      </c>
      <c r="BP27" s="109">
        <v>3.23</v>
      </c>
      <c r="BQ27" s="109">
        <v>0</v>
      </c>
      <c r="BR27" s="109">
        <v>0</v>
      </c>
      <c r="BS27" s="109">
        <v>0</v>
      </c>
      <c r="BT27" s="109">
        <v>0</v>
      </c>
      <c r="BU27" s="109">
        <v>0</v>
      </c>
      <c r="BV27" s="109">
        <v>0</v>
      </c>
      <c r="BW27" s="109">
        <v>0</v>
      </c>
      <c r="BX27" s="109">
        <v>0</v>
      </c>
      <c r="BY27" s="109">
        <v>0</v>
      </c>
      <c r="BZ27" s="109">
        <v>0</v>
      </c>
      <c r="CA27" s="109">
        <v>22.24</v>
      </c>
      <c r="CB27" s="109" t="s">
        <v>225</v>
      </c>
      <c r="CC27" s="109" t="s">
        <v>284</v>
      </c>
      <c r="CD27" s="109">
        <v>433.98</v>
      </c>
      <c r="CE27" s="109">
        <v>0</v>
      </c>
      <c r="CF27" s="109">
        <v>0</v>
      </c>
      <c r="CG27" s="109">
        <v>0</v>
      </c>
      <c r="CH27" s="109">
        <v>0</v>
      </c>
      <c r="CI27" s="109">
        <v>0</v>
      </c>
      <c r="CJ27" s="109">
        <v>0</v>
      </c>
      <c r="CK27" s="109">
        <v>0</v>
      </c>
      <c r="CL27" s="109"/>
      <c r="CM27" s="109"/>
      <c r="CN27" s="109">
        <v>0</v>
      </c>
      <c r="CO27" s="109">
        <v>0</v>
      </c>
      <c r="CP27" s="109">
        <v>0</v>
      </c>
      <c r="CQ27" s="109">
        <v>0</v>
      </c>
      <c r="CR27" s="109">
        <v>0</v>
      </c>
      <c r="CS27" s="109">
        <v>0</v>
      </c>
      <c r="CT27" s="109">
        <v>0</v>
      </c>
      <c r="CU27" s="109">
        <v>30.08</v>
      </c>
      <c r="CV27" s="109" t="s">
        <v>254</v>
      </c>
      <c r="CW27" s="109">
        <v>0</v>
      </c>
      <c r="CX27" s="109"/>
      <c r="CY27" s="109">
        <v>100.28</v>
      </c>
      <c r="CZ27" s="109" t="s">
        <v>443</v>
      </c>
      <c r="DA27" s="109">
        <v>100.28</v>
      </c>
      <c r="DB27" s="207" t="s">
        <v>444</v>
      </c>
      <c r="DE27" s="109">
        <v>0</v>
      </c>
      <c r="DF27" s="109" t="s">
        <v>236</v>
      </c>
      <c r="DG27" s="109" t="s">
        <v>221</v>
      </c>
      <c r="DH27" s="109" t="s">
        <v>220</v>
      </c>
      <c r="DI27" s="109">
        <v>9026067267</v>
      </c>
      <c r="DJ27" s="109" t="s">
        <v>222</v>
      </c>
      <c r="DK27" s="109">
        <v>0</v>
      </c>
      <c r="DL27" s="109" t="s">
        <v>226</v>
      </c>
      <c r="DM27" s="109">
        <v>38.63</v>
      </c>
    </row>
    <row r="28" ht="13.8" hidden="1" spans="1:117">
      <c r="A28" s="109">
        <v>2</v>
      </c>
      <c r="B28" s="109" t="s">
        <v>445</v>
      </c>
      <c r="C28" s="109" t="s">
        <v>203</v>
      </c>
      <c r="D28" s="109" t="s">
        <v>225</v>
      </c>
      <c r="E28" s="109" t="s">
        <v>226</v>
      </c>
      <c r="F28" s="110">
        <v>46239</v>
      </c>
      <c r="G28" s="109" t="s">
        <v>421</v>
      </c>
      <c r="H28" s="109" t="s">
        <v>446</v>
      </c>
      <c r="I28" s="109" t="s">
        <v>216</v>
      </c>
      <c r="J28" s="109" t="s">
        <v>217</v>
      </c>
      <c r="K28" s="109" t="s">
        <v>218</v>
      </c>
      <c r="L28" s="109" t="s">
        <v>219</v>
      </c>
      <c r="M28" s="207" t="s">
        <v>242</v>
      </c>
      <c r="N28" s="109" t="s">
        <v>220</v>
      </c>
      <c r="O28" s="109" t="s">
        <v>221</v>
      </c>
      <c r="P28" s="109" t="s">
        <v>243</v>
      </c>
      <c r="Q28" s="109" t="s">
        <v>216</v>
      </c>
      <c r="R28" s="109" t="s">
        <v>217</v>
      </c>
      <c r="S28" s="109" t="s">
        <v>220</v>
      </c>
      <c r="T28" s="109" t="s">
        <v>221</v>
      </c>
      <c r="U28" s="109" t="s">
        <v>216</v>
      </c>
      <c r="V28" s="109" t="s">
        <v>217</v>
      </c>
      <c r="W28" s="109" t="s">
        <v>218</v>
      </c>
      <c r="X28" s="109" t="s">
        <v>219</v>
      </c>
      <c r="Y28" s="109" t="s">
        <v>220</v>
      </c>
      <c r="Z28" s="109" t="s">
        <v>221</v>
      </c>
      <c r="AA28" s="109" t="s">
        <v>222</v>
      </c>
      <c r="AB28" s="109" t="s">
        <v>223</v>
      </c>
      <c r="AC28" s="109" t="s">
        <v>447</v>
      </c>
      <c r="AD28" s="109" t="s">
        <v>448</v>
      </c>
      <c r="AE28" s="109" t="s">
        <v>246</v>
      </c>
      <c r="AF28" s="109" t="s">
        <v>247</v>
      </c>
      <c r="AG28" s="109" t="s">
        <v>248</v>
      </c>
      <c r="AH28" s="109" t="s">
        <v>249</v>
      </c>
      <c r="AI28" s="109" t="s">
        <v>447</v>
      </c>
      <c r="AJ28" s="109" t="s">
        <v>448</v>
      </c>
      <c r="AK28" s="109" t="s">
        <v>248</v>
      </c>
      <c r="AL28" s="109" t="s">
        <v>249</v>
      </c>
      <c r="AM28" s="109" t="s">
        <v>250</v>
      </c>
      <c r="AN28" s="207" t="s">
        <v>449</v>
      </c>
      <c r="AO28" s="109">
        <v>137.4</v>
      </c>
      <c r="AP28" s="109">
        <v>0</v>
      </c>
      <c r="AQ28" s="109">
        <v>15</v>
      </c>
      <c r="AR28" s="109">
        <v>0</v>
      </c>
      <c r="AS28" s="109" t="s">
        <v>252</v>
      </c>
      <c r="AT28" s="109" t="s">
        <v>229</v>
      </c>
      <c r="AU28" s="110">
        <v>46253</v>
      </c>
      <c r="AV28" s="109">
        <v>211.63</v>
      </c>
      <c r="AW28" s="109" t="s">
        <v>230</v>
      </c>
      <c r="AX28" s="109" t="s">
        <v>231</v>
      </c>
      <c r="AY28" s="109">
        <v>4315.19</v>
      </c>
      <c r="AZ28" s="109" t="s">
        <v>232</v>
      </c>
      <c r="BA28" s="109" t="s">
        <v>253</v>
      </c>
      <c r="BB28" s="109">
        <v>211.63</v>
      </c>
      <c r="BC28" s="109">
        <v>186.23</v>
      </c>
      <c r="BD28" s="109">
        <v>211.63</v>
      </c>
      <c r="BE28" s="109">
        <v>25.4</v>
      </c>
      <c r="BF28" s="111">
        <v>0.12</v>
      </c>
      <c r="BG28" s="109">
        <v>0</v>
      </c>
      <c r="BH28" s="109">
        <v>137.4</v>
      </c>
      <c r="BI28" s="109">
        <v>123.67</v>
      </c>
      <c r="BJ28" s="109">
        <v>0</v>
      </c>
      <c r="BK28" s="109">
        <v>17</v>
      </c>
      <c r="BL28" s="109">
        <v>0</v>
      </c>
      <c r="BM28" s="109">
        <v>9.76</v>
      </c>
      <c r="BN28" s="109">
        <v>6.47</v>
      </c>
      <c r="BO28" s="109">
        <v>11</v>
      </c>
      <c r="BP28" s="109">
        <v>3.23</v>
      </c>
      <c r="BQ28" s="109">
        <v>0</v>
      </c>
      <c r="BR28" s="109">
        <v>0</v>
      </c>
      <c r="BS28" s="109">
        <v>0</v>
      </c>
      <c r="BT28" s="109">
        <v>0</v>
      </c>
      <c r="BU28" s="109">
        <v>0</v>
      </c>
      <c r="BV28" s="109">
        <v>0</v>
      </c>
      <c r="BW28" s="109">
        <v>0</v>
      </c>
      <c r="BX28" s="109">
        <v>0</v>
      </c>
      <c r="BY28" s="109">
        <v>0</v>
      </c>
      <c r="BZ28" s="109">
        <v>0</v>
      </c>
      <c r="CA28" s="109">
        <v>15.1</v>
      </c>
      <c r="CB28" s="109" t="s">
        <v>225</v>
      </c>
      <c r="CC28" s="109" t="s">
        <v>247</v>
      </c>
      <c r="CD28" s="109">
        <v>406.12</v>
      </c>
      <c r="CE28" s="109">
        <v>0</v>
      </c>
      <c r="CF28" s="109">
        <v>0</v>
      </c>
      <c r="CG28" s="109">
        <v>0</v>
      </c>
      <c r="CH28" s="109">
        <v>0</v>
      </c>
      <c r="CI28" s="109">
        <v>0</v>
      </c>
      <c r="CJ28" s="109">
        <v>0</v>
      </c>
      <c r="CK28" s="109">
        <v>0</v>
      </c>
      <c r="CL28" s="109"/>
      <c r="CM28" s="109"/>
      <c r="CN28" s="109">
        <v>0</v>
      </c>
      <c r="CO28" s="109">
        <v>0</v>
      </c>
      <c r="CP28" s="109">
        <v>0</v>
      </c>
      <c r="CQ28" s="109">
        <v>0</v>
      </c>
      <c r="CR28" s="109">
        <v>0</v>
      </c>
      <c r="CS28" s="109">
        <v>0</v>
      </c>
      <c r="CT28" s="109">
        <v>0</v>
      </c>
      <c r="CU28" s="109">
        <v>20.61</v>
      </c>
      <c r="CV28" s="109" t="s">
        <v>254</v>
      </c>
      <c r="CW28" s="109">
        <v>0</v>
      </c>
      <c r="CX28" s="109"/>
      <c r="CY28" s="109">
        <v>24.73</v>
      </c>
      <c r="CZ28" s="109" t="s">
        <v>254</v>
      </c>
      <c r="DA28" s="109">
        <v>0</v>
      </c>
      <c r="DB28" s="109"/>
      <c r="DE28" s="109">
        <v>0</v>
      </c>
      <c r="DF28" s="109" t="s">
        <v>236</v>
      </c>
      <c r="DG28" s="109" t="s">
        <v>221</v>
      </c>
      <c r="DH28" s="109" t="s">
        <v>220</v>
      </c>
      <c r="DI28" s="109">
        <v>9026067267</v>
      </c>
      <c r="DJ28" s="109" t="s">
        <v>222</v>
      </c>
      <c r="DK28" s="109">
        <v>0</v>
      </c>
      <c r="DL28" s="109" t="s">
        <v>226</v>
      </c>
      <c r="DM28" s="109">
        <v>25.4</v>
      </c>
    </row>
    <row r="29" ht="13.8" hidden="1" spans="1:117">
      <c r="A29" s="109">
        <v>2</v>
      </c>
      <c r="B29" s="109" t="s">
        <v>450</v>
      </c>
      <c r="C29" s="109" t="s">
        <v>203</v>
      </c>
      <c r="D29" s="109" t="s">
        <v>225</v>
      </c>
      <c r="E29" s="109" t="s">
        <v>226</v>
      </c>
      <c r="F29" s="110">
        <v>46239</v>
      </c>
      <c r="G29" s="109" t="s">
        <v>421</v>
      </c>
      <c r="H29" s="109" t="s">
        <v>451</v>
      </c>
      <c r="I29" s="109" t="s">
        <v>216</v>
      </c>
      <c r="J29" s="109" t="s">
        <v>217</v>
      </c>
      <c r="K29" s="109" t="s">
        <v>218</v>
      </c>
      <c r="L29" s="109" t="s">
        <v>219</v>
      </c>
      <c r="M29" s="207" t="s">
        <v>242</v>
      </c>
      <c r="N29" s="109" t="s">
        <v>220</v>
      </c>
      <c r="O29" s="109" t="s">
        <v>221</v>
      </c>
      <c r="P29" s="109" t="s">
        <v>243</v>
      </c>
      <c r="Q29" s="109" t="s">
        <v>216</v>
      </c>
      <c r="R29" s="109" t="s">
        <v>217</v>
      </c>
      <c r="S29" s="109" t="s">
        <v>220</v>
      </c>
      <c r="T29" s="109" t="s">
        <v>221</v>
      </c>
      <c r="U29" s="109" t="s">
        <v>216</v>
      </c>
      <c r="V29" s="109" t="s">
        <v>217</v>
      </c>
      <c r="W29" s="109" t="s">
        <v>218</v>
      </c>
      <c r="X29" s="109" t="s">
        <v>219</v>
      </c>
      <c r="Y29" s="109" t="s">
        <v>220</v>
      </c>
      <c r="Z29" s="109" t="s">
        <v>221</v>
      </c>
      <c r="AA29" s="109" t="s">
        <v>222</v>
      </c>
      <c r="AB29" s="109" t="s">
        <v>223</v>
      </c>
      <c r="AC29" s="109" t="s">
        <v>452</v>
      </c>
      <c r="AD29" s="109" t="s">
        <v>453</v>
      </c>
      <c r="AE29" s="109" t="s">
        <v>246</v>
      </c>
      <c r="AF29" s="109" t="s">
        <v>247</v>
      </c>
      <c r="AG29" s="109" t="s">
        <v>248</v>
      </c>
      <c r="AH29" s="109" t="s">
        <v>249</v>
      </c>
      <c r="AI29" s="109" t="s">
        <v>452</v>
      </c>
      <c r="AJ29" s="109" t="s">
        <v>453</v>
      </c>
      <c r="AK29" s="109" t="s">
        <v>248</v>
      </c>
      <c r="AL29" s="109" t="s">
        <v>249</v>
      </c>
      <c r="AM29" s="109" t="s">
        <v>250</v>
      </c>
      <c r="AN29" s="207" t="s">
        <v>454</v>
      </c>
      <c r="AO29" s="109">
        <v>149.23</v>
      </c>
      <c r="AP29" s="109">
        <v>0</v>
      </c>
      <c r="AQ29" s="109">
        <v>21</v>
      </c>
      <c r="AR29" s="109">
        <v>0</v>
      </c>
      <c r="AS29" s="109" t="s">
        <v>252</v>
      </c>
      <c r="AT29" s="109" t="s">
        <v>229</v>
      </c>
      <c r="AU29" s="110">
        <v>46253</v>
      </c>
      <c r="AV29" s="109">
        <v>217.86</v>
      </c>
      <c r="AW29" s="109" t="s">
        <v>230</v>
      </c>
      <c r="AX29" s="109" t="s">
        <v>230</v>
      </c>
      <c r="AY29" s="109">
        <v>3281.56</v>
      </c>
      <c r="AZ29" s="109" t="s">
        <v>232</v>
      </c>
      <c r="BA29" s="109" t="s">
        <v>253</v>
      </c>
      <c r="BB29" s="109">
        <v>217.86</v>
      </c>
      <c r="BC29" s="109">
        <v>191.72</v>
      </c>
      <c r="BD29" s="109">
        <v>217.86</v>
      </c>
      <c r="BE29" s="109">
        <v>26.14</v>
      </c>
      <c r="BF29" s="111">
        <v>0.12</v>
      </c>
      <c r="BG29" s="109">
        <v>0</v>
      </c>
      <c r="BH29" s="109">
        <v>149.23</v>
      </c>
      <c r="BI29" s="109">
        <v>134.32</v>
      </c>
      <c r="BJ29" s="109">
        <v>0</v>
      </c>
      <c r="BK29" s="109">
        <v>17</v>
      </c>
      <c r="BL29" s="109">
        <v>0</v>
      </c>
      <c r="BM29" s="109">
        <v>9.76</v>
      </c>
      <c r="BN29" s="109">
        <v>4.92</v>
      </c>
      <c r="BO29" s="109">
        <v>11</v>
      </c>
      <c r="BP29" s="109">
        <v>3.23</v>
      </c>
      <c r="BQ29" s="109">
        <v>0</v>
      </c>
      <c r="BR29" s="109">
        <v>0</v>
      </c>
      <c r="BS29" s="109">
        <v>0</v>
      </c>
      <c r="BT29" s="109">
        <v>0</v>
      </c>
      <c r="BU29" s="109">
        <v>0</v>
      </c>
      <c r="BV29" s="109">
        <v>0</v>
      </c>
      <c r="BW29" s="109">
        <v>0</v>
      </c>
      <c r="BX29" s="109">
        <v>0</v>
      </c>
      <c r="BY29" s="109">
        <v>0</v>
      </c>
      <c r="BZ29" s="109">
        <v>0</v>
      </c>
      <c r="CA29" s="109">
        <v>11.49</v>
      </c>
      <c r="CB29" s="109" t="s">
        <v>225</v>
      </c>
      <c r="CC29" s="109" t="s">
        <v>247</v>
      </c>
      <c r="CD29" s="109">
        <v>392.68</v>
      </c>
      <c r="CE29" s="109">
        <v>0</v>
      </c>
      <c r="CF29" s="109">
        <v>0</v>
      </c>
      <c r="CG29" s="109">
        <v>0</v>
      </c>
      <c r="CH29" s="109">
        <v>0</v>
      </c>
      <c r="CI29" s="109">
        <v>0</v>
      </c>
      <c r="CJ29" s="109">
        <v>0</v>
      </c>
      <c r="CK29" s="109">
        <v>0</v>
      </c>
      <c r="CL29" s="109"/>
      <c r="CM29" s="109"/>
      <c r="CN29" s="109">
        <v>0</v>
      </c>
      <c r="CO29" s="109">
        <v>0</v>
      </c>
      <c r="CP29" s="109">
        <v>0</v>
      </c>
      <c r="CQ29" s="109">
        <v>0</v>
      </c>
      <c r="CR29" s="109">
        <v>0</v>
      </c>
      <c r="CS29" s="109">
        <v>0</v>
      </c>
      <c r="CT29" s="109">
        <v>0</v>
      </c>
      <c r="CU29" s="109">
        <v>22.38</v>
      </c>
      <c r="CV29" s="109" t="s">
        <v>254</v>
      </c>
      <c r="CW29" s="109">
        <v>0</v>
      </c>
      <c r="CX29" s="109"/>
      <c r="CY29" s="109">
        <v>26.86</v>
      </c>
      <c r="CZ29" s="109" t="s">
        <v>254</v>
      </c>
      <c r="DA29" s="109">
        <v>0</v>
      </c>
      <c r="DB29" s="109"/>
      <c r="DE29" s="109">
        <v>0</v>
      </c>
      <c r="DF29" s="109" t="s">
        <v>236</v>
      </c>
      <c r="DG29" s="109" t="s">
        <v>221</v>
      </c>
      <c r="DH29" s="109" t="s">
        <v>220</v>
      </c>
      <c r="DI29" s="109">
        <v>9026067267</v>
      </c>
      <c r="DJ29" s="109" t="s">
        <v>222</v>
      </c>
      <c r="DK29" s="109">
        <v>0</v>
      </c>
      <c r="DL29" s="109" t="s">
        <v>226</v>
      </c>
      <c r="DM29" s="109">
        <v>26.14</v>
      </c>
    </row>
    <row r="30" ht="13.8" hidden="1" spans="1:117">
      <c r="A30" s="109">
        <v>2</v>
      </c>
      <c r="B30" s="109" t="s">
        <v>455</v>
      </c>
      <c r="C30" s="109" t="s">
        <v>203</v>
      </c>
      <c r="D30" s="109" t="s">
        <v>225</v>
      </c>
      <c r="E30" s="109" t="s">
        <v>226</v>
      </c>
      <c r="F30" s="110">
        <v>46239</v>
      </c>
      <c r="G30" s="109" t="s">
        <v>421</v>
      </c>
      <c r="H30" s="109" t="s">
        <v>456</v>
      </c>
      <c r="I30" s="109" t="s">
        <v>216</v>
      </c>
      <c r="J30" s="109" t="s">
        <v>217</v>
      </c>
      <c r="K30" s="109" t="s">
        <v>218</v>
      </c>
      <c r="L30" s="109" t="s">
        <v>219</v>
      </c>
      <c r="M30" s="207" t="s">
        <v>242</v>
      </c>
      <c r="N30" s="109" t="s">
        <v>220</v>
      </c>
      <c r="O30" s="109" t="s">
        <v>221</v>
      </c>
      <c r="P30" s="109" t="s">
        <v>243</v>
      </c>
      <c r="Q30" s="109" t="s">
        <v>216</v>
      </c>
      <c r="R30" s="109" t="s">
        <v>217</v>
      </c>
      <c r="S30" s="109" t="s">
        <v>220</v>
      </c>
      <c r="T30" s="109" t="s">
        <v>221</v>
      </c>
      <c r="U30" s="109" t="s">
        <v>216</v>
      </c>
      <c r="V30" s="109" t="s">
        <v>217</v>
      </c>
      <c r="W30" s="109" t="s">
        <v>218</v>
      </c>
      <c r="X30" s="109" t="s">
        <v>219</v>
      </c>
      <c r="Y30" s="109" t="s">
        <v>220</v>
      </c>
      <c r="Z30" s="109" t="s">
        <v>221</v>
      </c>
      <c r="AA30" s="109" t="s">
        <v>222</v>
      </c>
      <c r="AB30" s="109" t="s">
        <v>223</v>
      </c>
      <c r="AC30" s="109" t="s">
        <v>457</v>
      </c>
      <c r="AD30" s="109" t="s">
        <v>458</v>
      </c>
      <c r="AE30" s="109">
        <v>257</v>
      </c>
      <c r="AF30" s="109" t="s">
        <v>352</v>
      </c>
      <c r="AG30" s="109" t="s">
        <v>353</v>
      </c>
      <c r="AH30" s="109" t="s">
        <v>249</v>
      </c>
      <c r="AI30" s="109" t="s">
        <v>457</v>
      </c>
      <c r="AJ30" s="109" t="s">
        <v>458</v>
      </c>
      <c r="AK30" s="109" t="s">
        <v>353</v>
      </c>
      <c r="AL30" s="109" t="s">
        <v>249</v>
      </c>
      <c r="AM30" s="109" t="s">
        <v>354</v>
      </c>
      <c r="AN30" s="207" t="s">
        <v>459</v>
      </c>
      <c r="AO30" s="109">
        <v>271.414</v>
      </c>
      <c r="AP30" s="109">
        <v>0</v>
      </c>
      <c r="AQ30" s="109">
        <v>23</v>
      </c>
      <c r="AR30" s="109">
        <v>0</v>
      </c>
      <c r="AS30" s="109" t="s">
        <v>252</v>
      </c>
      <c r="AT30" s="109" t="s">
        <v>229</v>
      </c>
      <c r="AU30" s="110">
        <v>46253</v>
      </c>
      <c r="AV30" s="109">
        <v>737.32</v>
      </c>
      <c r="AW30" s="109" t="s">
        <v>230</v>
      </c>
      <c r="AX30" s="109" t="s">
        <v>231</v>
      </c>
      <c r="AY30" s="109">
        <v>6960.96</v>
      </c>
      <c r="AZ30" s="109" t="s">
        <v>232</v>
      </c>
      <c r="BA30" s="109" t="s">
        <v>356</v>
      </c>
      <c r="BB30" s="109">
        <v>737.32</v>
      </c>
      <c r="BC30" s="109">
        <v>648.84</v>
      </c>
      <c r="BD30" s="109">
        <v>737.32</v>
      </c>
      <c r="BE30" s="109">
        <v>88.48</v>
      </c>
      <c r="BF30" s="111">
        <v>0.12</v>
      </c>
      <c r="BG30" s="109">
        <v>0</v>
      </c>
      <c r="BH30" s="109">
        <v>271.414</v>
      </c>
      <c r="BI30" s="109">
        <v>317.55</v>
      </c>
      <c r="BJ30" s="109">
        <v>0</v>
      </c>
      <c r="BK30" s="109">
        <v>17</v>
      </c>
      <c r="BL30" s="109">
        <v>0</v>
      </c>
      <c r="BM30" s="109">
        <v>9.76</v>
      </c>
      <c r="BN30" s="109">
        <v>10.44</v>
      </c>
      <c r="BO30" s="109">
        <v>16.5</v>
      </c>
      <c r="BP30" s="109">
        <v>3.23</v>
      </c>
      <c r="BQ30" s="109">
        <v>0</v>
      </c>
      <c r="BR30" s="109">
        <v>0</v>
      </c>
      <c r="BS30" s="109">
        <v>0</v>
      </c>
      <c r="BT30" s="109">
        <v>0</v>
      </c>
      <c r="BU30" s="109">
        <v>0</v>
      </c>
      <c r="BV30" s="109">
        <v>0</v>
      </c>
      <c r="BW30" s="109">
        <v>0</v>
      </c>
      <c r="BX30" s="109">
        <v>250</v>
      </c>
      <c r="BY30" s="109">
        <v>0</v>
      </c>
      <c r="BZ30" s="109">
        <v>0</v>
      </c>
      <c r="CA30" s="109">
        <v>24.36</v>
      </c>
      <c r="CB30" s="109" t="s">
        <v>225</v>
      </c>
      <c r="CC30" s="109" t="s">
        <v>357</v>
      </c>
      <c r="CD30" s="109">
        <v>619.02</v>
      </c>
      <c r="CE30" s="109">
        <v>0</v>
      </c>
      <c r="CF30" s="109">
        <v>0</v>
      </c>
      <c r="CG30" s="109">
        <v>0</v>
      </c>
      <c r="CH30" s="109">
        <v>0</v>
      </c>
      <c r="CI30" s="109">
        <v>0</v>
      </c>
      <c r="CJ30" s="109">
        <v>0</v>
      </c>
      <c r="CK30" s="109">
        <v>0</v>
      </c>
      <c r="CL30" s="109"/>
      <c r="CM30" s="109"/>
      <c r="CN30" s="109">
        <v>0</v>
      </c>
      <c r="CO30" s="109">
        <v>0</v>
      </c>
      <c r="CP30" s="109">
        <v>0</v>
      </c>
      <c r="CQ30" s="109">
        <v>0</v>
      </c>
      <c r="CR30" s="109">
        <v>0</v>
      </c>
      <c r="CS30" s="109">
        <v>0</v>
      </c>
      <c r="CT30" s="109">
        <v>0</v>
      </c>
      <c r="CU30" s="109">
        <v>40.71</v>
      </c>
      <c r="CV30" s="109" t="s">
        <v>254</v>
      </c>
      <c r="CW30" s="109">
        <v>0</v>
      </c>
      <c r="CX30" s="109"/>
      <c r="CY30" s="109">
        <v>408.52</v>
      </c>
      <c r="CZ30" s="109" t="s">
        <v>358</v>
      </c>
      <c r="DA30" s="109">
        <v>324.32</v>
      </c>
      <c r="DB30" s="207" t="s">
        <v>359</v>
      </c>
      <c r="DE30" s="109">
        <v>0</v>
      </c>
      <c r="DF30" s="109" t="s">
        <v>236</v>
      </c>
      <c r="DG30" s="109" t="s">
        <v>221</v>
      </c>
      <c r="DH30" s="109" t="s">
        <v>220</v>
      </c>
      <c r="DI30" s="109">
        <v>9026067267</v>
      </c>
      <c r="DJ30" s="109" t="s">
        <v>222</v>
      </c>
      <c r="DK30" s="109">
        <v>0</v>
      </c>
      <c r="DL30" s="109" t="s">
        <v>226</v>
      </c>
      <c r="DM30" s="109">
        <v>88.48</v>
      </c>
    </row>
    <row r="31" ht="13.8" hidden="1" spans="1:117">
      <c r="A31" s="109">
        <v>2</v>
      </c>
      <c r="B31" s="109" t="s">
        <v>460</v>
      </c>
      <c r="C31" s="109" t="s">
        <v>203</v>
      </c>
      <c r="D31" s="109" t="s">
        <v>225</v>
      </c>
      <c r="E31" s="109" t="s">
        <v>226</v>
      </c>
      <c r="F31" s="110">
        <v>46239</v>
      </c>
      <c r="G31" s="109" t="s">
        <v>421</v>
      </c>
      <c r="H31" s="109" t="s">
        <v>461</v>
      </c>
      <c r="I31" s="109" t="s">
        <v>216</v>
      </c>
      <c r="J31" s="109" t="s">
        <v>217</v>
      </c>
      <c r="K31" s="109" t="s">
        <v>218</v>
      </c>
      <c r="L31" s="109" t="s">
        <v>219</v>
      </c>
      <c r="M31" s="207" t="s">
        <v>242</v>
      </c>
      <c r="N31" s="109" t="s">
        <v>220</v>
      </c>
      <c r="O31" s="109" t="s">
        <v>221</v>
      </c>
      <c r="P31" s="109" t="s">
        <v>243</v>
      </c>
      <c r="Q31" s="109" t="s">
        <v>216</v>
      </c>
      <c r="R31" s="109" t="s">
        <v>217</v>
      </c>
      <c r="S31" s="109" t="s">
        <v>220</v>
      </c>
      <c r="T31" s="109" t="s">
        <v>221</v>
      </c>
      <c r="U31" s="109" t="s">
        <v>216</v>
      </c>
      <c r="V31" s="109" t="s">
        <v>217</v>
      </c>
      <c r="W31" s="109" t="s">
        <v>218</v>
      </c>
      <c r="X31" s="109" t="s">
        <v>219</v>
      </c>
      <c r="Y31" s="109" t="s">
        <v>220</v>
      </c>
      <c r="Z31" s="109" t="s">
        <v>221</v>
      </c>
      <c r="AA31" s="109" t="s">
        <v>222</v>
      </c>
      <c r="AB31" s="109" t="s">
        <v>223</v>
      </c>
      <c r="AC31" s="109" t="s">
        <v>462</v>
      </c>
      <c r="AD31" s="109" t="s">
        <v>463</v>
      </c>
      <c r="AE31" s="109" t="s">
        <v>464</v>
      </c>
      <c r="AF31" s="109" t="s">
        <v>295</v>
      </c>
      <c r="AG31" s="109" t="s">
        <v>465</v>
      </c>
      <c r="AH31" s="109" t="s">
        <v>297</v>
      </c>
      <c r="AI31" s="109" t="s">
        <v>462</v>
      </c>
      <c r="AJ31" s="109" t="s">
        <v>463</v>
      </c>
      <c r="AK31" s="109" t="s">
        <v>465</v>
      </c>
      <c r="AL31" s="109" t="s">
        <v>297</v>
      </c>
      <c r="AM31" s="109" t="s">
        <v>298</v>
      </c>
      <c r="AN31" s="207" t="s">
        <v>466</v>
      </c>
      <c r="AO31" s="109">
        <v>23.8</v>
      </c>
      <c r="AP31" s="109">
        <v>0</v>
      </c>
      <c r="AQ31" s="109">
        <v>2</v>
      </c>
      <c r="AR31" s="109">
        <v>0</v>
      </c>
      <c r="AS31" s="109" t="s">
        <v>252</v>
      </c>
      <c r="AT31" s="109" t="s">
        <v>229</v>
      </c>
      <c r="AU31" s="110">
        <v>46253</v>
      </c>
      <c r="AV31" s="109">
        <v>114.75</v>
      </c>
      <c r="AW31" s="109" t="s">
        <v>230</v>
      </c>
      <c r="AX31" s="109" t="s">
        <v>230</v>
      </c>
      <c r="AY31" s="109">
        <v>3458.05</v>
      </c>
      <c r="AZ31" s="109" t="s">
        <v>232</v>
      </c>
      <c r="BA31" s="109" t="s">
        <v>300</v>
      </c>
      <c r="BB31" s="109">
        <v>114.75</v>
      </c>
      <c r="BC31" s="109">
        <v>100.98</v>
      </c>
      <c r="BD31" s="109">
        <v>114.75</v>
      </c>
      <c r="BE31" s="109">
        <v>13.77</v>
      </c>
      <c r="BF31" s="111">
        <v>0.12</v>
      </c>
      <c r="BG31" s="109">
        <v>0</v>
      </c>
      <c r="BH31" s="109">
        <v>23.8</v>
      </c>
      <c r="BI31" s="109">
        <v>48.2</v>
      </c>
      <c r="BJ31" s="109">
        <v>0</v>
      </c>
      <c r="BK31" s="109">
        <v>17</v>
      </c>
      <c r="BL31" s="109">
        <v>0</v>
      </c>
      <c r="BM31" s="109">
        <v>9.76</v>
      </c>
      <c r="BN31" s="109">
        <v>5.19</v>
      </c>
      <c r="BO31" s="109">
        <v>5.5</v>
      </c>
      <c r="BP31" s="109">
        <v>3.23</v>
      </c>
      <c r="BQ31" s="109">
        <v>0</v>
      </c>
      <c r="BR31" s="109">
        <v>0</v>
      </c>
      <c r="BS31" s="109">
        <v>0</v>
      </c>
      <c r="BT31" s="109">
        <v>0</v>
      </c>
      <c r="BU31" s="109">
        <v>0</v>
      </c>
      <c r="BV31" s="109">
        <v>0</v>
      </c>
      <c r="BW31" s="109">
        <v>0</v>
      </c>
      <c r="BX31" s="109">
        <v>0</v>
      </c>
      <c r="BY31" s="109">
        <v>0</v>
      </c>
      <c r="BZ31" s="109">
        <v>0</v>
      </c>
      <c r="CA31" s="109">
        <v>12.1</v>
      </c>
      <c r="CB31" s="109" t="s">
        <v>225</v>
      </c>
      <c r="CC31" s="109" t="s">
        <v>295</v>
      </c>
      <c r="CD31" s="109">
        <v>395.01</v>
      </c>
      <c r="CE31" s="109">
        <v>0</v>
      </c>
      <c r="CF31" s="109">
        <v>0</v>
      </c>
      <c r="CG31" s="109">
        <v>0</v>
      </c>
      <c r="CH31" s="109">
        <v>0</v>
      </c>
      <c r="CI31" s="109">
        <v>0</v>
      </c>
      <c r="CJ31" s="109">
        <v>0</v>
      </c>
      <c r="CK31" s="109">
        <v>0</v>
      </c>
      <c r="CL31" s="109"/>
      <c r="CM31" s="109"/>
      <c r="CN31" s="109">
        <v>0</v>
      </c>
      <c r="CO31" s="109">
        <v>0</v>
      </c>
      <c r="CP31" s="109">
        <v>0</v>
      </c>
      <c r="CQ31" s="109">
        <v>0</v>
      </c>
      <c r="CR31" s="109">
        <v>0</v>
      </c>
      <c r="CS31" s="109">
        <v>0</v>
      </c>
      <c r="CT31" s="109">
        <v>0</v>
      </c>
      <c r="CU31" s="109">
        <v>12</v>
      </c>
      <c r="CV31" s="109" t="s">
        <v>254</v>
      </c>
      <c r="CW31" s="109">
        <v>0</v>
      </c>
      <c r="CX31" s="109"/>
      <c r="CY31" s="109">
        <v>18</v>
      </c>
      <c r="CZ31" s="109" t="s">
        <v>254</v>
      </c>
      <c r="DA31" s="109">
        <v>0</v>
      </c>
      <c r="DB31" s="109"/>
      <c r="DE31" s="109">
        <v>0</v>
      </c>
      <c r="DF31" s="109" t="s">
        <v>236</v>
      </c>
      <c r="DG31" s="109" t="s">
        <v>221</v>
      </c>
      <c r="DH31" s="109" t="s">
        <v>220</v>
      </c>
      <c r="DI31" s="109">
        <v>9026067267</v>
      </c>
      <c r="DJ31" s="109" t="s">
        <v>222</v>
      </c>
      <c r="DK31" s="109">
        <v>0</v>
      </c>
      <c r="DL31" s="109" t="s">
        <v>226</v>
      </c>
      <c r="DM31" s="109">
        <v>13.77</v>
      </c>
    </row>
    <row r="32" ht="13.8" hidden="1" spans="1:117">
      <c r="A32" s="109">
        <v>2</v>
      </c>
      <c r="B32" s="109" t="s">
        <v>467</v>
      </c>
      <c r="C32" s="109" t="s">
        <v>203</v>
      </c>
      <c r="D32" s="109" t="s">
        <v>225</v>
      </c>
      <c r="E32" s="109" t="s">
        <v>226</v>
      </c>
      <c r="F32" s="110">
        <v>46239</v>
      </c>
      <c r="G32" s="109" t="s">
        <v>421</v>
      </c>
      <c r="H32" s="109" t="s">
        <v>468</v>
      </c>
      <c r="I32" s="109" t="s">
        <v>216</v>
      </c>
      <c r="J32" s="109" t="s">
        <v>217</v>
      </c>
      <c r="K32" s="109" t="s">
        <v>218</v>
      </c>
      <c r="L32" s="109" t="s">
        <v>219</v>
      </c>
      <c r="M32" s="207" t="s">
        <v>242</v>
      </c>
      <c r="N32" s="109" t="s">
        <v>220</v>
      </c>
      <c r="O32" s="109" t="s">
        <v>221</v>
      </c>
      <c r="P32" s="109" t="s">
        <v>243</v>
      </c>
      <c r="Q32" s="109" t="s">
        <v>216</v>
      </c>
      <c r="R32" s="109" t="s">
        <v>217</v>
      </c>
      <c r="S32" s="109" t="s">
        <v>220</v>
      </c>
      <c r="T32" s="109" t="s">
        <v>221</v>
      </c>
      <c r="U32" s="109" t="s">
        <v>216</v>
      </c>
      <c r="V32" s="109" t="s">
        <v>217</v>
      </c>
      <c r="W32" s="109" t="s">
        <v>218</v>
      </c>
      <c r="X32" s="109" t="s">
        <v>219</v>
      </c>
      <c r="Y32" s="109" t="s">
        <v>220</v>
      </c>
      <c r="Z32" s="109" t="s">
        <v>221</v>
      </c>
      <c r="AA32" s="109" t="s">
        <v>222</v>
      </c>
      <c r="AB32" s="109" t="s">
        <v>223</v>
      </c>
      <c r="AC32" s="109" t="s">
        <v>469</v>
      </c>
      <c r="AD32" s="109" t="s">
        <v>470</v>
      </c>
      <c r="AE32" s="109">
        <v>332</v>
      </c>
      <c r="AF32" s="109" t="s">
        <v>204</v>
      </c>
      <c r="AG32" s="109" t="s">
        <v>471</v>
      </c>
      <c r="AH32" s="109" t="s">
        <v>214</v>
      </c>
      <c r="AI32" s="109" t="s">
        <v>469</v>
      </c>
      <c r="AJ32" s="109" t="s">
        <v>470</v>
      </c>
      <c r="AK32" s="109" t="s">
        <v>471</v>
      </c>
      <c r="AL32" s="109" t="s">
        <v>214</v>
      </c>
      <c r="AM32" s="109" t="s">
        <v>205</v>
      </c>
      <c r="AN32" s="207" t="s">
        <v>472</v>
      </c>
      <c r="AO32" s="109">
        <v>79.02</v>
      </c>
      <c r="AP32" s="109">
        <v>0</v>
      </c>
      <c r="AQ32" s="109">
        <v>11</v>
      </c>
      <c r="AR32" s="109">
        <v>0</v>
      </c>
      <c r="AS32" s="109" t="s">
        <v>252</v>
      </c>
      <c r="AT32" s="109" t="s">
        <v>229</v>
      </c>
      <c r="AU32" s="110">
        <v>46253</v>
      </c>
      <c r="AV32" s="109">
        <v>171.99</v>
      </c>
      <c r="AW32" s="109" t="s">
        <v>230</v>
      </c>
      <c r="AX32" s="109" t="s">
        <v>230</v>
      </c>
      <c r="AY32" s="109">
        <v>2932.62</v>
      </c>
      <c r="AZ32" s="109" t="s">
        <v>232</v>
      </c>
      <c r="BA32" s="109" t="s">
        <v>308</v>
      </c>
      <c r="BB32" s="109">
        <v>171.99</v>
      </c>
      <c r="BC32" s="109">
        <v>151.35</v>
      </c>
      <c r="BD32" s="109">
        <v>171.99</v>
      </c>
      <c r="BE32" s="109">
        <v>20.64</v>
      </c>
      <c r="BF32" s="111">
        <v>0.12</v>
      </c>
      <c r="BG32" s="109">
        <v>0</v>
      </c>
      <c r="BH32" s="109">
        <v>79.02</v>
      </c>
      <c r="BI32" s="109">
        <v>101.2</v>
      </c>
      <c r="BJ32" s="109">
        <v>0</v>
      </c>
      <c r="BK32" s="109">
        <v>17</v>
      </c>
      <c r="BL32" s="109">
        <v>0</v>
      </c>
      <c r="BM32" s="109">
        <v>9.76</v>
      </c>
      <c r="BN32" s="109">
        <v>4.4</v>
      </c>
      <c r="BO32" s="109">
        <v>5.5</v>
      </c>
      <c r="BP32" s="109">
        <v>3.23</v>
      </c>
      <c r="BQ32" s="109">
        <v>0</v>
      </c>
      <c r="BR32" s="109">
        <v>0</v>
      </c>
      <c r="BS32" s="109">
        <v>0</v>
      </c>
      <c r="BT32" s="109">
        <v>0</v>
      </c>
      <c r="BU32" s="109">
        <v>0</v>
      </c>
      <c r="BV32" s="109">
        <v>0</v>
      </c>
      <c r="BW32" s="109">
        <v>0</v>
      </c>
      <c r="BX32" s="109">
        <v>0</v>
      </c>
      <c r="BY32" s="109">
        <v>0</v>
      </c>
      <c r="BZ32" s="109">
        <v>0</v>
      </c>
      <c r="CA32" s="109">
        <v>10.26</v>
      </c>
      <c r="CB32" s="109" t="s">
        <v>225</v>
      </c>
      <c r="CC32" s="109" t="s">
        <v>204</v>
      </c>
      <c r="CD32" s="109">
        <v>388.15</v>
      </c>
      <c r="CE32" s="109">
        <v>0</v>
      </c>
      <c r="CF32" s="109">
        <v>0</v>
      </c>
      <c r="CG32" s="109">
        <v>0</v>
      </c>
      <c r="CH32" s="109">
        <v>0</v>
      </c>
      <c r="CI32" s="109">
        <v>0</v>
      </c>
      <c r="CJ32" s="109">
        <v>0</v>
      </c>
      <c r="CK32" s="109">
        <v>0</v>
      </c>
      <c r="CL32" s="109"/>
      <c r="CM32" s="109"/>
      <c r="CN32" s="109">
        <v>0</v>
      </c>
      <c r="CO32" s="109">
        <v>0</v>
      </c>
      <c r="CP32" s="109">
        <v>0</v>
      </c>
      <c r="CQ32" s="109">
        <v>0</v>
      </c>
      <c r="CR32" s="109">
        <v>0</v>
      </c>
      <c r="CS32" s="109">
        <v>0</v>
      </c>
      <c r="CT32" s="109">
        <v>0</v>
      </c>
      <c r="CU32" s="109">
        <v>12</v>
      </c>
      <c r="CV32" s="109" t="s">
        <v>254</v>
      </c>
      <c r="CW32" s="109">
        <v>0</v>
      </c>
      <c r="CX32" s="109"/>
      <c r="CY32" s="109">
        <v>15</v>
      </c>
      <c r="CZ32" s="109" t="s">
        <v>254</v>
      </c>
      <c r="DA32" s="109">
        <v>0</v>
      </c>
      <c r="DB32" s="109"/>
      <c r="DE32" s="109">
        <v>0</v>
      </c>
      <c r="DF32" s="109" t="s">
        <v>236</v>
      </c>
      <c r="DG32" s="109" t="s">
        <v>221</v>
      </c>
      <c r="DH32" s="109" t="s">
        <v>220</v>
      </c>
      <c r="DI32" s="109">
        <v>9026067267</v>
      </c>
      <c r="DJ32" s="109" t="s">
        <v>222</v>
      </c>
      <c r="DK32" s="109">
        <v>0</v>
      </c>
      <c r="DL32" s="109" t="s">
        <v>226</v>
      </c>
      <c r="DM32" s="109">
        <v>20.64</v>
      </c>
    </row>
    <row r="33" ht="13.8" hidden="1" spans="1:117">
      <c r="A33" s="109">
        <v>2</v>
      </c>
      <c r="B33" s="109" t="s">
        <v>473</v>
      </c>
      <c r="C33" s="109" t="s">
        <v>203</v>
      </c>
      <c r="D33" s="109" t="s">
        <v>225</v>
      </c>
      <c r="E33" s="109" t="s">
        <v>226</v>
      </c>
      <c r="F33" s="110">
        <v>46239</v>
      </c>
      <c r="G33" s="109" t="s">
        <v>421</v>
      </c>
      <c r="H33" s="109" t="s">
        <v>474</v>
      </c>
      <c r="I33" s="109" t="s">
        <v>216</v>
      </c>
      <c r="J33" s="109" t="s">
        <v>217</v>
      </c>
      <c r="K33" s="109" t="s">
        <v>218</v>
      </c>
      <c r="L33" s="109" t="s">
        <v>219</v>
      </c>
      <c r="M33" s="207" t="s">
        <v>242</v>
      </c>
      <c r="N33" s="109" t="s">
        <v>220</v>
      </c>
      <c r="O33" s="109" t="s">
        <v>221</v>
      </c>
      <c r="P33" s="109" t="s">
        <v>243</v>
      </c>
      <c r="Q33" s="109" t="s">
        <v>216</v>
      </c>
      <c r="R33" s="109" t="s">
        <v>217</v>
      </c>
      <c r="S33" s="109" t="s">
        <v>220</v>
      </c>
      <c r="T33" s="109" t="s">
        <v>221</v>
      </c>
      <c r="U33" s="109" t="s">
        <v>216</v>
      </c>
      <c r="V33" s="109" t="s">
        <v>217</v>
      </c>
      <c r="W33" s="109" t="s">
        <v>218</v>
      </c>
      <c r="X33" s="109" t="s">
        <v>219</v>
      </c>
      <c r="Y33" s="109" t="s">
        <v>220</v>
      </c>
      <c r="Z33" s="109" t="s">
        <v>221</v>
      </c>
      <c r="AA33" s="109" t="s">
        <v>222</v>
      </c>
      <c r="AB33" s="109" t="s">
        <v>223</v>
      </c>
      <c r="AC33" s="109" t="s">
        <v>475</v>
      </c>
      <c r="AD33" s="109" t="s">
        <v>476</v>
      </c>
      <c r="AE33" s="109">
        <v>282</v>
      </c>
      <c r="AF33" s="109" t="s">
        <v>477</v>
      </c>
      <c r="AG33" s="109" t="s">
        <v>478</v>
      </c>
      <c r="AH33" s="109" t="s">
        <v>249</v>
      </c>
      <c r="AI33" s="109" t="s">
        <v>475</v>
      </c>
      <c r="AJ33" s="109" t="s">
        <v>476</v>
      </c>
      <c r="AK33" s="109" t="s">
        <v>478</v>
      </c>
      <c r="AL33" s="109" t="s">
        <v>249</v>
      </c>
      <c r="AM33" s="109" t="s">
        <v>479</v>
      </c>
      <c r="AN33" s="207" t="s">
        <v>480</v>
      </c>
      <c r="AO33" s="109">
        <v>458.155</v>
      </c>
      <c r="AP33" s="109">
        <v>0</v>
      </c>
      <c r="AQ33" s="109">
        <v>35</v>
      </c>
      <c r="AR33" s="109">
        <v>0</v>
      </c>
      <c r="AS33" s="109" t="s">
        <v>252</v>
      </c>
      <c r="AT33" s="109" t="s">
        <v>229</v>
      </c>
      <c r="AU33" s="110">
        <v>46253</v>
      </c>
      <c r="AV33" s="109">
        <v>760.59</v>
      </c>
      <c r="AW33" s="109" t="s">
        <v>230</v>
      </c>
      <c r="AX33" s="109" t="s">
        <v>231</v>
      </c>
      <c r="AY33" s="109">
        <v>15156.76</v>
      </c>
      <c r="AZ33" s="109" t="s">
        <v>232</v>
      </c>
      <c r="BA33" s="109" t="s">
        <v>356</v>
      </c>
      <c r="BB33" s="109">
        <v>760.59</v>
      </c>
      <c r="BC33" s="109">
        <v>669.32</v>
      </c>
      <c r="BD33" s="109">
        <v>760.59</v>
      </c>
      <c r="BE33" s="109">
        <v>91.27</v>
      </c>
      <c r="BF33" s="111">
        <v>0.12</v>
      </c>
      <c r="BG33" s="109">
        <v>0</v>
      </c>
      <c r="BH33" s="109">
        <v>458.155</v>
      </c>
      <c r="BI33" s="109">
        <v>536.04</v>
      </c>
      <c r="BJ33" s="109">
        <v>0</v>
      </c>
      <c r="BK33" s="109">
        <v>17</v>
      </c>
      <c r="BL33" s="109">
        <v>0</v>
      </c>
      <c r="BM33" s="109">
        <v>9.76</v>
      </c>
      <c r="BN33" s="109">
        <v>22.74</v>
      </c>
      <c r="BO33" s="109">
        <v>27.5</v>
      </c>
      <c r="BP33" s="109">
        <v>3.23</v>
      </c>
      <c r="BQ33" s="109">
        <v>0</v>
      </c>
      <c r="BR33" s="109">
        <v>0</v>
      </c>
      <c r="BS33" s="109">
        <v>0</v>
      </c>
      <c r="BT33" s="109">
        <v>0</v>
      </c>
      <c r="BU33" s="109">
        <v>0</v>
      </c>
      <c r="BV33" s="109">
        <v>0</v>
      </c>
      <c r="BW33" s="109">
        <v>0</v>
      </c>
      <c r="BX33" s="109">
        <v>0</v>
      </c>
      <c r="BY33" s="109">
        <v>0</v>
      </c>
      <c r="BZ33" s="109">
        <v>0</v>
      </c>
      <c r="CA33" s="109">
        <v>53.05</v>
      </c>
      <c r="CB33" s="109" t="s">
        <v>225</v>
      </c>
      <c r="CC33" s="109" t="s">
        <v>357</v>
      </c>
      <c r="CD33" s="109">
        <v>1192.52</v>
      </c>
      <c r="CE33" s="109">
        <v>0</v>
      </c>
      <c r="CF33" s="109">
        <v>0</v>
      </c>
      <c r="CG33" s="109">
        <v>0</v>
      </c>
      <c r="CH33" s="109">
        <v>0</v>
      </c>
      <c r="CI33" s="109">
        <v>0</v>
      </c>
      <c r="CJ33" s="109">
        <v>0</v>
      </c>
      <c r="CK33" s="109">
        <v>0</v>
      </c>
      <c r="CL33" s="109"/>
      <c r="CM33" s="109"/>
      <c r="CN33" s="109">
        <v>0</v>
      </c>
      <c r="CO33" s="109">
        <v>0</v>
      </c>
      <c r="CP33" s="109">
        <v>0</v>
      </c>
      <c r="CQ33" s="109">
        <v>0</v>
      </c>
      <c r="CR33" s="109">
        <v>0</v>
      </c>
      <c r="CS33" s="109">
        <v>0</v>
      </c>
      <c r="CT33" s="109">
        <v>0</v>
      </c>
      <c r="CU33" s="109">
        <v>68.72</v>
      </c>
      <c r="CV33" s="109" t="s">
        <v>254</v>
      </c>
      <c r="CW33" s="109">
        <v>0</v>
      </c>
      <c r="CX33" s="109"/>
      <c r="CY33" s="109">
        <v>254.46</v>
      </c>
      <c r="CZ33" s="109" t="s">
        <v>481</v>
      </c>
      <c r="DA33" s="109">
        <v>286.41</v>
      </c>
      <c r="DB33" s="207" t="s">
        <v>482</v>
      </c>
      <c r="DE33" s="109">
        <v>0</v>
      </c>
      <c r="DF33" s="109" t="s">
        <v>236</v>
      </c>
      <c r="DG33" s="109" t="s">
        <v>221</v>
      </c>
      <c r="DH33" s="109" t="s">
        <v>220</v>
      </c>
      <c r="DI33" s="109">
        <v>9026067267</v>
      </c>
      <c r="DJ33" s="109" t="s">
        <v>222</v>
      </c>
      <c r="DK33" s="109">
        <v>0</v>
      </c>
      <c r="DL33" s="109" t="s">
        <v>226</v>
      </c>
      <c r="DM33" s="109">
        <v>91.27</v>
      </c>
    </row>
    <row r="34" ht="13.8" hidden="1" spans="1:117">
      <c r="A34" s="109">
        <v>2</v>
      </c>
      <c r="B34" s="109" t="s">
        <v>483</v>
      </c>
      <c r="C34" s="109" t="s">
        <v>203</v>
      </c>
      <c r="D34" s="109" t="s">
        <v>225</v>
      </c>
      <c r="E34" s="109" t="s">
        <v>226</v>
      </c>
      <c r="F34" s="110">
        <v>46239</v>
      </c>
      <c r="G34" s="109" t="s">
        <v>421</v>
      </c>
      <c r="H34" s="109" t="s">
        <v>484</v>
      </c>
      <c r="I34" s="109" t="s">
        <v>216</v>
      </c>
      <c r="J34" s="109" t="s">
        <v>217</v>
      </c>
      <c r="K34" s="109" t="s">
        <v>218</v>
      </c>
      <c r="L34" s="109" t="s">
        <v>219</v>
      </c>
      <c r="M34" s="207" t="s">
        <v>242</v>
      </c>
      <c r="N34" s="109" t="s">
        <v>220</v>
      </c>
      <c r="O34" s="109" t="s">
        <v>221</v>
      </c>
      <c r="P34" s="109" t="s">
        <v>243</v>
      </c>
      <c r="Q34" s="109" t="s">
        <v>216</v>
      </c>
      <c r="R34" s="109" t="s">
        <v>217</v>
      </c>
      <c r="S34" s="109" t="s">
        <v>220</v>
      </c>
      <c r="T34" s="109" t="s">
        <v>221</v>
      </c>
      <c r="U34" s="109" t="s">
        <v>216</v>
      </c>
      <c r="V34" s="109" t="s">
        <v>217</v>
      </c>
      <c r="W34" s="109" t="s">
        <v>218</v>
      </c>
      <c r="X34" s="109" t="s">
        <v>219</v>
      </c>
      <c r="Y34" s="109" t="s">
        <v>220</v>
      </c>
      <c r="Z34" s="109" t="s">
        <v>221</v>
      </c>
      <c r="AA34" s="109" t="s">
        <v>222</v>
      </c>
      <c r="AB34" s="109" t="s">
        <v>223</v>
      </c>
      <c r="AC34" s="109" t="s">
        <v>485</v>
      </c>
      <c r="AD34" s="109" t="s">
        <v>486</v>
      </c>
      <c r="AE34" s="109">
        <v>360</v>
      </c>
      <c r="AF34" s="109" t="s">
        <v>487</v>
      </c>
      <c r="AG34" s="109" t="s">
        <v>488</v>
      </c>
      <c r="AH34" s="109" t="s">
        <v>214</v>
      </c>
      <c r="AI34" s="109" t="s">
        <v>485</v>
      </c>
      <c r="AJ34" s="109" t="s">
        <v>486</v>
      </c>
      <c r="AK34" s="109" t="s">
        <v>488</v>
      </c>
      <c r="AL34" s="109" t="s">
        <v>214</v>
      </c>
      <c r="AM34" s="109" t="s">
        <v>286</v>
      </c>
      <c r="AN34" s="207" t="s">
        <v>489</v>
      </c>
      <c r="AO34" s="109">
        <v>129.65</v>
      </c>
      <c r="AP34" s="109">
        <v>0</v>
      </c>
      <c r="AQ34" s="109">
        <v>17</v>
      </c>
      <c r="AR34" s="109">
        <v>0</v>
      </c>
      <c r="AS34" s="109" t="s">
        <v>252</v>
      </c>
      <c r="AT34" s="109" t="s">
        <v>229</v>
      </c>
      <c r="AU34" s="110">
        <v>46253</v>
      </c>
      <c r="AV34" s="109">
        <v>225.97</v>
      </c>
      <c r="AW34" s="109" t="s">
        <v>230</v>
      </c>
      <c r="AX34" s="109" t="s">
        <v>230</v>
      </c>
      <c r="AY34" s="109">
        <v>5062.79</v>
      </c>
      <c r="AZ34" s="109" t="s">
        <v>232</v>
      </c>
      <c r="BA34" s="109" t="s">
        <v>490</v>
      </c>
      <c r="BB34" s="109">
        <v>225.97</v>
      </c>
      <c r="BC34" s="109">
        <v>198.85</v>
      </c>
      <c r="BD34" s="109">
        <v>225.97</v>
      </c>
      <c r="BE34" s="109">
        <v>27.12</v>
      </c>
      <c r="BF34" s="111">
        <v>0.12</v>
      </c>
      <c r="BG34" s="109">
        <v>0</v>
      </c>
      <c r="BH34" s="109">
        <v>129.65</v>
      </c>
      <c r="BI34" s="109">
        <v>132.55</v>
      </c>
      <c r="BJ34" s="109">
        <v>0</v>
      </c>
      <c r="BK34" s="109">
        <v>17</v>
      </c>
      <c r="BL34" s="109">
        <v>0</v>
      </c>
      <c r="BM34" s="109">
        <v>9.76</v>
      </c>
      <c r="BN34" s="109">
        <v>7.59</v>
      </c>
      <c r="BO34" s="109">
        <v>11</v>
      </c>
      <c r="BP34" s="109">
        <v>3.23</v>
      </c>
      <c r="BQ34" s="109">
        <v>0</v>
      </c>
      <c r="BR34" s="109">
        <v>0</v>
      </c>
      <c r="BS34" s="109">
        <v>0</v>
      </c>
      <c r="BT34" s="109">
        <v>0</v>
      </c>
      <c r="BU34" s="109">
        <v>0</v>
      </c>
      <c r="BV34" s="109">
        <v>0</v>
      </c>
      <c r="BW34" s="109">
        <v>0</v>
      </c>
      <c r="BX34" s="109">
        <v>0</v>
      </c>
      <c r="BY34" s="109">
        <v>0</v>
      </c>
      <c r="BZ34" s="109">
        <v>0</v>
      </c>
      <c r="CA34" s="109">
        <v>17.72</v>
      </c>
      <c r="CB34" s="109" t="s">
        <v>225</v>
      </c>
      <c r="CC34" s="109" t="s">
        <v>491</v>
      </c>
      <c r="CD34" s="109">
        <v>415.84</v>
      </c>
      <c r="CE34" s="109">
        <v>0</v>
      </c>
      <c r="CF34" s="109">
        <v>0</v>
      </c>
      <c r="CG34" s="109">
        <v>0</v>
      </c>
      <c r="CH34" s="109">
        <v>0</v>
      </c>
      <c r="CI34" s="109">
        <v>0</v>
      </c>
      <c r="CJ34" s="109">
        <v>0</v>
      </c>
      <c r="CK34" s="109">
        <v>0</v>
      </c>
      <c r="CL34" s="109"/>
      <c r="CM34" s="109"/>
      <c r="CN34" s="109">
        <v>0</v>
      </c>
      <c r="CO34" s="109">
        <v>0</v>
      </c>
      <c r="CP34" s="109">
        <v>0</v>
      </c>
      <c r="CQ34" s="109">
        <v>0</v>
      </c>
      <c r="CR34" s="109">
        <v>0</v>
      </c>
      <c r="CS34" s="109">
        <v>0</v>
      </c>
      <c r="CT34" s="109">
        <v>0</v>
      </c>
      <c r="CU34" s="109">
        <v>19.45</v>
      </c>
      <c r="CV34" s="109" t="s">
        <v>254</v>
      </c>
      <c r="CW34" s="109">
        <v>0</v>
      </c>
      <c r="CX34" s="109"/>
      <c r="CY34" s="109">
        <v>53.16</v>
      </c>
      <c r="CZ34" s="109" t="s">
        <v>443</v>
      </c>
      <c r="DA34" s="109">
        <v>53.16</v>
      </c>
      <c r="DB34" s="207" t="s">
        <v>444</v>
      </c>
      <c r="DE34" s="109">
        <v>0</v>
      </c>
      <c r="DF34" s="109" t="s">
        <v>236</v>
      </c>
      <c r="DG34" s="109" t="s">
        <v>221</v>
      </c>
      <c r="DH34" s="109" t="s">
        <v>220</v>
      </c>
      <c r="DI34" s="109">
        <v>9026067267</v>
      </c>
      <c r="DJ34" s="109" t="s">
        <v>222</v>
      </c>
      <c r="DK34" s="109">
        <v>0</v>
      </c>
      <c r="DL34" s="109" t="s">
        <v>226</v>
      </c>
      <c r="DM34" s="109">
        <v>27.12</v>
      </c>
    </row>
    <row r="35" ht="13.8" hidden="1" spans="1:117">
      <c r="A35" s="109">
        <v>2</v>
      </c>
      <c r="B35" s="109" t="s">
        <v>492</v>
      </c>
      <c r="C35" s="109" t="s">
        <v>203</v>
      </c>
      <c r="D35" s="109" t="s">
        <v>225</v>
      </c>
      <c r="E35" s="109" t="s">
        <v>226</v>
      </c>
      <c r="F35" s="110">
        <v>46240</v>
      </c>
      <c r="G35" s="109" t="s">
        <v>240</v>
      </c>
      <c r="H35" s="109" t="s">
        <v>493</v>
      </c>
      <c r="I35" s="109" t="s">
        <v>216</v>
      </c>
      <c r="J35" s="109" t="s">
        <v>217</v>
      </c>
      <c r="K35" s="109" t="s">
        <v>218</v>
      </c>
      <c r="L35" s="109" t="s">
        <v>219</v>
      </c>
      <c r="M35" s="207" t="s">
        <v>242</v>
      </c>
      <c r="N35" s="109" t="s">
        <v>220</v>
      </c>
      <c r="O35" s="109" t="s">
        <v>221</v>
      </c>
      <c r="P35" s="109" t="s">
        <v>243</v>
      </c>
      <c r="Q35" s="109" t="s">
        <v>216</v>
      </c>
      <c r="R35" s="109" t="s">
        <v>217</v>
      </c>
      <c r="S35" s="109" t="s">
        <v>220</v>
      </c>
      <c r="T35" s="109" t="s">
        <v>221</v>
      </c>
      <c r="U35" s="109" t="s">
        <v>216</v>
      </c>
      <c r="V35" s="109" t="s">
        <v>217</v>
      </c>
      <c r="W35" s="109" t="s">
        <v>218</v>
      </c>
      <c r="X35" s="109" t="s">
        <v>219</v>
      </c>
      <c r="Y35" s="109" t="s">
        <v>220</v>
      </c>
      <c r="Z35" s="109" t="s">
        <v>221</v>
      </c>
      <c r="AA35" s="109" t="s">
        <v>222</v>
      </c>
      <c r="AB35" s="109" t="s">
        <v>223</v>
      </c>
      <c r="AC35" s="109" t="s">
        <v>494</v>
      </c>
      <c r="AD35" s="109" t="s">
        <v>495</v>
      </c>
      <c r="AE35" s="109" t="s">
        <v>496</v>
      </c>
      <c r="AF35" s="109" t="s">
        <v>364</v>
      </c>
      <c r="AG35" s="109" t="s">
        <v>497</v>
      </c>
      <c r="AH35" s="109" t="s">
        <v>297</v>
      </c>
      <c r="AI35" s="109" t="s">
        <v>494</v>
      </c>
      <c r="AJ35" s="109" t="s">
        <v>495</v>
      </c>
      <c r="AK35" s="109" t="s">
        <v>497</v>
      </c>
      <c r="AL35" s="109" t="s">
        <v>297</v>
      </c>
      <c r="AM35" s="109" t="s">
        <v>366</v>
      </c>
      <c r="AN35" s="207" t="s">
        <v>498</v>
      </c>
      <c r="AO35" s="109">
        <v>62.3</v>
      </c>
      <c r="AP35" s="109">
        <v>0</v>
      </c>
      <c r="AQ35" s="109">
        <v>7</v>
      </c>
      <c r="AR35" s="109">
        <v>0</v>
      </c>
      <c r="AS35" s="109" t="s">
        <v>252</v>
      </c>
      <c r="AT35" s="109" t="s">
        <v>229</v>
      </c>
      <c r="AU35" s="110">
        <v>46253</v>
      </c>
      <c r="AV35" s="109">
        <v>156.27</v>
      </c>
      <c r="AW35" s="109" t="s">
        <v>230</v>
      </c>
      <c r="AX35" s="109" t="s">
        <v>230</v>
      </c>
      <c r="AY35" s="109">
        <v>4546.1</v>
      </c>
      <c r="AZ35" s="109" t="s">
        <v>232</v>
      </c>
      <c r="BA35" s="109" t="s">
        <v>300</v>
      </c>
      <c r="BB35" s="109">
        <v>156.27</v>
      </c>
      <c r="BC35" s="109">
        <v>137.52</v>
      </c>
      <c r="BD35" s="109">
        <v>156.27</v>
      </c>
      <c r="BE35" s="109">
        <v>18.75</v>
      </c>
      <c r="BF35" s="111">
        <v>0.12</v>
      </c>
      <c r="BG35" s="109">
        <v>0</v>
      </c>
      <c r="BH35" s="109">
        <v>62.3</v>
      </c>
      <c r="BI35" s="109">
        <v>79.3</v>
      </c>
      <c r="BJ35" s="109">
        <v>0</v>
      </c>
      <c r="BK35" s="109">
        <v>17</v>
      </c>
      <c r="BL35" s="109">
        <v>0</v>
      </c>
      <c r="BM35" s="109">
        <v>9.76</v>
      </c>
      <c r="BN35" s="109">
        <v>6.82</v>
      </c>
      <c r="BO35" s="109">
        <v>5.5</v>
      </c>
      <c r="BP35" s="109">
        <v>3.23</v>
      </c>
      <c r="BQ35" s="109">
        <v>0</v>
      </c>
      <c r="BR35" s="109">
        <v>0</v>
      </c>
      <c r="BS35" s="109">
        <v>0</v>
      </c>
      <c r="BT35" s="109">
        <v>0</v>
      </c>
      <c r="BU35" s="109">
        <v>0</v>
      </c>
      <c r="BV35" s="109">
        <v>0</v>
      </c>
      <c r="BW35" s="109">
        <v>0</v>
      </c>
      <c r="BX35" s="109">
        <v>0</v>
      </c>
      <c r="BY35" s="109">
        <v>0</v>
      </c>
      <c r="BZ35" s="109">
        <v>0</v>
      </c>
      <c r="CA35" s="109">
        <v>15.91</v>
      </c>
      <c r="CB35" s="109" t="s">
        <v>225</v>
      </c>
      <c r="CC35" s="109" t="s">
        <v>295</v>
      </c>
      <c r="CD35" s="109">
        <v>409.08</v>
      </c>
      <c r="CE35" s="109">
        <v>0</v>
      </c>
      <c r="CF35" s="109">
        <v>0</v>
      </c>
      <c r="CG35" s="109">
        <v>0</v>
      </c>
      <c r="CH35" s="109">
        <v>0</v>
      </c>
      <c r="CI35" s="109">
        <v>0</v>
      </c>
      <c r="CJ35" s="109">
        <v>0</v>
      </c>
      <c r="CK35" s="109">
        <v>0</v>
      </c>
      <c r="CL35" s="109"/>
      <c r="CM35" s="109"/>
      <c r="CN35" s="109">
        <v>0</v>
      </c>
      <c r="CO35" s="109">
        <v>0</v>
      </c>
      <c r="CP35" s="109">
        <v>0</v>
      </c>
      <c r="CQ35" s="109">
        <v>0</v>
      </c>
      <c r="CR35" s="109">
        <v>0</v>
      </c>
      <c r="CS35" s="109">
        <v>0</v>
      </c>
      <c r="CT35" s="109">
        <v>0</v>
      </c>
      <c r="CU35" s="109">
        <v>12</v>
      </c>
      <c r="CV35" s="109" t="s">
        <v>254</v>
      </c>
      <c r="CW35" s="109">
        <v>0</v>
      </c>
      <c r="CX35" s="109"/>
      <c r="CY35" s="109">
        <v>60.5</v>
      </c>
      <c r="CZ35" s="109" t="s">
        <v>254</v>
      </c>
      <c r="DA35" s="109">
        <f>CY35</f>
        <v>60.5</v>
      </c>
      <c r="DB35" s="109"/>
      <c r="DE35" s="109">
        <v>0</v>
      </c>
      <c r="DF35" s="109" t="s">
        <v>236</v>
      </c>
      <c r="DG35" s="109" t="s">
        <v>221</v>
      </c>
      <c r="DH35" s="109" t="s">
        <v>220</v>
      </c>
      <c r="DI35" s="109">
        <v>9026067267</v>
      </c>
      <c r="DJ35" s="109" t="s">
        <v>222</v>
      </c>
      <c r="DK35" s="109">
        <v>0</v>
      </c>
      <c r="DL35" s="109" t="s">
        <v>226</v>
      </c>
      <c r="DM35" s="109">
        <v>18.75</v>
      </c>
    </row>
    <row r="36" ht="13.8" hidden="1" spans="1:117">
      <c r="A36" s="109">
        <v>2</v>
      </c>
      <c r="B36" s="109" t="s">
        <v>499</v>
      </c>
      <c r="C36" s="109" t="s">
        <v>203</v>
      </c>
      <c r="D36" s="109" t="s">
        <v>225</v>
      </c>
      <c r="E36" s="109" t="s">
        <v>226</v>
      </c>
      <c r="F36" s="110">
        <v>46240</v>
      </c>
      <c r="G36" s="109" t="s">
        <v>240</v>
      </c>
      <c r="H36" s="109" t="s">
        <v>500</v>
      </c>
      <c r="I36" s="109" t="s">
        <v>216</v>
      </c>
      <c r="J36" s="109" t="s">
        <v>217</v>
      </c>
      <c r="K36" s="109" t="s">
        <v>218</v>
      </c>
      <c r="L36" s="109" t="s">
        <v>219</v>
      </c>
      <c r="M36" s="207" t="s">
        <v>242</v>
      </c>
      <c r="N36" s="109" t="s">
        <v>220</v>
      </c>
      <c r="O36" s="109" t="s">
        <v>221</v>
      </c>
      <c r="P36" s="109" t="s">
        <v>243</v>
      </c>
      <c r="Q36" s="109" t="s">
        <v>216</v>
      </c>
      <c r="R36" s="109" t="s">
        <v>217</v>
      </c>
      <c r="S36" s="109" t="s">
        <v>220</v>
      </c>
      <c r="T36" s="109" t="s">
        <v>221</v>
      </c>
      <c r="U36" s="109" t="s">
        <v>216</v>
      </c>
      <c r="V36" s="109" t="s">
        <v>217</v>
      </c>
      <c r="W36" s="109" t="s">
        <v>218</v>
      </c>
      <c r="X36" s="109" t="s">
        <v>219</v>
      </c>
      <c r="Y36" s="109" t="s">
        <v>220</v>
      </c>
      <c r="Z36" s="109" t="s">
        <v>221</v>
      </c>
      <c r="AA36" s="109" t="s">
        <v>222</v>
      </c>
      <c r="AB36" s="109" t="s">
        <v>223</v>
      </c>
      <c r="AC36" s="109" t="s">
        <v>501</v>
      </c>
      <c r="AD36" s="109" t="s">
        <v>502</v>
      </c>
      <c r="AE36" s="109" t="s">
        <v>503</v>
      </c>
      <c r="AF36" s="109" t="s">
        <v>295</v>
      </c>
      <c r="AG36" s="109" t="s">
        <v>504</v>
      </c>
      <c r="AH36" s="109" t="s">
        <v>297</v>
      </c>
      <c r="AI36" s="109" t="s">
        <v>501</v>
      </c>
      <c r="AJ36" s="109" t="s">
        <v>502</v>
      </c>
      <c r="AK36" s="109" t="s">
        <v>504</v>
      </c>
      <c r="AL36" s="109" t="s">
        <v>297</v>
      </c>
      <c r="AM36" s="109" t="s">
        <v>298</v>
      </c>
      <c r="AN36" s="207" t="s">
        <v>505</v>
      </c>
      <c r="AO36" s="109">
        <v>34.44</v>
      </c>
      <c r="AP36" s="109">
        <v>0</v>
      </c>
      <c r="AQ36" s="109">
        <v>3</v>
      </c>
      <c r="AR36" s="109">
        <v>0</v>
      </c>
      <c r="AS36" s="109" t="s">
        <v>252</v>
      </c>
      <c r="AT36" s="109" t="s">
        <v>229</v>
      </c>
      <c r="AU36" s="110">
        <v>46253</v>
      </c>
      <c r="AV36" s="109">
        <v>397.86</v>
      </c>
      <c r="AW36" s="109" t="s">
        <v>230</v>
      </c>
      <c r="AX36" s="109" t="s">
        <v>230</v>
      </c>
      <c r="AY36" s="109">
        <v>1565.55</v>
      </c>
      <c r="AZ36" s="109" t="s">
        <v>232</v>
      </c>
      <c r="BA36" s="109" t="s">
        <v>300</v>
      </c>
      <c r="BB36" s="109">
        <v>397.86</v>
      </c>
      <c r="BC36" s="109">
        <v>350.12</v>
      </c>
      <c r="BD36" s="109">
        <v>397.86</v>
      </c>
      <c r="BE36" s="109">
        <v>47.74</v>
      </c>
      <c r="BF36" s="111">
        <v>0.12</v>
      </c>
      <c r="BG36" s="109">
        <v>0</v>
      </c>
      <c r="BH36" s="109">
        <v>34.44</v>
      </c>
      <c r="BI36" s="109">
        <v>56.8</v>
      </c>
      <c r="BJ36" s="109">
        <v>0</v>
      </c>
      <c r="BK36" s="109">
        <v>17</v>
      </c>
      <c r="BL36" s="109">
        <v>0</v>
      </c>
      <c r="BM36" s="109">
        <v>9.76</v>
      </c>
      <c r="BN36" s="109">
        <v>2.35</v>
      </c>
      <c r="BO36" s="109">
        <v>5.5</v>
      </c>
      <c r="BP36" s="109">
        <v>3.23</v>
      </c>
      <c r="BQ36" s="109">
        <v>0</v>
      </c>
      <c r="BR36" s="109">
        <v>0</v>
      </c>
      <c r="BS36" s="109">
        <v>0</v>
      </c>
      <c r="BT36" s="109">
        <v>0</v>
      </c>
      <c r="BU36" s="109">
        <v>0</v>
      </c>
      <c r="BV36" s="109">
        <v>0</v>
      </c>
      <c r="BW36" s="109">
        <v>0</v>
      </c>
      <c r="BX36" s="109">
        <v>250</v>
      </c>
      <c r="BY36" s="109">
        <v>0</v>
      </c>
      <c r="BZ36" s="109">
        <v>0</v>
      </c>
      <c r="CA36" s="109">
        <v>5.48</v>
      </c>
      <c r="CB36" s="109" t="s">
        <v>225</v>
      </c>
      <c r="CC36" s="109" t="s">
        <v>295</v>
      </c>
      <c r="CD36" s="109">
        <v>373.65</v>
      </c>
      <c r="CE36" s="109">
        <v>0</v>
      </c>
      <c r="CF36" s="109">
        <v>0</v>
      </c>
      <c r="CG36" s="109">
        <v>0</v>
      </c>
      <c r="CH36" s="109">
        <v>0</v>
      </c>
      <c r="CI36" s="109">
        <v>0</v>
      </c>
      <c r="CJ36" s="109">
        <v>0</v>
      </c>
      <c r="CK36" s="109">
        <v>0</v>
      </c>
      <c r="CL36" s="109"/>
      <c r="CM36" s="109"/>
      <c r="CN36" s="109">
        <v>0</v>
      </c>
      <c r="CO36" s="109">
        <v>0</v>
      </c>
      <c r="CP36" s="109">
        <v>0</v>
      </c>
      <c r="CQ36" s="109">
        <v>0</v>
      </c>
      <c r="CR36" s="109">
        <v>0</v>
      </c>
      <c r="CS36" s="109">
        <v>0</v>
      </c>
      <c r="CT36" s="109">
        <v>0</v>
      </c>
      <c r="CU36" s="109">
        <v>12</v>
      </c>
      <c r="CV36" s="109" t="s">
        <v>254</v>
      </c>
      <c r="CW36" s="109">
        <v>0</v>
      </c>
      <c r="CX36" s="109"/>
      <c r="CY36" s="109">
        <v>18</v>
      </c>
      <c r="CZ36" s="109" t="s">
        <v>254</v>
      </c>
      <c r="DA36" s="109">
        <v>0</v>
      </c>
      <c r="DB36" s="109"/>
      <c r="DE36" s="109">
        <v>0</v>
      </c>
      <c r="DF36" s="109" t="s">
        <v>236</v>
      </c>
      <c r="DG36" s="109" t="s">
        <v>221</v>
      </c>
      <c r="DH36" s="109" t="s">
        <v>220</v>
      </c>
      <c r="DI36" s="109">
        <v>9026067267</v>
      </c>
      <c r="DJ36" s="109" t="s">
        <v>222</v>
      </c>
      <c r="DK36" s="109">
        <v>0</v>
      </c>
      <c r="DL36" s="109" t="s">
        <v>226</v>
      </c>
      <c r="DM36" s="109">
        <v>47.74</v>
      </c>
    </row>
    <row r="37" ht="13.8" hidden="1" spans="1:117">
      <c r="A37" s="109">
        <v>2</v>
      </c>
      <c r="B37" s="109" t="s">
        <v>506</v>
      </c>
      <c r="C37" s="109" t="s">
        <v>203</v>
      </c>
      <c r="D37" s="109" t="s">
        <v>225</v>
      </c>
      <c r="E37" s="109" t="s">
        <v>226</v>
      </c>
      <c r="F37" s="110">
        <v>46240</v>
      </c>
      <c r="G37" s="109" t="s">
        <v>240</v>
      </c>
      <c r="H37" s="109" t="s">
        <v>507</v>
      </c>
      <c r="I37" s="109" t="s">
        <v>216</v>
      </c>
      <c r="J37" s="109" t="s">
        <v>217</v>
      </c>
      <c r="K37" s="109" t="s">
        <v>218</v>
      </c>
      <c r="L37" s="109" t="s">
        <v>219</v>
      </c>
      <c r="M37" s="207" t="s">
        <v>242</v>
      </c>
      <c r="N37" s="109" t="s">
        <v>220</v>
      </c>
      <c r="O37" s="109" t="s">
        <v>221</v>
      </c>
      <c r="P37" s="109" t="s">
        <v>243</v>
      </c>
      <c r="Q37" s="109" t="s">
        <v>216</v>
      </c>
      <c r="R37" s="109" t="s">
        <v>217</v>
      </c>
      <c r="S37" s="109" t="s">
        <v>220</v>
      </c>
      <c r="T37" s="109" t="s">
        <v>221</v>
      </c>
      <c r="U37" s="109" t="s">
        <v>216</v>
      </c>
      <c r="V37" s="109" t="s">
        <v>217</v>
      </c>
      <c r="W37" s="109" t="s">
        <v>218</v>
      </c>
      <c r="X37" s="109" t="s">
        <v>219</v>
      </c>
      <c r="Y37" s="109" t="s">
        <v>220</v>
      </c>
      <c r="Z37" s="109" t="s">
        <v>221</v>
      </c>
      <c r="AA37" s="109" t="s">
        <v>222</v>
      </c>
      <c r="AB37" s="109" t="s">
        <v>223</v>
      </c>
      <c r="AC37" s="109" t="s">
        <v>508</v>
      </c>
      <c r="AD37" s="109" t="s">
        <v>509</v>
      </c>
      <c r="AE37" s="109">
        <v>291</v>
      </c>
      <c r="AF37" s="109" t="s">
        <v>277</v>
      </c>
      <c r="AG37" s="109" t="s">
        <v>510</v>
      </c>
      <c r="AH37" s="109" t="s">
        <v>273</v>
      </c>
      <c r="AI37" s="109" t="s">
        <v>508</v>
      </c>
      <c r="AJ37" s="109" t="s">
        <v>509</v>
      </c>
      <c r="AK37" s="109" t="s">
        <v>510</v>
      </c>
      <c r="AL37" s="109" t="s">
        <v>273</v>
      </c>
      <c r="AM37" s="109" t="s">
        <v>274</v>
      </c>
      <c r="AN37" s="207" t="s">
        <v>511</v>
      </c>
      <c r="AO37" s="109">
        <v>75.75</v>
      </c>
      <c r="AP37" s="109">
        <v>0</v>
      </c>
      <c r="AQ37" s="109">
        <v>7</v>
      </c>
      <c r="AR37" s="109">
        <v>0</v>
      </c>
      <c r="AS37" s="109" t="s">
        <v>252</v>
      </c>
      <c r="AT37" s="109" t="s">
        <v>229</v>
      </c>
      <c r="AU37" s="110">
        <v>46253</v>
      </c>
      <c r="AV37" s="109">
        <v>444.06</v>
      </c>
      <c r="AW37" s="109" t="s">
        <v>230</v>
      </c>
      <c r="AX37" s="109" t="s">
        <v>230</v>
      </c>
      <c r="AY37" s="109">
        <v>2337.69</v>
      </c>
      <c r="AZ37" s="109" t="s">
        <v>232</v>
      </c>
      <c r="BA37" s="109" t="s">
        <v>276</v>
      </c>
      <c r="BB37" s="109">
        <v>444.06</v>
      </c>
      <c r="BC37" s="109">
        <v>412.98</v>
      </c>
      <c r="BD37" s="109">
        <v>444.06</v>
      </c>
      <c r="BE37" s="109">
        <v>31.08</v>
      </c>
      <c r="BF37" s="111">
        <v>0.07</v>
      </c>
      <c r="BG37" s="109">
        <v>0</v>
      </c>
      <c r="BH37" s="109">
        <v>75.75</v>
      </c>
      <c r="BI37" s="109">
        <v>115.8</v>
      </c>
      <c r="BJ37" s="109">
        <v>0</v>
      </c>
      <c r="BK37" s="109">
        <v>17</v>
      </c>
      <c r="BL37" s="109">
        <v>0</v>
      </c>
      <c r="BM37" s="109">
        <v>9.76</v>
      </c>
      <c r="BN37" s="109">
        <v>3.51</v>
      </c>
      <c r="BO37" s="109">
        <v>5.5</v>
      </c>
      <c r="BP37" s="109">
        <v>3.23</v>
      </c>
      <c r="BQ37" s="109">
        <v>0</v>
      </c>
      <c r="BR37" s="109">
        <v>0</v>
      </c>
      <c r="BS37" s="109">
        <v>0</v>
      </c>
      <c r="BT37" s="109">
        <v>0</v>
      </c>
      <c r="BU37" s="109">
        <v>0</v>
      </c>
      <c r="BV37" s="109">
        <v>0</v>
      </c>
      <c r="BW37" s="109">
        <v>0</v>
      </c>
      <c r="BX37" s="109">
        <v>250</v>
      </c>
      <c r="BY37" s="109">
        <v>0</v>
      </c>
      <c r="BZ37" s="109">
        <v>0</v>
      </c>
      <c r="CA37" s="109">
        <v>8.18</v>
      </c>
      <c r="CB37" s="109" t="s">
        <v>225</v>
      </c>
      <c r="CC37" s="109" t="s">
        <v>277</v>
      </c>
      <c r="CD37" s="109">
        <v>381.36</v>
      </c>
      <c r="CE37" s="109">
        <v>0</v>
      </c>
      <c r="CF37" s="109">
        <v>0</v>
      </c>
      <c r="CG37" s="109">
        <v>0</v>
      </c>
      <c r="CH37" s="109">
        <v>0</v>
      </c>
      <c r="CI37" s="109">
        <v>0</v>
      </c>
      <c r="CJ37" s="109">
        <v>0</v>
      </c>
      <c r="CK37" s="109">
        <v>0</v>
      </c>
      <c r="CL37" s="109"/>
      <c r="CM37" s="109"/>
      <c r="CN37" s="109">
        <v>0</v>
      </c>
      <c r="CO37" s="109">
        <v>0</v>
      </c>
      <c r="CP37" s="109">
        <v>0</v>
      </c>
      <c r="CQ37" s="109">
        <v>0</v>
      </c>
      <c r="CR37" s="109">
        <v>0</v>
      </c>
      <c r="CS37" s="109">
        <v>0</v>
      </c>
      <c r="CT37" s="109">
        <v>0</v>
      </c>
      <c r="CU37" s="109">
        <v>12</v>
      </c>
      <c r="CV37" s="109" t="s">
        <v>254</v>
      </c>
      <c r="CW37" s="109">
        <v>0</v>
      </c>
      <c r="CX37" s="109"/>
      <c r="CY37" s="109">
        <v>328.23</v>
      </c>
      <c r="CZ37" s="109" t="s">
        <v>512</v>
      </c>
      <c r="DA37" s="109">
        <v>213.15</v>
      </c>
      <c r="DB37" s="207" t="s">
        <v>513</v>
      </c>
      <c r="DE37" s="109">
        <v>0</v>
      </c>
      <c r="DF37" s="109" t="s">
        <v>236</v>
      </c>
      <c r="DG37" s="109" t="s">
        <v>221</v>
      </c>
      <c r="DH37" s="109" t="s">
        <v>220</v>
      </c>
      <c r="DI37" s="109">
        <v>9026067267</v>
      </c>
      <c r="DJ37" s="109" t="s">
        <v>222</v>
      </c>
      <c r="DK37" s="109">
        <v>0</v>
      </c>
      <c r="DL37" s="109" t="s">
        <v>226</v>
      </c>
      <c r="DM37" s="109">
        <v>31.08</v>
      </c>
    </row>
    <row r="38" ht="13.8" hidden="1" spans="1:117">
      <c r="A38" s="109">
        <v>2</v>
      </c>
      <c r="B38" s="109" t="s">
        <v>514</v>
      </c>
      <c r="C38" s="109" t="s">
        <v>203</v>
      </c>
      <c r="D38" s="109" t="s">
        <v>225</v>
      </c>
      <c r="E38" s="109" t="s">
        <v>226</v>
      </c>
      <c r="F38" s="110">
        <v>46240</v>
      </c>
      <c r="G38" s="109" t="s">
        <v>240</v>
      </c>
      <c r="H38" s="109" t="s">
        <v>515</v>
      </c>
      <c r="I38" s="109" t="s">
        <v>216</v>
      </c>
      <c r="J38" s="109" t="s">
        <v>217</v>
      </c>
      <c r="K38" s="109" t="s">
        <v>218</v>
      </c>
      <c r="L38" s="109" t="s">
        <v>219</v>
      </c>
      <c r="M38" s="207" t="s">
        <v>242</v>
      </c>
      <c r="N38" s="109" t="s">
        <v>220</v>
      </c>
      <c r="O38" s="109" t="s">
        <v>221</v>
      </c>
      <c r="P38" s="109" t="s">
        <v>243</v>
      </c>
      <c r="Q38" s="109" t="s">
        <v>216</v>
      </c>
      <c r="R38" s="109" t="s">
        <v>217</v>
      </c>
      <c r="S38" s="109" t="s">
        <v>220</v>
      </c>
      <c r="T38" s="109" t="s">
        <v>221</v>
      </c>
      <c r="U38" s="109" t="s">
        <v>216</v>
      </c>
      <c r="V38" s="109" t="s">
        <v>217</v>
      </c>
      <c r="W38" s="109" t="s">
        <v>218</v>
      </c>
      <c r="X38" s="109" t="s">
        <v>219</v>
      </c>
      <c r="Y38" s="109" t="s">
        <v>220</v>
      </c>
      <c r="Z38" s="109" t="s">
        <v>221</v>
      </c>
      <c r="AA38" s="109" t="s">
        <v>222</v>
      </c>
      <c r="AB38" s="109" t="s">
        <v>223</v>
      </c>
      <c r="AC38" s="109" t="s">
        <v>516</v>
      </c>
      <c r="AD38" s="109" t="s">
        <v>517</v>
      </c>
      <c r="AE38" s="109">
        <v>133</v>
      </c>
      <c r="AF38" s="109" t="s">
        <v>364</v>
      </c>
      <c r="AG38" s="109" t="s">
        <v>365</v>
      </c>
      <c r="AH38" s="109" t="s">
        <v>297</v>
      </c>
      <c r="AI38" s="109" t="s">
        <v>516</v>
      </c>
      <c r="AJ38" s="109" t="s">
        <v>517</v>
      </c>
      <c r="AK38" s="109" t="s">
        <v>365</v>
      </c>
      <c r="AL38" s="109" t="s">
        <v>297</v>
      </c>
      <c r="AM38" s="109" t="s">
        <v>366</v>
      </c>
      <c r="AN38" s="207" t="s">
        <v>518</v>
      </c>
      <c r="AO38" s="109">
        <v>41.28</v>
      </c>
      <c r="AP38" s="109">
        <v>0</v>
      </c>
      <c r="AQ38" s="109">
        <v>8</v>
      </c>
      <c r="AR38" s="109">
        <v>0</v>
      </c>
      <c r="AS38" s="109" t="s">
        <v>252</v>
      </c>
      <c r="AT38" s="109" t="s">
        <v>229</v>
      </c>
      <c r="AU38" s="110">
        <v>46253</v>
      </c>
      <c r="AV38" s="109">
        <v>160.3</v>
      </c>
      <c r="AW38" s="109" t="s">
        <v>230</v>
      </c>
      <c r="AX38" s="109" t="s">
        <v>230</v>
      </c>
      <c r="AY38" s="109">
        <v>1517.69</v>
      </c>
      <c r="AZ38" s="109" t="s">
        <v>232</v>
      </c>
      <c r="BA38" s="109" t="s">
        <v>368</v>
      </c>
      <c r="BB38" s="109">
        <v>160.3</v>
      </c>
      <c r="BC38" s="109">
        <v>141.06</v>
      </c>
      <c r="BD38" s="109">
        <v>160.3</v>
      </c>
      <c r="BE38" s="109">
        <v>19.24</v>
      </c>
      <c r="BF38" s="111">
        <v>0.12</v>
      </c>
      <c r="BG38" s="109">
        <v>0</v>
      </c>
      <c r="BH38" s="109">
        <v>41.28</v>
      </c>
      <c r="BI38" s="109">
        <v>97.98</v>
      </c>
      <c r="BJ38" s="109">
        <v>0</v>
      </c>
      <c r="BK38" s="109">
        <v>17</v>
      </c>
      <c r="BL38" s="109">
        <v>0</v>
      </c>
      <c r="BM38" s="109">
        <v>9.76</v>
      </c>
      <c r="BN38" s="109">
        <v>2.28</v>
      </c>
      <c r="BO38" s="109">
        <v>5.5</v>
      </c>
      <c r="BP38" s="109">
        <v>3.23</v>
      </c>
      <c r="BQ38" s="109">
        <v>0</v>
      </c>
      <c r="BR38" s="109">
        <v>0</v>
      </c>
      <c r="BS38" s="109">
        <v>0</v>
      </c>
      <c r="BT38" s="109">
        <v>0</v>
      </c>
      <c r="BU38" s="109">
        <v>0</v>
      </c>
      <c r="BV38" s="109">
        <v>0</v>
      </c>
      <c r="BW38" s="109">
        <v>0</v>
      </c>
      <c r="BX38" s="109">
        <v>0</v>
      </c>
      <c r="BY38" s="109">
        <v>0</v>
      </c>
      <c r="BZ38" s="109">
        <v>0</v>
      </c>
      <c r="CA38" s="109">
        <v>5.31</v>
      </c>
      <c r="CB38" s="109" t="s">
        <v>225</v>
      </c>
      <c r="CC38" s="109" t="s">
        <v>369</v>
      </c>
      <c r="CD38" s="109">
        <v>373.14</v>
      </c>
      <c r="CE38" s="109">
        <v>0</v>
      </c>
      <c r="CF38" s="109">
        <v>0</v>
      </c>
      <c r="CG38" s="109">
        <v>0</v>
      </c>
      <c r="CH38" s="109">
        <v>0</v>
      </c>
      <c r="CI38" s="109">
        <v>0</v>
      </c>
      <c r="CJ38" s="109">
        <v>0</v>
      </c>
      <c r="CK38" s="109">
        <v>0</v>
      </c>
      <c r="CL38" s="109"/>
      <c r="CM38" s="109"/>
      <c r="CN38" s="109">
        <v>0</v>
      </c>
      <c r="CO38" s="109">
        <v>0</v>
      </c>
      <c r="CP38" s="109">
        <v>0</v>
      </c>
      <c r="CQ38" s="109">
        <v>0</v>
      </c>
      <c r="CR38" s="109">
        <v>0</v>
      </c>
      <c r="CS38" s="109">
        <v>0</v>
      </c>
      <c r="CT38" s="109">
        <v>0</v>
      </c>
      <c r="CU38" s="109">
        <v>12</v>
      </c>
      <c r="CV38" s="109" t="s">
        <v>254</v>
      </c>
      <c r="CW38" s="109">
        <v>0</v>
      </c>
      <c r="CX38" s="109"/>
      <c r="CY38" s="109">
        <v>49.5</v>
      </c>
      <c r="CZ38" s="109" t="s">
        <v>254</v>
      </c>
      <c r="DA38" s="109">
        <f>CY38</f>
        <v>49.5</v>
      </c>
      <c r="DB38" s="109"/>
      <c r="DE38" s="109">
        <v>0</v>
      </c>
      <c r="DF38" s="109" t="s">
        <v>236</v>
      </c>
      <c r="DG38" s="109" t="s">
        <v>221</v>
      </c>
      <c r="DH38" s="109" t="s">
        <v>220</v>
      </c>
      <c r="DI38" s="109">
        <v>9026067267</v>
      </c>
      <c r="DJ38" s="109" t="s">
        <v>222</v>
      </c>
      <c r="DK38" s="109">
        <v>0</v>
      </c>
      <c r="DL38" s="109" t="s">
        <v>226</v>
      </c>
      <c r="DM38" s="109">
        <v>19.24</v>
      </c>
    </row>
    <row r="39" ht="13.8" hidden="1" spans="1:117">
      <c r="A39" s="109">
        <v>2</v>
      </c>
      <c r="B39" s="109" t="s">
        <v>519</v>
      </c>
      <c r="C39" s="109" t="s">
        <v>203</v>
      </c>
      <c r="D39" s="109" t="s">
        <v>225</v>
      </c>
      <c r="E39" s="109" t="s">
        <v>226</v>
      </c>
      <c r="F39" s="110">
        <v>46240</v>
      </c>
      <c r="G39" s="109" t="s">
        <v>240</v>
      </c>
      <c r="H39" s="109" t="s">
        <v>520</v>
      </c>
      <c r="I39" s="109" t="s">
        <v>216</v>
      </c>
      <c r="J39" s="109" t="s">
        <v>217</v>
      </c>
      <c r="K39" s="109" t="s">
        <v>218</v>
      </c>
      <c r="L39" s="109" t="s">
        <v>219</v>
      </c>
      <c r="M39" s="207" t="s">
        <v>242</v>
      </c>
      <c r="N39" s="109" t="s">
        <v>220</v>
      </c>
      <c r="O39" s="109" t="s">
        <v>221</v>
      </c>
      <c r="P39" s="109" t="s">
        <v>243</v>
      </c>
      <c r="Q39" s="109" t="s">
        <v>216</v>
      </c>
      <c r="R39" s="109" t="s">
        <v>217</v>
      </c>
      <c r="S39" s="109" t="s">
        <v>220</v>
      </c>
      <c r="T39" s="109" t="s">
        <v>221</v>
      </c>
      <c r="U39" s="109" t="s">
        <v>216</v>
      </c>
      <c r="V39" s="109" t="s">
        <v>217</v>
      </c>
      <c r="W39" s="109" t="s">
        <v>218</v>
      </c>
      <c r="X39" s="109" t="s">
        <v>219</v>
      </c>
      <c r="Y39" s="109" t="s">
        <v>220</v>
      </c>
      <c r="Z39" s="109" t="s">
        <v>221</v>
      </c>
      <c r="AA39" s="109" t="s">
        <v>222</v>
      </c>
      <c r="AB39" s="109" t="s">
        <v>223</v>
      </c>
      <c r="AC39" s="109" t="s">
        <v>521</v>
      </c>
      <c r="AD39" s="109" t="s">
        <v>522</v>
      </c>
      <c r="AE39" s="109" t="s">
        <v>403</v>
      </c>
      <c r="AF39" s="109" t="s">
        <v>295</v>
      </c>
      <c r="AG39" s="109" t="s">
        <v>404</v>
      </c>
      <c r="AH39" s="109" t="s">
        <v>297</v>
      </c>
      <c r="AI39" s="109" t="s">
        <v>521</v>
      </c>
      <c r="AJ39" s="109" t="s">
        <v>522</v>
      </c>
      <c r="AK39" s="109" t="s">
        <v>404</v>
      </c>
      <c r="AL39" s="109" t="s">
        <v>297</v>
      </c>
      <c r="AM39" s="109" t="s">
        <v>298</v>
      </c>
      <c r="AN39" s="207" t="s">
        <v>523</v>
      </c>
      <c r="AO39" s="109">
        <v>12.97</v>
      </c>
      <c r="AP39" s="109">
        <v>0</v>
      </c>
      <c r="AQ39" s="109">
        <v>2</v>
      </c>
      <c r="AR39" s="109">
        <v>0</v>
      </c>
      <c r="AS39" s="109" t="s">
        <v>252</v>
      </c>
      <c r="AT39" s="109" t="s">
        <v>229</v>
      </c>
      <c r="AU39" s="110">
        <v>46253</v>
      </c>
      <c r="AV39" s="109">
        <v>96</v>
      </c>
      <c r="AW39" s="109" t="s">
        <v>230</v>
      </c>
      <c r="AX39" s="109" t="s">
        <v>230</v>
      </c>
      <c r="AY39" s="109">
        <v>1858.04</v>
      </c>
      <c r="AZ39" s="109" t="s">
        <v>232</v>
      </c>
      <c r="BA39" s="109" t="s">
        <v>300</v>
      </c>
      <c r="BB39" s="109">
        <v>96</v>
      </c>
      <c r="BC39" s="109">
        <v>84.48</v>
      </c>
      <c r="BD39" s="109">
        <v>96</v>
      </c>
      <c r="BE39" s="109">
        <v>11.52</v>
      </c>
      <c r="BF39" s="111">
        <v>0.12</v>
      </c>
      <c r="BG39" s="109">
        <v>0</v>
      </c>
      <c r="BH39" s="109">
        <v>12.97</v>
      </c>
      <c r="BI39" s="109">
        <v>39.7</v>
      </c>
      <c r="BJ39" s="109">
        <v>0</v>
      </c>
      <c r="BK39" s="109">
        <v>17</v>
      </c>
      <c r="BL39" s="109">
        <v>0</v>
      </c>
      <c r="BM39" s="109">
        <v>9.76</v>
      </c>
      <c r="BN39" s="109">
        <v>2.79</v>
      </c>
      <c r="BO39" s="109">
        <v>5.5</v>
      </c>
      <c r="BP39" s="109">
        <v>3.23</v>
      </c>
      <c r="BQ39" s="109">
        <v>0</v>
      </c>
      <c r="BR39" s="109">
        <v>0</v>
      </c>
      <c r="BS39" s="109">
        <v>0</v>
      </c>
      <c r="BT39" s="109">
        <v>0</v>
      </c>
      <c r="BU39" s="109">
        <v>0</v>
      </c>
      <c r="BV39" s="109">
        <v>0</v>
      </c>
      <c r="BW39" s="109">
        <v>0</v>
      </c>
      <c r="BX39" s="109">
        <v>0</v>
      </c>
      <c r="BY39" s="109">
        <v>0</v>
      </c>
      <c r="BZ39" s="109">
        <v>0</v>
      </c>
      <c r="CA39" s="109">
        <v>6.5</v>
      </c>
      <c r="CB39" s="109" t="s">
        <v>225</v>
      </c>
      <c r="CC39" s="109" t="s">
        <v>295</v>
      </c>
      <c r="CD39" s="109">
        <v>376.62</v>
      </c>
      <c r="CE39" s="109">
        <v>0</v>
      </c>
      <c r="CF39" s="109">
        <v>0</v>
      </c>
      <c r="CG39" s="109">
        <v>0</v>
      </c>
      <c r="CH39" s="109">
        <v>0</v>
      </c>
      <c r="CI39" s="109">
        <v>0</v>
      </c>
      <c r="CJ39" s="109">
        <v>0</v>
      </c>
      <c r="CK39" s="109">
        <v>0</v>
      </c>
      <c r="CL39" s="109"/>
      <c r="CM39" s="109"/>
      <c r="CN39" s="109">
        <v>0</v>
      </c>
      <c r="CO39" s="109">
        <v>0</v>
      </c>
      <c r="CP39" s="109">
        <v>0</v>
      </c>
      <c r="CQ39" s="109">
        <v>0</v>
      </c>
      <c r="CR39" s="109">
        <v>0</v>
      </c>
      <c r="CS39" s="109">
        <v>0</v>
      </c>
      <c r="CT39" s="109">
        <v>0</v>
      </c>
      <c r="CU39" s="109">
        <v>12</v>
      </c>
      <c r="CV39" s="109" t="s">
        <v>254</v>
      </c>
      <c r="CW39" s="109">
        <v>0</v>
      </c>
      <c r="CX39" s="109"/>
      <c r="CY39" s="109">
        <v>18</v>
      </c>
      <c r="CZ39" s="109" t="s">
        <v>254</v>
      </c>
      <c r="DA39" s="109">
        <v>0</v>
      </c>
      <c r="DB39" s="109"/>
      <c r="DE39" s="109">
        <v>0</v>
      </c>
      <c r="DF39" s="109" t="s">
        <v>236</v>
      </c>
      <c r="DG39" s="109" t="s">
        <v>221</v>
      </c>
      <c r="DH39" s="109" t="s">
        <v>220</v>
      </c>
      <c r="DI39" s="109">
        <v>9026067267</v>
      </c>
      <c r="DJ39" s="109" t="s">
        <v>222</v>
      </c>
      <c r="DK39" s="109">
        <v>0</v>
      </c>
      <c r="DL39" s="109" t="s">
        <v>226</v>
      </c>
      <c r="DM39" s="109">
        <v>11.52</v>
      </c>
    </row>
    <row r="40" ht="13.8" hidden="1" spans="1:117">
      <c r="A40" s="109">
        <v>2</v>
      </c>
      <c r="B40" s="109" t="s">
        <v>524</v>
      </c>
      <c r="C40" s="109" t="s">
        <v>203</v>
      </c>
      <c r="D40" s="109" t="s">
        <v>225</v>
      </c>
      <c r="E40" s="109" t="s">
        <v>226</v>
      </c>
      <c r="F40" s="110">
        <v>46240</v>
      </c>
      <c r="G40" s="109" t="s">
        <v>240</v>
      </c>
      <c r="H40" s="109" t="s">
        <v>525</v>
      </c>
      <c r="I40" s="109" t="s">
        <v>216</v>
      </c>
      <c r="J40" s="109" t="s">
        <v>217</v>
      </c>
      <c r="K40" s="109" t="s">
        <v>218</v>
      </c>
      <c r="L40" s="109" t="s">
        <v>219</v>
      </c>
      <c r="M40" s="207" t="s">
        <v>242</v>
      </c>
      <c r="N40" s="109" t="s">
        <v>220</v>
      </c>
      <c r="O40" s="109" t="s">
        <v>221</v>
      </c>
      <c r="P40" s="109" t="s">
        <v>243</v>
      </c>
      <c r="Q40" s="109" t="s">
        <v>216</v>
      </c>
      <c r="R40" s="109" t="s">
        <v>217</v>
      </c>
      <c r="S40" s="109" t="s">
        <v>220</v>
      </c>
      <c r="T40" s="109" t="s">
        <v>221</v>
      </c>
      <c r="U40" s="109" t="s">
        <v>216</v>
      </c>
      <c r="V40" s="109" t="s">
        <v>217</v>
      </c>
      <c r="W40" s="109" t="s">
        <v>218</v>
      </c>
      <c r="X40" s="109" t="s">
        <v>219</v>
      </c>
      <c r="Y40" s="109" t="s">
        <v>220</v>
      </c>
      <c r="Z40" s="109" t="s">
        <v>221</v>
      </c>
      <c r="AA40" s="109" t="s">
        <v>222</v>
      </c>
      <c r="AB40" s="109" t="s">
        <v>223</v>
      </c>
      <c r="AC40" s="109" t="s">
        <v>526</v>
      </c>
      <c r="AD40" s="109" t="s">
        <v>527</v>
      </c>
      <c r="AE40" s="109" t="s">
        <v>528</v>
      </c>
      <c r="AF40" s="109" t="s">
        <v>247</v>
      </c>
      <c r="AG40" s="109" t="s">
        <v>529</v>
      </c>
      <c r="AH40" s="109" t="s">
        <v>249</v>
      </c>
      <c r="AI40" s="109" t="s">
        <v>526</v>
      </c>
      <c r="AJ40" s="109" t="s">
        <v>527</v>
      </c>
      <c r="AK40" s="109" t="s">
        <v>529</v>
      </c>
      <c r="AL40" s="109" t="s">
        <v>249</v>
      </c>
      <c r="AM40" s="109" t="s">
        <v>250</v>
      </c>
      <c r="AN40" s="207" t="s">
        <v>530</v>
      </c>
      <c r="AO40" s="109">
        <v>163.856</v>
      </c>
      <c r="AP40" s="109">
        <v>0.4586</v>
      </c>
      <c r="AQ40" s="109">
        <v>21</v>
      </c>
      <c r="AR40" s="109">
        <v>0</v>
      </c>
      <c r="AS40" s="109" t="s">
        <v>252</v>
      </c>
      <c r="AT40" s="109" t="s">
        <v>229</v>
      </c>
      <c r="AU40" s="110">
        <v>46253</v>
      </c>
      <c r="AV40" s="109">
        <v>243.95</v>
      </c>
      <c r="AW40" s="109" t="s">
        <v>230</v>
      </c>
      <c r="AX40" s="109" t="s">
        <v>231</v>
      </c>
      <c r="AY40" s="109">
        <v>5241</v>
      </c>
      <c r="AZ40" s="109" t="s">
        <v>232</v>
      </c>
      <c r="BA40" s="109" t="s">
        <v>253</v>
      </c>
      <c r="BB40" s="109">
        <v>243.95</v>
      </c>
      <c r="BC40" s="109">
        <v>214.68</v>
      </c>
      <c r="BD40" s="109">
        <v>243.95</v>
      </c>
      <c r="BE40" s="109">
        <v>29.27</v>
      </c>
      <c r="BF40" s="111">
        <v>0.12</v>
      </c>
      <c r="BG40" s="109">
        <v>0</v>
      </c>
      <c r="BH40" s="109">
        <v>163.856</v>
      </c>
      <c r="BI40" s="109">
        <v>147.49</v>
      </c>
      <c r="BJ40" s="109">
        <v>0</v>
      </c>
      <c r="BK40" s="109">
        <v>17</v>
      </c>
      <c r="BL40" s="109">
        <v>0</v>
      </c>
      <c r="BM40" s="109">
        <v>9.76</v>
      </c>
      <c r="BN40" s="109">
        <v>7.86</v>
      </c>
      <c r="BO40" s="109">
        <v>11</v>
      </c>
      <c r="BP40" s="109">
        <v>3.23</v>
      </c>
      <c r="BQ40" s="109">
        <v>0</v>
      </c>
      <c r="BR40" s="109">
        <v>0</v>
      </c>
      <c r="BS40" s="109">
        <v>0</v>
      </c>
      <c r="BT40" s="109">
        <v>0</v>
      </c>
      <c r="BU40" s="109">
        <v>0</v>
      </c>
      <c r="BV40" s="109">
        <v>0</v>
      </c>
      <c r="BW40" s="109">
        <v>0</v>
      </c>
      <c r="BX40" s="109">
        <v>0</v>
      </c>
      <c r="BY40" s="109">
        <v>0</v>
      </c>
      <c r="BZ40" s="109">
        <v>0</v>
      </c>
      <c r="CA40" s="109">
        <v>18.34</v>
      </c>
      <c r="CB40" s="109" t="s">
        <v>225</v>
      </c>
      <c r="CC40" s="109" t="s">
        <v>247</v>
      </c>
      <c r="CD40" s="109">
        <v>418.15</v>
      </c>
      <c r="CE40" s="109">
        <v>0</v>
      </c>
      <c r="CF40" s="109">
        <v>0</v>
      </c>
      <c r="CG40" s="109">
        <v>0</v>
      </c>
      <c r="CH40" s="109">
        <v>0</v>
      </c>
      <c r="CI40" s="109">
        <v>0</v>
      </c>
      <c r="CJ40" s="109">
        <v>0</v>
      </c>
      <c r="CK40" s="109">
        <v>0</v>
      </c>
      <c r="CL40" s="109"/>
      <c r="CM40" s="109"/>
      <c r="CN40" s="109">
        <v>0</v>
      </c>
      <c r="CO40" s="109">
        <v>0</v>
      </c>
      <c r="CP40" s="109">
        <v>0</v>
      </c>
      <c r="CQ40" s="109">
        <v>0</v>
      </c>
      <c r="CR40" s="109">
        <v>0</v>
      </c>
      <c r="CS40" s="109">
        <v>0</v>
      </c>
      <c r="CT40" s="109">
        <v>0</v>
      </c>
      <c r="CU40" s="109">
        <v>24.58</v>
      </c>
      <c r="CV40" s="109" t="s">
        <v>254</v>
      </c>
      <c r="CW40" s="109">
        <v>0</v>
      </c>
      <c r="CX40" s="109"/>
      <c r="CY40" s="109">
        <v>29.49</v>
      </c>
      <c r="CZ40" s="109" t="s">
        <v>254</v>
      </c>
      <c r="DA40" s="109">
        <v>0</v>
      </c>
      <c r="DB40" s="109"/>
      <c r="DE40" s="109">
        <v>0</v>
      </c>
      <c r="DF40" s="109" t="s">
        <v>236</v>
      </c>
      <c r="DG40" s="109" t="s">
        <v>221</v>
      </c>
      <c r="DH40" s="109" t="s">
        <v>220</v>
      </c>
      <c r="DI40" s="109">
        <v>9026067267</v>
      </c>
      <c r="DJ40" s="109" t="s">
        <v>222</v>
      </c>
      <c r="DK40" s="109">
        <v>0</v>
      </c>
      <c r="DL40" s="109" t="s">
        <v>226</v>
      </c>
      <c r="DM40" s="109">
        <v>29.27</v>
      </c>
    </row>
    <row r="41" ht="13.8" hidden="1" spans="1:117">
      <c r="A41" s="109">
        <v>2</v>
      </c>
      <c r="B41" s="109" t="s">
        <v>531</v>
      </c>
      <c r="C41" s="109" t="s">
        <v>203</v>
      </c>
      <c r="D41" s="109" t="s">
        <v>225</v>
      </c>
      <c r="E41" s="109" t="s">
        <v>226</v>
      </c>
      <c r="F41" s="110">
        <v>46240</v>
      </c>
      <c r="G41" s="109" t="s">
        <v>240</v>
      </c>
      <c r="H41" s="109" t="s">
        <v>532</v>
      </c>
      <c r="I41" s="109" t="s">
        <v>216</v>
      </c>
      <c r="J41" s="109" t="s">
        <v>217</v>
      </c>
      <c r="K41" s="109" t="s">
        <v>218</v>
      </c>
      <c r="L41" s="109" t="s">
        <v>219</v>
      </c>
      <c r="M41" s="207" t="s">
        <v>242</v>
      </c>
      <c r="N41" s="109" t="s">
        <v>220</v>
      </c>
      <c r="O41" s="109" t="s">
        <v>221</v>
      </c>
      <c r="P41" s="109" t="s">
        <v>243</v>
      </c>
      <c r="Q41" s="109" t="s">
        <v>216</v>
      </c>
      <c r="R41" s="109" t="s">
        <v>217</v>
      </c>
      <c r="S41" s="109" t="s">
        <v>220</v>
      </c>
      <c r="T41" s="109" t="s">
        <v>221</v>
      </c>
      <c r="U41" s="109" t="s">
        <v>216</v>
      </c>
      <c r="V41" s="109" t="s">
        <v>217</v>
      </c>
      <c r="W41" s="109" t="s">
        <v>218</v>
      </c>
      <c r="X41" s="109" t="s">
        <v>219</v>
      </c>
      <c r="Y41" s="109" t="s">
        <v>220</v>
      </c>
      <c r="Z41" s="109" t="s">
        <v>221</v>
      </c>
      <c r="AA41" s="109" t="s">
        <v>222</v>
      </c>
      <c r="AB41" s="109" t="s">
        <v>223</v>
      </c>
      <c r="AC41" s="109" t="s">
        <v>533</v>
      </c>
      <c r="AD41" s="109" t="s">
        <v>534</v>
      </c>
      <c r="AE41" s="109">
        <v>291</v>
      </c>
      <c r="AF41" s="109" t="s">
        <v>277</v>
      </c>
      <c r="AG41" s="109" t="s">
        <v>535</v>
      </c>
      <c r="AH41" s="109" t="s">
        <v>273</v>
      </c>
      <c r="AI41" s="109" t="s">
        <v>533</v>
      </c>
      <c r="AJ41" s="109" t="s">
        <v>534</v>
      </c>
      <c r="AK41" s="109" t="s">
        <v>535</v>
      </c>
      <c r="AL41" s="109" t="s">
        <v>273</v>
      </c>
      <c r="AM41" s="109" t="s">
        <v>274</v>
      </c>
      <c r="AN41" s="207" t="s">
        <v>536</v>
      </c>
      <c r="AO41" s="109">
        <v>320</v>
      </c>
      <c r="AP41" s="109">
        <v>0</v>
      </c>
      <c r="AQ41" s="109">
        <v>20</v>
      </c>
      <c r="AR41" s="109">
        <v>0</v>
      </c>
      <c r="AS41" s="109" t="s">
        <v>252</v>
      </c>
      <c r="AT41" s="109" t="s">
        <v>229</v>
      </c>
      <c r="AU41" s="110">
        <v>46253</v>
      </c>
      <c r="AV41" s="109">
        <v>457.8</v>
      </c>
      <c r="AW41" s="109" t="s">
        <v>230</v>
      </c>
      <c r="AX41" s="109" t="s">
        <v>230</v>
      </c>
      <c r="AY41" s="109">
        <v>9428.79</v>
      </c>
      <c r="AZ41" s="109" t="s">
        <v>232</v>
      </c>
      <c r="BA41" s="109" t="s">
        <v>276</v>
      </c>
      <c r="BB41" s="109">
        <v>457.8</v>
      </c>
      <c r="BC41" s="109">
        <v>425.75</v>
      </c>
      <c r="BD41" s="109">
        <v>457.8</v>
      </c>
      <c r="BE41" s="109">
        <v>32.05</v>
      </c>
      <c r="BF41" s="111">
        <v>0.07</v>
      </c>
      <c r="BG41" s="109">
        <v>0</v>
      </c>
      <c r="BH41" s="109">
        <v>320</v>
      </c>
      <c r="BI41" s="109">
        <v>326.62</v>
      </c>
      <c r="BJ41" s="109">
        <v>0</v>
      </c>
      <c r="BK41" s="109">
        <v>17</v>
      </c>
      <c r="BL41" s="109">
        <v>0</v>
      </c>
      <c r="BM41" s="109">
        <v>9.76</v>
      </c>
      <c r="BN41" s="109">
        <v>14.14</v>
      </c>
      <c r="BO41" s="109">
        <v>22</v>
      </c>
      <c r="BP41" s="109">
        <v>3.23</v>
      </c>
      <c r="BQ41" s="109">
        <v>0</v>
      </c>
      <c r="BR41" s="109">
        <v>0</v>
      </c>
      <c r="BS41" s="109">
        <v>0</v>
      </c>
      <c r="BT41" s="109">
        <v>0</v>
      </c>
      <c r="BU41" s="109">
        <v>0</v>
      </c>
      <c r="BV41" s="109">
        <v>0</v>
      </c>
      <c r="BW41" s="109">
        <v>0</v>
      </c>
      <c r="BX41" s="109">
        <v>0</v>
      </c>
      <c r="BY41" s="109">
        <v>0</v>
      </c>
      <c r="BZ41" s="109">
        <v>0</v>
      </c>
      <c r="CA41" s="109">
        <v>33</v>
      </c>
      <c r="CB41" s="109" t="s">
        <v>225</v>
      </c>
      <c r="CC41" s="109" t="s">
        <v>277</v>
      </c>
      <c r="CD41" s="109">
        <v>772.53</v>
      </c>
      <c r="CE41" s="109">
        <v>0</v>
      </c>
      <c r="CF41" s="109">
        <v>0</v>
      </c>
      <c r="CG41" s="109">
        <v>0</v>
      </c>
      <c r="CH41" s="109">
        <v>0</v>
      </c>
      <c r="CI41" s="109">
        <v>0</v>
      </c>
      <c r="CJ41" s="109">
        <v>0</v>
      </c>
      <c r="CK41" s="109">
        <v>0</v>
      </c>
      <c r="CL41" s="109"/>
      <c r="CM41" s="109"/>
      <c r="CN41" s="109">
        <v>0</v>
      </c>
      <c r="CO41" s="109">
        <v>0</v>
      </c>
      <c r="CP41" s="109">
        <v>0</v>
      </c>
      <c r="CQ41" s="109">
        <v>0</v>
      </c>
      <c r="CR41" s="109">
        <v>0</v>
      </c>
      <c r="CS41" s="109">
        <v>0</v>
      </c>
      <c r="CT41" s="109">
        <v>0</v>
      </c>
      <c r="CU41" s="109">
        <v>48</v>
      </c>
      <c r="CV41" s="109" t="s">
        <v>254</v>
      </c>
      <c r="CW41" s="109">
        <v>0</v>
      </c>
      <c r="CX41" s="109"/>
      <c r="CY41" s="109">
        <v>204.36</v>
      </c>
      <c r="CZ41" s="109" t="s">
        <v>512</v>
      </c>
      <c r="DA41" s="109">
        <v>219.74</v>
      </c>
      <c r="DB41" s="207" t="s">
        <v>513</v>
      </c>
      <c r="DE41" s="109">
        <v>0</v>
      </c>
      <c r="DF41" s="109" t="s">
        <v>236</v>
      </c>
      <c r="DG41" s="109" t="s">
        <v>221</v>
      </c>
      <c r="DH41" s="109" t="s">
        <v>220</v>
      </c>
      <c r="DI41" s="109">
        <v>9026067267</v>
      </c>
      <c r="DJ41" s="109" t="s">
        <v>222</v>
      </c>
      <c r="DK41" s="109">
        <v>0</v>
      </c>
      <c r="DL41" s="109" t="s">
        <v>226</v>
      </c>
      <c r="DM41" s="109">
        <v>32.05</v>
      </c>
    </row>
    <row r="42" ht="13.8" hidden="1" spans="1:117">
      <c r="A42" s="109">
        <v>2</v>
      </c>
      <c r="B42" s="109" t="s">
        <v>537</v>
      </c>
      <c r="C42" s="109" t="s">
        <v>203</v>
      </c>
      <c r="D42" s="109" t="s">
        <v>225</v>
      </c>
      <c r="E42" s="109" t="s">
        <v>226</v>
      </c>
      <c r="F42" s="110">
        <v>46240</v>
      </c>
      <c r="G42" s="109" t="s">
        <v>240</v>
      </c>
      <c r="H42" s="109" t="s">
        <v>538</v>
      </c>
      <c r="I42" s="109" t="s">
        <v>216</v>
      </c>
      <c r="J42" s="109" t="s">
        <v>217</v>
      </c>
      <c r="K42" s="109" t="s">
        <v>218</v>
      </c>
      <c r="L42" s="109" t="s">
        <v>219</v>
      </c>
      <c r="M42" s="207" t="s">
        <v>242</v>
      </c>
      <c r="N42" s="109" t="s">
        <v>220</v>
      </c>
      <c r="O42" s="109" t="s">
        <v>221</v>
      </c>
      <c r="P42" s="109" t="s">
        <v>243</v>
      </c>
      <c r="Q42" s="109" t="s">
        <v>216</v>
      </c>
      <c r="R42" s="109" t="s">
        <v>217</v>
      </c>
      <c r="S42" s="109" t="s">
        <v>220</v>
      </c>
      <c r="T42" s="109" t="s">
        <v>221</v>
      </c>
      <c r="U42" s="109" t="s">
        <v>216</v>
      </c>
      <c r="V42" s="109" t="s">
        <v>217</v>
      </c>
      <c r="W42" s="109" t="s">
        <v>218</v>
      </c>
      <c r="X42" s="109" t="s">
        <v>219</v>
      </c>
      <c r="Y42" s="109" t="s">
        <v>220</v>
      </c>
      <c r="Z42" s="109" t="s">
        <v>221</v>
      </c>
      <c r="AA42" s="109" t="s">
        <v>222</v>
      </c>
      <c r="AB42" s="109" t="s">
        <v>223</v>
      </c>
      <c r="AC42" s="109" t="s">
        <v>539</v>
      </c>
      <c r="AD42" s="109" t="s">
        <v>540</v>
      </c>
      <c r="AE42" s="109" t="s">
        <v>403</v>
      </c>
      <c r="AF42" s="109" t="s">
        <v>295</v>
      </c>
      <c r="AG42" s="109" t="s">
        <v>425</v>
      </c>
      <c r="AH42" s="109" t="s">
        <v>297</v>
      </c>
      <c r="AI42" s="109" t="s">
        <v>539</v>
      </c>
      <c r="AJ42" s="109" t="s">
        <v>540</v>
      </c>
      <c r="AK42" s="109" t="s">
        <v>425</v>
      </c>
      <c r="AL42" s="109" t="s">
        <v>297</v>
      </c>
      <c r="AM42" s="109" t="s">
        <v>298</v>
      </c>
      <c r="AN42" s="207" t="s">
        <v>541</v>
      </c>
      <c r="AO42" s="109">
        <v>26.88</v>
      </c>
      <c r="AP42" s="109">
        <v>0</v>
      </c>
      <c r="AQ42" s="109">
        <v>3</v>
      </c>
      <c r="AR42" s="109">
        <v>0</v>
      </c>
      <c r="AS42" s="109" t="s">
        <v>252</v>
      </c>
      <c r="AT42" s="109" t="s">
        <v>229</v>
      </c>
      <c r="AU42" s="110">
        <v>46253</v>
      </c>
      <c r="AV42" s="109">
        <v>104.43</v>
      </c>
      <c r="AW42" s="109" t="s">
        <v>230</v>
      </c>
      <c r="AX42" s="109" t="s">
        <v>230</v>
      </c>
      <c r="AY42" s="109">
        <v>1642.29</v>
      </c>
      <c r="AZ42" s="109" t="s">
        <v>232</v>
      </c>
      <c r="BA42" s="109" t="s">
        <v>300</v>
      </c>
      <c r="BB42" s="109">
        <v>104.43</v>
      </c>
      <c r="BC42" s="109">
        <v>91.9</v>
      </c>
      <c r="BD42" s="109">
        <v>104.43</v>
      </c>
      <c r="BE42" s="109">
        <v>12.53</v>
      </c>
      <c r="BF42" s="111">
        <v>0.12</v>
      </c>
      <c r="BG42" s="109">
        <v>0</v>
      </c>
      <c r="BH42" s="109">
        <v>26.88</v>
      </c>
      <c r="BI42" s="109">
        <v>48.2</v>
      </c>
      <c r="BJ42" s="109">
        <v>0</v>
      </c>
      <c r="BK42" s="109">
        <v>17</v>
      </c>
      <c r="BL42" s="109">
        <v>0</v>
      </c>
      <c r="BM42" s="109">
        <v>9.76</v>
      </c>
      <c r="BN42" s="109">
        <v>2.46</v>
      </c>
      <c r="BO42" s="109">
        <v>5.5</v>
      </c>
      <c r="BP42" s="109">
        <v>3.23</v>
      </c>
      <c r="BQ42" s="109">
        <v>0</v>
      </c>
      <c r="BR42" s="109">
        <v>0</v>
      </c>
      <c r="BS42" s="109">
        <v>0</v>
      </c>
      <c r="BT42" s="109">
        <v>0</v>
      </c>
      <c r="BU42" s="109">
        <v>0</v>
      </c>
      <c r="BV42" s="109">
        <v>0</v>
      </c>
      <c r="BW42" s="109">
        <v>0</v>
      </c>
      <c r="BX42" s="109">
        <v>0</v>
      </c>
      <c r="BY42" s="109">
        <v>0</v>
      </c>
      <c r="BZ42" s="109">
        <v>0</v>
      </c>
      <c r="CA42" s="109">
        <v>5.75</v>
      </c>
      <c r="CB42" s="109" t="s">
        <v>225</v>
      </c>
      <c r="CC42" s="109" t="s">
        <v>295</v>
      </c>
      <c r="CD42" s="109">
        <v>374.44</v>
      </c>
      <c r="CE42" s="109">
        <v>0</v>
      </c>
      <c r="CF42" s="109">
        <v>0</v>
      </c>
      <c r="CG42" s="109">
        <v>0</v>
      </c>
      <c r="CH42" s="109">
        <v>0</v>
      </c>
      <c r="CI42" s="109">
        <v>0</v>
      </c>
      <c r="CJ42" s="109">
        <v>0</v>
      </c>
      <c r="CK42" s="109">
        <v>0</v>
      </c>
      <c r="CL42" s="109"/>
      <c r="CM42" s="109"/>
      <c r="CN42" s="109">
        <v>0</v>
      </c>
      <c r="CO42" s="109">
        <v>0</v>
      </c>
      <c r="CP42" s="109">
        <v>0</v>
      </c>
      <c r="CQ42" s="109">
        <v>0</v>
      </c>
      <c r="CR42" s="109">
        <v>0</v>
      </c>
      <c r="CS42" s="109">
        <v>0</v>
      </c>
      <c r="CT42" s="109">
        <v>0</v>
      </c>
      <c r="CU42" s="109">
        <v>12</v>
      </c>
      <c r="CV42" s="109" t="s">
        <v>254</v>
      </c>
      <c r="CW42" s="109">
        <v>0</v>
      </c>
      <c r="CX42" s="109"/>
      <c r="CY42" s="109">
        <v>18</v>
      </c>
      <c r="CZ42" s="109" t="s">
        <v>254</v>
      </c>
      <c r="DA42" s="109">
        <v>0</v>
      </c>
      <c r="DB42" s="109"/>
      <c r="DE42" s="109">
        <v>0</v>
      </c>
      <c r="DF42" s="109" t="s">
        <v>236</v>
      </c>
      <c r="DG42" s="109" t="s">
        <v>221</v>
      </c>
      <c r="DH42" s="109" t="s">
        <v>220</v>
      </c>
      <c r="DI42" s="109">
        <v>9026067267</v>
      </c>
      <c r="DJ42" s="109" t="s">
        <v>222</v>
      </c>
      <c r="DK42" s="109">
        <v>0</v>
      </c>
      <c r="DL42" s="109" t="s">
        <v>226</v>
      </c>
      <c r="DM42" s="109">
        <v>12.53</v>
      </c>
    </row>
    <row r="43" ht="13.8" hidden="1" spans="1:117">
      <c r="A43" s="109">
        <v>2</v>
      </c>
      <c r="B43" s="109" t="s">
        <v>542</v>
      </c>
      <c r="C43" s="109" t="s">
        <v>203</v>
      </c>
      <c r="D43" s="109" t="s">
        <v>225</v>
      </c>
      <c r="E43" s="109" t="s">
        <v>226</v>
      </c>
      <c r="F43" s="110">
        <v>46240</v>
      </c>
      <c r="G43" s="109" t="s">
        <v>240</v>
      </c>
      <c r="H43" s="109" t="s">
        <v>543</v>
      </c>
      <c r="I43" s="109" t="s">
        <v>216</v>
      </c>
      <c r="J43" s="109" t="s">
        <v>217</v>
      </c>
      <c r="K43" s="109" t="s">
        <v>218</v>
      </c>
      <c r="L43" s="109" t="s">
        <v>219</v>
      </c>
      <c r="M43" s="207" t="s">
        <v>242</v>
      </c>
      <c r="N43" s="109" t="s">
        <v>220</v>
      </c>
      <c r="O43" s="109" t="s">
        <v>221</v>
      </c>
      <c r="P43" s="109" t="s">
        <v>243</v>
      </c>
      <c r="Q43" s="109" t="s">
        <v>216</v>
      </c>
      <c r="R43" s="109" t="s">
        <v>217</v>
      </c>
      <c r="S43" s="109" t="s">
        <v>220</v>
      </c>
      <c r="T43" s="109" t="s">
        <v>221</v>
      </c>
      <c r="U43" s="109" t="s">
        <v>216</v>
      </c>
      <c r="V43" s="109" t="s">
        <v>217</v>
      </c>
      <c r="W43" s="109" t="s">
        <v>218</v>
      </c>
      <c r="X43" s="109" t="s">
        <v>219</v>
      </c>
      <c r="Y43" s="109" t="s">
        <v>220</v>
      </c>
      <c r="Z43" s="109" t="s">
        <v>221</v>
      </c>
      <c r="AA43" s="109" t="s">
        <v>222</v>
      </c>
      <c r="AB43" s="109" t="s">
        <v>223</v>
      </c>
      <c r="AC43" s="109" t="s">
        <v>544</v>
      </c>
      <c r="AD43" s="109" t="s">
        <v>545</v>
      </c>
      <c r="AE43" s="109" t="s">
        <v>546</v>
      </c>
      <c r="AF43" s="109" t="s">
        <v>295</v>
      </c>
      <c r="AG43" s="109" t="s">
        <v>547</v>
      </c>
      <c r="AH43" s="109" t="s">
        <v>297</v>
      </c>
      <c r="AI43" s="109" t="s">
        <v>544</v>
      </c>
      <c r="AJ43" s="109" t="s">
        <v>545</v>
      </c>
      <c r="AK43" s="109" t="s">
        <v>547</v>
      </c>
      <c r="AL43" s="109" t="s">
        <v>297</v>
      </c>
      <c r="AM43" s="109" t="s">
        <v>298</v>
      </c>
      <c r="AN43" s="207" t="s">
        <v>548</v>
      </c>
      <c r="AO43" s="109">
        <v>34</v>
      </c>
      <c r="AP43" s="109">
        <v>0</v>
      </c>
      <c r="AQ43" s="109">
        <v>2</v>
      </c>
      <c r="AR43" s="109">
        <v>0</v>
      </c>
      <c r="AS43" s="109" t="s">
        <v>252</v>
      </c>
      <c r="AT43" s="109" t="s">
        <v>229</v>
      </c>
      <c r="AU43" s="110">
        <v>46253</v>
      </c>
      <c r="AV43" s="109">
        <v>112.55</v>
      </c>
      <c r="AW43" s="109" t="s">
        <v>230</v>
      </c>
      <c r="AX43" s="109" t="s">
        <v>230</v>
      </c>
      <c r="AY43" s="109">
        <v>1284.39</v>
      </c>
      <c r="AZ43" s="109" t="s">
        <v>232</v>
      </c>
      <c r="BA43" s="109" t="s">
        <v>300</v>
      </c>
      <c r="BB43" s="109">
        <v>112.55</v>
      </c>
      <c r="BC43" s="109">
        <v>99.04</v>
      </c>
      <c r="BD43" s="109">
        <v>112.55</v>
      </c>
      <c r="BE43" s="109">
        <v>13.51</v>
      </c>
      <c r="BF43" s="111">
        <v>0.12</v>
      </c>
      <c r="BG43" s="109">
        <v>0</v>
      </c>
      <c r="BH43" s="109">
        <v>34</v>
      </c>
      <c r="BI43" s="109">
        <v>56.8</v>
      </c>
      <c r="BJ43" s="109">
        <v>0</v>
      </c>
      <c r="BK43" s="109">
        <v>17</v>
      </c>
      <c r="BL43" s="109">
        <v>0</v>
      </c>
      <c r="BM43" s="109">
        <v>9.76</v>
      </c>
      <c r="BN43" s="109">
        <v>2.25</v>
      </c>
      <c r="BO43" s="109">
        <v>5.5</v>
      </c>
      <c r="BP43" s="109">
        <v>3.23</v>
      </c>
      <c r="BQ43" s="109">
        <v>0</v>
      </c>
      <c r="BR43" s="109">
        <v>0</v>
      </c>
      <c r="BS43" s="109">
        <v>0</v>
      </c>
      <c r="BT43" s="109">
        <v>0</v>
      </c>
      <c r="BU43" s="109">
        <v>0</v>
      </c>
      <c r="BV43" s="109">
        <v>0</v>
      </c>
      <c r="BW43" s="109">
        <v>0</v>
      </c>
      <c r="BX43" s="109">
        <v>0</v>
      </c>
      <c r="BY43" s="109">
        <v>0</v>
      </c>
      <c r="BZ43" s="109">
        <v>0</v>
      </c>
      <c r="CA43" s="109">
        <v>4.5</v>
      </c>
      <c r="CB43" s="109" t="s">
        <v>225</v>
      </c>
      <c r="CC43" s="109" t="s">
        <v>295</v>
      </c>
      <c r="CD43" s="109">
        <v>370.84</v>
      </c>
      <c r="CE43" s="109">
        <v>0</v>
      </c>
      <c r="CF43" s="109">
        <v>0</v>
      </c>
      <c r="CG43" s="109">
        <v>0</v>
      </c>
      <c r="CH43" s="109">
        <v>0</v>
      </c>
      <c r="CI43" s="109">
        <v>0</v>
      </c>
      <c r="CJ43" s="109">
        <v>0</v>
      </c>
      <c r="CK43" s="109">
        <v>0</v>
      </c>
      <c r="CL43" s="109"/>
      <c r="CM43" s="109"/>
      <c r="CN43" s="109">
        <v>0</v>
      </c>
      <c r="CO43" s="109">
        <v>0</v>
      </c>
      <c r="CP43" s="109">
        <v>0</v>
      </c>
      <c r="CQ43" s="109">
        <v>0</v>
      </c>
      <c r="CR43" s="109">
        <v>0</v>
      </c>
      <c r="CS43" s="109">
        <v>0</v>
      </c>
      <c r="CT43" s="109">
        <v>0</v>
      </c>
      <c r="CU43" s="109">
        <v>12</v>
      </c>
      <c r="CV43" s="109" t="s">
        <v>254</v>
      </c>
      <c r="CW43" s="109">
        <v>0</v>
      </c>
      <c r="CX43" s="109"/>
      <c r="CY43" s="109">
        <v>18</v>
      </c>
      <c r="CZ43" s="109" t="s">
        <v>254</v>
      </c>
      <c r="DA43" s="109">
        <v>0</v>
      </c>
      <c r="DB43" s="109"/>
      <c r="DE43" s="109">
        <v>0</v>
      </c>
      <c r="DF43" s="109" t="s">
        <v>236</v>
      </c>
      <c r="DG43" s="109" t="s">
        <v>221</v>
      </c>
      <c r="DH43" s="109" t="s">
        <v>220</v>
      </c>
      <c r="DI43" s="109">
        <v>9026067267</v>
      </c>
      <c r="DJ43" s="109" t="s">
        <v>222</v>
      </c>
      <c r="DK43" s="109">
        <v>0</v>
      </c>
      <c r="DL43" s="109" t="s">
        <v>226</v>
      </c>
      <c r="DM43" s="109">
        <v>13.51</v>
      </c>
    </row>
    <row r="44" ht="13.8" spans="1:117">
      <c r="A44" s="109">
        <v>2</v>
      </c>
      <c r="B44" s="109" t="s">
        <v>549</v>
      </c>
      <c r="C44" s="109" t="s">
        <v>203</v>
      </c>
      <c r="D44" s="109" t="s">
        <v>225</v>
      </c>
      <c r="E44" s="109" t="s">
        <v>226</v>
      </c>
      <c r="F44" s="110">
        <v>46240</v>
      </c>
      <c r="G44" s="109" t="s">
        <v>240</v>
      </c>
      <c r="H44" s="109" t="s">
        <v>550</v>
      </c>
      <c r="I44" s="109" t="s">
        <v>216</v>
      </c>
      <c r="J44" s="109" t="s">
        <v>217</v>
      </c>
      <c r="K44" s="109" t="s">
        <v>218</v>
      </c>
      <c r="L44" s="109" t="s">
        <v>219</v>
      </c>
      <c r="M44" s="207" t="s">
        <v>242</v>
      </c>
      <c r="N44" s="109" t="s">
        <v>220</v>
      </c>
      <c r="O44" s="109" t="s">
        <v>221</v>
      </c>
      <c r="P44" s="109" t="s">
        <v>243</v>
      </c>
      <c r="Q44" s="109" t="s">
        <v>216</v>
      </c>
      <c r="R44" s="109" t="s">
        <v>217</v>
      </c>
      <c r="S44" s="109" t="s">
        <v>220</v>
      </c>
      <c r="T44" s="109" t="s">
        <v>221</v>
      </c>
      <c r="U44" s="109" t="s">
        <v>216</v>
      </c>
      <c r="V44" s="109" t="s">
        <v>217</v>
      </c>
      <c r="W44" s="109" t="s">
        <v>218</v>
      </c>
      <c r="X44" s="109" t="s">
        <v>219</v>
      </c>
      <c r="Y44" s="109" t="s">
        <v>220</v>
      </c>
      <c r="Z44" s="109" t="s">
        <v>221</v>
      </c>
      <c r="AA44" s="109" t="s">
        <v>222</v>
      </c>
      <c r="AB44" s="109" t="s">
        <v>223</v>
      </c>
      <c r="AC44" s="109" t="s">
        <v>551</v>
      </c>
      <c r="AD44" s="109" t="s">
        <v>552</v>
      </c>
      <c r="AE44" s="109">
        <v>164</v>
      </c>
      <c r="AF44" s="109" t="s">
        <v>553</v>
      </c>
      <c r="AG44" s="109" t="s">
        <v>554</v>
      </c>
      <c r="AH44" s="109" t="s">
        <v>297</v>
      </c>
      <c r="AI44" s="109" t="s">
        <v>551</v>
      </c>
      <c r="AJ44" s="109" t="s">
        <v>552</v>
      </c>
      <c r="AK44" s="109" t="s">
        <v>554</v>
      </c>
      <c r="AL44" s="109" t="s">
        <v>297</v>
      </c>
      <c r="AM44" s="109" t="s">
        <v>555</v>
      </c>
      <c r="AN44" s="207" t="s">
        <v>556</v>
      </c>
      <c r="AO44" s="109">
        <v>288.111</v>
      </c>
      <c r="AP44" s="109">
        <v>0</v>
      </c>
      <c r="AQ44" s="109">
        <v>25</v>
      </c>
      <c r="AR44" s="109">
        <v>0</v>
      </c>
      <c r="AS44" s="109" t="s">
        <v>252</v>
      </c>
      <c r="AT44" s="109" t="s">
        <v>229</v>
      </c>
      <c r="AU44" s="110">
        <v>46253</v>
      </c>
      <c r="AV44" s="109">
        <v>705.63</v>
      </c>
      <c r="AW44" s="109" t="s">
        <v>230</v>
      </c>
      <c r="AX44" s="109" t="s">
        <v>231</v>
      </c>
      <c r="AY44" s="109">
        <v>11370.45</v>
      </c>
      <c r="AZ44" s="109" t="s">
        <v>232</v>
      </c>
      <c r="BA44" s="109" t="s">
        <v>557</v>
      </c>
      <c r="BB44" s="109">
        <v>705.63</v>
      </c>
      <c r="BC44" s="109">
        <v>620.95</v>
      </c>
      <c r="BD44" s="109">
        <v>705.63</v>
      </c>
      <c r="BE44" s="109">
        <v>84.68</v>
      </c>
      <c r="BF44" s="111">
        <v>0.12</v>
      </c>
      <c r="BG44" s="109">
        <v>0</v>
      </c>
      <c r="BH44" s="109">
        <v>288.111</v>
      </c>
      <c r="BI44" s="109">
        <v>267.6</v>
      </c>
      <c r="BJ44" s="109">
        <v>0</v>
      </c>
      <c r="BK44" s="109">
        <v>17</v>
      </c>
      <c r="BL44" s="109">
        <v>0</v>
      </c>
      <c r="BM44" s="109">
        <v>9.76</v>
      </c>
      <c r="BN44" s="109">
        <v>17.06</v>
      </c>
      <c r="BO44" s="109">
        <v>16.5</v>
      </c>
      <c r="BP44" s="109">
        <v>3.23</v>
      </c>
      <c r="BQ44" s="109">
        <v>0</v>
      </c>
      <c r="BR44" s="109">
        <v>0</v>
      </c>
      <c r="BS44" s="109">
        <v>0</v>
      </c>
      <c r="BT44" s="109">
        <v>0</v>
      </c>
      <c r="BU44" s="109">
        <v>0</v>
      </c>
      <c r="BV44" s="109">
        <v>0</v>
      </c>
      <c r="BW44" s="109">
        <v>0</v>
      </c>
      <c r="BX44" s="109">
        <v>250</v>
      </c>
      <c r="BY44" s="109">
        <v>0</v>
      </c>
      <c r="BZ44" s="109">
        <v>0</v>
      </c>
      <c r="CA44" s="109">
        <v>39.8</v>
      </c>
      <c r="CB44" s="109" t="s">
        <v>225</v>
      </c>
      <c r="CC44" s="109" t="s">
        <v>558</v>
      </c>
      <c r="CD44" s="109">
        <v>718.13</v>
      </c>
      <c r="CE44" s="109">
        <v>0</v>
      </c>
      <c r="CF44" s="109">
        <v>0</v>
      </c>
      <c r="CG44" s="109">
        <v>0</v>
      </c>
      <c r="CH44" s="109">
        <v>0</v>
      </c>
      <c r="CI44" s="109">
        <v>0</v>
      </c>
      <c r="CJ44" s="109">
        <v>0</v>
      </c>
      <c r="CK44" s="109">
        <v>0</v>
      </c>
      <c r="CL44" s="109"/>
      <c r="CM44" s="109"/>
      <c r="CN44" s="109">
        <v>0</v>
      </c>
      <c r="CO44" s="109">
        <v>0</v>
      </c>
      <c r="CP44" s="109">
        <v>0</v>
      </c>
      <c r="CQ44" s="109">
        <v>0</v>
      </c>
      <c r="CR44" s="109">
        <v>0</v>
      </c>
      <c r="CS44" s="109">
        <v>0</v>
      </c>
      <c r="CT44" s="109">
        <v>0</v>
      </c>
      <c r="CU44" s="109">
        <v>43.22</v>
      </c>
      <c r="CV44" s="109" t="s">
        <v>254</v>
      </c>
      <c r="CW44" s="109">
        <v>0</v>
      </c>
      <c r="CX44" s="109"/>
      <c r="CY44" s="109">
        <v>470.77</v>
      </c>
      <c r="CZ44" s="109" t="s">
        <v>289</v>
      </c>
      <c r="DA44" s="109">
        <v>247.83</v>
      </c>
      <c r="DB44" s="109"/>
      <c r="DE44" s="109">
        <v>0</v>
      </c>
      <c r="DF44" s="109" t="s">
        <v>236</v>
      </c>
      <c r="DG44" s="109" t="s">
        <v>221</v>
      </c>
      <c r="DH44" s="109" t="s">
        <v>220</v>
      </c>
      <c r="DI44" s="109">
        <v>9026067267</v>
      </c>
      <c r="DJ44" s="109" t="s">
        <v>222</v>
      </c>
      <c r="DK44" s="109">
        <v>0</v>
      </c>
      <c r="DL44" s="109" t="s">
        <v>226</v>
      </c>
      <c r="DM44" s="109">
        <v>84.68</v>
      </c>
    </row>
    <row r="45" ht="13.8" hidden="1" spans="1:117">
      <c r="A45" s="109">
        <v>2</v>
      </c>
      <c r="B45" s="109" t="s">
        <v>559</v>
      </c>
      <c r="C45" s="109" t="s">
        <v>203</v>
      </c>
      <c r="D45" s="109" t="s">
        <v>225</v>
      </c>
      <c r="E45" s="109" t="s">
        <v>226</v>
      </c>
      <c r="F45" s="110">
        <v>46240</v>
      </c>
      <c r="G45" s="109" t="s">
        <v>240</v>
      </c>
      <c r="H45" s="109" t="s">
        <v>560</v>
      </c>
      <c r="I45" s="109" t="s">
        <v>216</v>
      </c>
      <c r="J45" s="109" t="s">
        <v>217</v>
      </c>
      <c r="K45" s="109" t="s">
        <v>218</v>
      </c>
      <c r="L45" s="109" t="s">
        <v>219</v>
      </c>
      <c r="M45" s="207" t="s">
        <v>242</v>
      </c>
      <c r="N45" s="109" t="s">
        <v>220</v>
      </c>
      <c r="O45" s="109" t="s">
        <v>221</v>
      </c>
      <c r="P45" s="109" t="s">
        <v>243</v>
      </c>
      <c r="Q45" s="109" t="s">
        <v>216</v>
      </c>
      <c r="R45" s="109" t="s">
        <v>217</v>
      </c>
      <c r="S45" s="109" t="s">
        <v>220</v>
      </c>
      <c r="T45" s="109" t="s">
        <v>221</v>
      </c>
      <c r="U45" s="109" t="s">
        <v>216</v>
      </c>
      <c r="V45" s="109" t="s">
        <v>217</v>
      </c>
      <c r="W45" s="109" t="s">
        <v>218</v>
      </c>
      <c r="X45" s="109" t="s">
        <v>219</v>
      </c>
      <c r="Y45" s="109" t="s">
        <v>220</v>
      </c>
      <c r="Z45" s="109" t="s">
        <v>221</v>
      </c>
      <c r="AA45" s="109" t="s">
        <v>222</v>
      </c>
      <c r="AB45" s="109" t="s">
        <v>223</v>
      </c>
      <c r="AC45" s="109" t="s">
        <v>561</v>
      </c>
      <c r="AD45" s="109" t="s">
        <v>562</v>
      </c>
      <c r="AE45" s="109" t="s">
        <v>563</v>
      </c>
      <c r="AF45" s="109" t="s">
        <v>564</v>
      </c>
      <c r="AG45" s="109" t="s">
        <v>565</v>
      </c>
      <c r="AH45" s="109" t="s">
        <v>249</v>
      </c>
      <c r="AI45" s="109" t="s">
        <v>561</v>
      </c>
      <c r="AJ45" s="109" t="s">
        <v>562</v>
      </c>
      <c r="AK45" s="109" t="s">
        <v>565</v>
      </c>
      <c r="AL45" s="109" t="s">
        <v>249</v>
      </c>
      <c r="AM45" s="109" t="s">
        <v>566</v>
      </c>
      <c r="AN45" s="207" t="s">
        <v>567</v>
      </c>
      <c r="AO45" s="109">
        <v>937.882</v>
      </c>
      <c r="AP45" s="109">
        <v>0</v>
      </c>
      <c r="AQ45" s="109">
        <v>81</v>
      </c>
      <c r="AR45" s="109">
        <v>0</v>
      </c>
      <c r="AS45" s="109" t="s">
        <v>252</v>
      </c>
      <c r="AT45" s="109" t="s">
        <v>229</v>
      </c>
      <c r="AU45" s="110">
        <v>46253</v>
      </c>
      <c r="AV45" s="109">
        <v>1214.45</v>
      </c>
      <c r="AW45" s="109" t="s">
        <v>230</v>
      </c>
      <c r="AX45" s="109" t="s">
        <v>231</v>
      </c>
      <c r="AY45" s="109">
        <v>27907.91</v>
      </c>
      <c r="AZ45" s="109" t="s">
        <v>232</v>
      </c>
      <c r="BA45" s="109" t="s">
        <v>253</v>
      </c>
      <c r="BB45" s="109">
        <v>1214.45</v>
      </c>
      <c r="BC45" s="109">
        <v>1068.72</v>
      </c>
      <c r="BD45" s="109">
        <v>1214.45</v>
      </c>
      <c r="BE45" s="109">
        <v>145.73</v>
      </c>
      <c r="BF45" s="111">
        <v>0.12</v>
      </c>
      <c r="BG45" s="109">
        <v>0</v>
      </c>
      <c r="BH45" s="109">
        <v>937.882</v>
      </c>
      <c r="BI45" s="109">
        <v>844.19</v>
      </c>
      <c r="BJ45" s="109">
        <v>0</v>
      </c>
      <c r="BK45" s="109">
        <v>17</v>
      </c>
      <c r="BL45" s="109">
        <v>0</v>
      </c>
      <c r="BM45" s="109">
        <v>9.76</v>
      </c>
      <c r="BN45" s="109">
        <v>41.86</v>
      </c>
      <c r="BO45" s="109">
        <v>55</v>
      </c>
      <c r="BP45" s="109">
        <v>3.23</v>
      </c>
      <c r="BQ45" s="109">
        <v>0</v>
      </c>
      <c r="BR45" s="109">
        <v>0</v>
      </c>
      <c r="BS45" s="109">
        <v>0</v>
      </c>
      <c r="BT45" s="109">
        <v>0</v>
      </c>
      <c r="BU45" s="109">
        <v>0</v>
      </c>
      <c r="BV45" s="109">
        <v>0</v>
      </c>
      <c r="BW45" s="109">
        <v>0</v>
      </c>
      <c r="BX45" s="109">
        <v>0</v>
      </c>
      <c r="BY45" s="109">
        <v>0</v>
      </c>
      <c r="BZ45" s="109">
        <v>0</v>
      </c>
      <c r="CA45" s="109">
        <v>97.68</v>
      </c>
      <c r="CB45" s="109" t="s">
        <v>225</v>
      </c>
      <c r="CC45" s="109" t="s">
        <v>247</v>
      </c>
      <c r="CD45" s="109">
        <v>2557.28</v>
      </c>
      <c r="CE45" s="109">
        <v>0</v>
      </c>
      <c r="CF45" s="109">
        <v>0</v>
      </c>
      <c r="CG45" s="109">
        <v>0</v>
      </c>
      <c r="CH45" s="109">
        <v>0</v>
      </c>
      <c r="CI45" s="109">
        <v>0</v>
      </c>
      <c r="CJ45" s="109">
        <v>0</v>
      </c>
      <c r="CK45" s="109">
        <v>0</v>
      </c>
      <c r="CL45" s="109"/>
      <c r="CM45" s="109"/>
      <c r="CN45" s="109">
        <v>0</v>
      </c>
      <c r="CO45" s="109">
        <v>0</v>
      </c>
      <c r="CP45" s="109">
        <v>0</v>
      </c>
      <c r="CQ45" s="109">
        <v>0</v>
      </c>
      <c r="CR45" s="109">
        <v>0</v>
      </c>
      <c r="CS45" s="109">
        <v>0</v>
      </c>
      <c r="CT45" s="109">
        <v>0</v>
      </c>
      <c r="CU45" s="109">
        <v>140.68</v>
      </c>
      <c r="CV45" s="109" t="s">
        <v>254</v>
      </c>
      <c r="CW45" s="109">
        <v>0</v>
      </c>
      <c r="CX45" s="109"/>
      <c r="CY45" s="109">
        <v>426.91</v>
      </c>
      <c r="CZ45" s="109" t="s">
        <v>568</v>
      </c>
      <c r="DA45" s="109">
        <v>438.28</v>
      </c>
      <c r="DB45" s="207" t="s">
        <v>569</v>
      </c>
      <c r="DE45" s="109">
        <v>0</v>
      </c>
      <c r="DF45" s="109" t="s">
        <v>236</v>
      </c>
      <c r="DG45" s="109" t="s">
        <v>221</v>
      </c>
      <c r="DH45" s="109" t="s">
        <v>220</v>
      </c>
      <c r="DI45" s="109">
        <v>9026067267</v>
      </c>
      <c r="DJ45" s="109" t="s">
        <v>222</v>
      </c>
      <c r="DK45" s="109">
        <v>0</v>
      </c>
      <c r="DL45" s="109" t="s">
        <v>226</v>
      </c>
      <c r="DM45" s="109">
        <v>145.73</v>
      </c>
    </row>
    <row r="46" ht="13.8" hidden="1" spans="1:117">
      <c r="A46" s="109">
        <v>2</v>
      </c>
      <c r="B46" s="109" t="s">
        <v>570</v>
      </c>
      <c r="C46" s="109" t="s">
        <v>203</v>
      </c>
      <c r="D46" s="109" t="s">
        <v>225</v>
      </c>
      <c r="E46" s="109" t="s">
        <v>226</v>
      </c>
      <c r="F46" s="110">
        <v>46241</v>
      </c>
      <c r="G46" s="109" t="s">
        <v>240</v>
      </c>
      <c r="H46" s="109" t="s">
        <v>571</v>
      </c>
      <c r="I46" s="109" t="s">
        <v>216</v>
      </c>
      <c r="J46" s="109" t="s">
        <v>217</v>
      </c>
      <c r="K46" s="109" t="s">
        <v>218</v>
      </c>
      <c r="L46" s="109" t="s">
        <v>219</v>
      </c>
      <c r="M46" s="207" t="s">
        <v>242</v>
      </c>
      <c r="N46" s="109" t="s">
        <v>220</v>
      </c>
      <c r="O46" s="109" t="s">
        <v>221</v>
      </c>
      <c r="P46" s="109" t="s">
        <v>243</v>
      </c>
      <c r="Q46" s="109" t="s">
        <v>216</v>
      </c>
      <c r="R46" s="109" t="s">
        <v>217</v>
      </c>
      <c r="S46" s="109" t="s">
        <v>220</v>
      </c>
      <c r="T46" s="109" t="s">
        <v>221</v>
      </c>
      <c r="U46" s="109" t="s">
        <v>216</v>
      </c>
      <c r="V46" s="109" t="s">
        <v>217</v>
      </c>
      <c r="W46" s="109" t="s">
        <v>218</v>
      </c>
      <c r="X46" s="109" t="s">
        <v>219</v>
      </c>
      <c r="Y46" s="109" t="s">
        <v>220</v>
      </c>
      <c r="Z46" s="109" t="s">
        <v>221</v>
      </c>
      <c r="AA46" s="109" t="s">
        <v>222</v>
      </c>
      <c r="AB46" s="109" t="s">
        <v>223</v>
      </c>
      <c r="AC46" s="109" t="s">
        <v>572</v>
      </c>
      <c r="AD46" s="109" t="s">
        <v>573</v>
      </c>
      <c r="AE46" s="109">
        <v>387</v>
      </c>
      <c r="AF46" s="109" t="s">
        <v>574</v>
      </c>
      <c r="AG46" s="109" t="s">
        <v>575</v>
      </c>
      <c r="AH46" s="109" t="s">
        <v>214</v>
      </c>
      <c r="AI46" s="109" t="s">
        <v>572</v>
      </c>
      <c r="AJ46" s="109" t="s">
        <v>573</v>
      </c>
      <c r="AK46" s="109" t="s">
        <v>575</v>
      </c>
      <c r="AL46" s="109" t="s">
        <v>214</v>
      </c>
      <c r="AM46" s="109" t="s">
        <v>333</v>
      </c>
      <c r="AN46" s="207" t="s">
        <v>576</v>
      </c>
      <c r="AO46" s="109">
        <v>281.765</v>
      </c>
      <c r="AP46" s="109">
        <v>0</v>
      </c>
      <c r="AQ46" s="109">
        <v>35</v>
      </c>
      <c r="AR46" s="109">
        <v>0</v>
      </c>
      <c r="AS46" s="109" t="s">
        <v>252</v>
      </c>
      <c r="AT46" s="109" t="s">
        <v>229</v>
      </c>
      <c r="AU46" s="110">
        <v>46253</v>
      </c>
      <c r="AV46" s="109">
        <v>778.44</v>
      </c>
      <c r="AW46" s="109" t="s">
        <v>230</v>
      </c>
      <c r="AX46" s="109" t="s">
        <v>230</v>
      </c>
      <c r="AY46" s="109">
        <v>10065.1</v>
      </c>
      <c r="AZ46" s="109" t="s">
        <v>232</v>
      </c>
      <c r="BA46" s="109" t="s">
        <v>335</v>
      </c>
      <c r="BB46" s="109">
        <v>778.44</v>
      </c>
      <c r="BC46" s="109">
        <v>685.03</v>
      </c>
      <c r="BD46" s="109">
        <v>778.44</v>
      </c>
      <c r="BE46" s="109">
        <v>93.41</v>
      </c>
      <c r="BF46" s="111">
        <v>0.12</v>
      </c>
      <c r="BG46" s="109">
        <v>0</v>
      </c>
      <c r="BH46" s="109">
        <v>281.765</v>
      </c>
      <c r="BI46" s="109">
        <v>338.21</v>
      </c>
      <c r="BJ46" s="109">
        <v>0</v>
      </c>
      <c r="BK46" s="109">
        <v>17</v>
      </c>
      <c r="BL46" s="109">
        <v>0</v>
      </c>
      <c r="BM46" s="109">
        <v>9.76</v>
      </c>
      <c r="BN46" s="109">
        <v>15.1</v>
      </c>
      <c r="BO46" s="109">
        <v>16.5</v>
      </c>
      <c r="BP46" s="109">
        <v>3.23</v>
      </c>
      <c r="BQ46" s="109">
        <v>0</v>
      </c>
      <c r="BR46" s="109">
        <v>0</v>
      </c>
      <c r="BS46" s="109">
        <v>0</v>
      </c>
      <c r="BT46" s="109">
        <v>0</v>
      </c>
      <c r="BU46" s="109">
        <v>0</v>
      </c>
      <c r="BV46" s="109">
        <v>0</v>
      </c>
      <c r="BW46" s="109">
        <v>0</v>
      </c>
      <c r="BX46" s="109">
        <v>250</v>
      </c>
      <c r="BY46" s="109">
        <v>0</v>
      </c>
      <c r="BZ46" s="109">
        <v>0</v>
      </c>
      <c r="CA46" s="109">
        <v>35.23</v>
      </c>
      <c r="CB46" s="109" t="s">
        <v>225</v>
      </c>
      <c r="CC46" s="109" t="s">
        <v>336</v>
      </c>
      <c r="CD46" s="109">
        <v>767.01</v>
      </c>
      <c r="CE46" s="109">
        <v>0</v>
      </c>
      <c r="CF46" s="109">
        <v>0</v>
      </c>
      <c r="CG46" s="109">
        <v>0</v>
      </c>
      <c r="CH46" s="109">
        <v>0</v>
      </c>
      <c r="CI46" s="109">
        <v>0</v>
      </c>
      <c r="CJ46" s="109">
        <v>0</v>
      </c>
      <c r="CK46" s="109">
        <v>0</v>
      </c>
      <c r="CL46" s="109"/>
      <c r="CM46" s="109"/>
      <c r="CN46" s="109">
        <v>0</v>
      </c>
      <c r="CO46" s="109">
        <v>0</v>
      </c>
      <c r="CP46" s="109">
        <v>0</v>
      </c>
      <c r="CQ46" s="109">
        <v>0</v>
      </c>
      <c r="CR46" s="109">
        <v>0</v>
      </c>
      <c r="CS46" s="109">
        <v>0</v>
      </c>
      <c r="CT46" s="109">
        <v>0</v>
      </c>
      <c r="CU46" s="109">
        <v>42.26</v>
      </c>
      <c r="CV46" s="109" t="s">
        <v>254</v>
      </c>
      <c r="CW46" s="109">
        <v>0</v>
      </c>
      <c r="CX46" s="109"/>
      <c r="CY46" s="109">
        <v>471.38</v>
      </c>
      <c r="CZ46" s="109" t="s">
        <v>577</v>
      </c>
      <c r="DA46" s="109">
        <v>329.85</v>
      </c>
      <c r="DB46" s="109">
        <v>232784</v>
      </c>
      <c r="DE46" s="109">
        <v>0</v>
      </c>
      <c r="DF46" s="109" t="s">
        <v>236</v>
      </c>
      <c r="DG46" s="109" t="s">
        <v>221</v>
      </c>
      <c r="DH46" s="109" t="s">
        <v>220</v>
      </c>
      <c r="DI46" s="109">
        <v>9026067267</v>
      </c>
      <c r="DJ46" s="109" t="s">
        <v>222</v>
      </c>
      <c r="DK46" s="109">
        <v>0</v>
      </c>
      <c r="DL46" s="109" t="s">
        <v>226</v>
      </c>
      <c r="DM46" s="109">
        <v>93.41</v>
      </c>
    </row>
    <row r="47" ht="13.8" hidden="1" spans="1:117">
      <c r="A47" s="109">
        <v>2</v>
      </c>
      <c r="B47" s="109" t="s">
        <v>578</v>
      </c>
      <c r="C47" s="109" t="s">
        <v>203</v>
      </c>
      <c r="D47" s="109" t="s">
        <v>225</v>
      </c>
      <c r="E47" s="109" t="s">
        <v>226</v>
      </c>
      <c r="F47" s="110">
        <v>46241</v>
      </c>
      <c r="G47" s="109" t="s">
        <v>240</v>
      </c>
      <c r="H47" s="109" t="s">
        <v>579</v>
      </c>
      <c r="I47" s="109" t="s">
        <v>216</v>
      </c>
      <c r="J47" s="109" t="s">
        <v>217</v>
      </c>
      <c r="K47" s="109" t="s">
        <v>218</v>
      </c>
      <c r="L47" s="109" t="s">
        <v>219</v>
      </c>
      <c r="M47" s="207" t="s">
        <v>242</v>
      </c>
      <c r="N47" s="109" t="s">
        <v>220</v>
      </c>
      <c r="O47" s="109" t="s">
        <v>221</v>
      </c>
      <c r="P47" s="109" t="s">
        <v>243</v>
      </c>
      <c r="Q47" s="109" t="s">
        <v>216</v>
      </c>
      <c r="R47" s="109" t="s">
        <v>217</v>
      </c>
      <c r="S47" s="109" t="s">
        <v>220</v>
      </c>
      <c r="T47" s="109" t="s">
        <v>221</v>
      </c>
      <c r="U47" s="109" t="s">
        <v>216</v>
      </c>
      <c r="V47" s="109" t="s">
        <v>217</v>
      </c>
      <c r="W47" s="109" t="s">
        <v>218</v>
      </c>
      <c r="X47" s="109" t="s">
        <v>219</v>
      </c>
      <c r="Y47" s="109" t="s">
        <v>220</v>
      </c>
      <c r="Z47" s="109" t="s">
        <v>221</v>
      </c>
      <c r="AA47" s="109" t="s">
        <v>222</v>
      </c>
      <c r="AB47" s="109" t="s">
        <v>223</v>
      </c>
      <c r="AC47" s="109" t="s">
        <v>580</v>
      </c>
      <c r="AD47" s="109" t="s">
        <v>581</v>
      </c>
      <c r="AE47" s="109" t="s">
        <v>246</v>
      </c>
      <c r="AF47" s="109" t="s">
        <v>247</v>
      </c>
      <c r="AG47" s="109" t="s">
        <v>248</v>
      </c>
      <c r="AH47" s="109" t="s">
        <v>249</v>
      </c>
      <c r="AI47" s="109" t="s">
        <v>580</v>
      </c>
      <c r="AJ47" s="109" t="s">
        <v>581</v>
      </c>
      <c r="AK47" s="109" t="s">
        <v>248</v>
      </c>
      <c r="AL47" s="109" t="s">
        <v>249</v>
      </c>
      <c r="AM47" s="109" t="s">
        <v>250</v>
      </c>
      <c r="AN47" s="207" t="s">
        <v>582</v>
      </c>
      <c r="AO47" s="109">
        <v>311.35</v>
      </c>
      <c r="AP47" s="109">
        <v>0</v>
      </c>
      <c r="AQ47" s="109">
        <v>28</v>
      </c>
      <c r="AR47" s="109">
        <v>0</v>
      </c>
      <c r="AS47" s="109" t="s">
        <v>252</v>
      </c>
      <c r="AT47" s="109" t="s">
        <v>229</v>
      </c>
      <c r="AU47" s="110">
        <v>46253</v>
      </c>
      <c r="AV47" s="109">
        <v>426.83</v>
      </c>
      <c r="AW47" s="109" t="s">
        <v>230</v>
      </c>
      <c r="AX47" s="109" t="s">
        <v>230</v>
      </c>
      <c r="AY47" s="109">
        <v>8674.44</v>
      </c>
      <c r="AZ47" s="109" t="s">
        <v>232</v>
      </c>
      <c r="BA47" s="109" t="s">
        <v>253</v>
      </c>
      <c r="BB47" s="109">
        <v>426.83</v>
      </c>
      <c r="BC47" s="109">
        <v>375.61</v>
      </c>
      <c r="BD47" s="109">
        <v>426.83</v>
      </c>
      <c r="BE47" s="109">
        <v>51.22</v>
      </c>
      <c r="BF47" s="111">
        <v>0.12</v>
      </c>
      <c r="BG47" s="109">
        <v>0</v>
      </c>
      <c r="BH47" s="109">
        <v>311.35</v>
      </c>
      <c r="BI47" s="109">
        <v>280.25</v>
      </c>
      <c r="BJ47" s="109">
        <v>0</v>
      </c>
      <c r="BK47" s="109">
        <v>17</v>
      </c>
      <c r="BL47" s="109">
        <v>0</v>
      </c>
      <c r="BM47" s="109">
        <v>9.76</v>
      </c>
      <c r="BN47" s="109">
        <v>13.01</v>
      </c>
      <c r="BO47" s="109">
        <v>22</v>
      </c>
      <c r="BP47" s="109">
        <v>3.23</v>
      </c>
      <c r="BQ47" s="109">
        <v>0</v>
      </c>
      <c r="BR47" s="109">
        <v>0</v>
      </c>
      <c r="BS47" s="109">
        <v>0</v>
      </c>
      <c r="BT47" s="109">
        <v>0</v>
      </c>
      <c r="BU47" s="109">
        <v>0</v>
      </c>
      <c r="BV47" s="109">
        <v>0</v>
      </c>
      <c r="BW47" s="109">
        <v>0</v>
      </c>
      <c r="BX47" s="109">
        <v>0</v>
      </c>
      <c r="BY47" s="109">
        <v>0</v>
      </c>
      <c r="BZ47" s="109">
        <v>0</v>
      </c>
      <c r="CA47" s="109">
        <v>30.36</v>
      </c>
      <c r="CB47" s="109" t="s">
        <v>225</v>
      </c>
      <c r="CC47" s="109" t="s">
        <v>247</v>
      </c>
      <c r="CD47" s="109">
        <v>852.47</v>
      </c>
      <c r="CE47" s="109">
        <v>0</v>
      </c>
      <c r="CF47" s="109">
        <v>0</v>
      </c>
      <c r="CG47" s="109">
        <v>0</v>
      </c>
      <c r="CH47" s="109">
        <v>0</v>
      </c>
      <c r="CI47" s="109">
        <v>0</v>
      </c>
      <c r="CJ47" s="109">
        <v>0</v>
      </c>
      <c r="CK47" s="109">
        <v>0</v>
      </c>
      <c r="CL47" s="109"/>
      <c r="CM47" s="109"/>
      <c r="CN47" s="109">
        <v>0</v>
      </c>
      <c r="CO47" s="109">
        <v>0</v>
      </c>
      <c r="CP47" s="109">
        <v>0</v>
      </c>
      <c r="CQ47" s="109">
        <v>0</v>
      </c>
      <c r="CR47" s="109">
        <v>0</v>
      </c>
      <c r="CS47" s="109">
        <v>0</v>
      </c>
      <c r="CT47" s="109">
        <v>0</v>
      </c>
      <c r="CU47" s="109">
        <v>46.7</v>
      </c>
      <c r="CV47" s="109" t="s">
        <v>254</v>
      </c>
      <c r="CW47" s="109">
        <v>0</v>
      </c>
      <c r="CX47" s="109"/>
      <c r="CY47" s="109">
        <v>56.04</v>
      </c>
      <c r="CZ47" s="109" t="s">
        <v>254</v>
      </c>
      <c r="DA47" s="109">
        <v>0</v>
      </c>
      <c r="DB47" s="109"/>
      <c r="DE47" s="109">
        <v>0</v>
      </c>
      <c r="DF47" s="109" t="s">
        <v>236</v>
      </c>
      <c r="DG47" s="109" t="s">
        <v>221</v>
      </c>
      <c r="DH47" s="109" t="s">
        <v>220</v>
      </c>
      <c r="DI47" s="109">
        <v>9026067267</v>
      </c>
      <c r="DJ47" s="109" t="s">
        <v>222</v>
      </c>
      <c r="DK47" s="109">
        <v>0</v>
      </c>
      <c r="DL47" s="109" t="s">
        <v>226</v>
      </c>
      <c r="DM47" s="109">
        <v>51.22</v>
      </c>
    </row>
    <row r="48" ht="13.8" hidden="1" spans="1:117">
      <c r="A48" s="109">
        <v>2</v>
      </c>
      <c r="B48" s="109" t="s">
        <v>583</v>
      </c>
      <c r="C48" s="109" t="s">
        <v>203</v>
      </c>
      <c r="D48" s="109" t="s">
        <v>225</v>
      </c>
      <c r="E48" s="109" t="s">
        <v>226</v>
      </c>
      <c r="F48" s="110">
        <v>46241</v>
      </c>
      <c r="G48" s="109" t="s">
        <v>240</v>
      </c>
      <c r="H48" s="109" t="s">
        <v>584</v>
      </c>
      <c r="I48" s="109" t="s">
        <v>216</v>
      </c>
      <c r="J48" s="109" t="s">
        <v>217</v>
      </c>
      <c r="K48" s="109" t="s">
        <v>218</v>
      </c>
      <c r="L48" s="109" t="s">
        <v>219</v>
      </c>
      <c r="M48" s="207" t="s">
        <v>242</v>
      </c>
      <c r="N48" s="109" t="s">
        <v>220</v>
      </c>
      <c r="O48" s="109" t="s">
        <v>221</v>
      </c>
      <c r="P48" s="109" t="s">
        <v>243</v>
      </c>
      <c r="Q48" s="109" t="s">
        <v>216</v>
      </c>
      <c r="R48" s="109" t="s">
        <v>217</v>
      </c>
      <c r="S48" s="109" t="s">
        <v>220</v>
      </c>
      <c r="T48" s="109" t="s">
        <v>221</v>
      </c>
      <c r="U48" s="109" t="s">
        <v>216</v>
      </c>
      <c r="V48" s="109" t="s">
        <v>217</v>
      </c>
      <c r="W48" s="109" t="s">
        <v>218</v>
      </c>
      <c r="X48" s="109" t="s">
        <v>219</v>
      </c>
      <c r="Y48" s="109" t="s">
        <v>220</v>
      </c>
      <c r="Z48" s="109" t="s">
        <v>221</v>
      </c>
      <c r="AA48" s="109" t="s">
        <v>222</v>
      </c>
      <c r="AB48" s="109" t="s">
        <v>223</v>
      </c>
      <c r="AC48" s="109" t="s">
        <v>311</v>
      </c>
      <c r="AD48" s="109" t="s">
        <v>245</v>
      </c>
      <c r="AE48" s="109" t="s">
        <v>312</v>
      </c>
      <c r="AF48" s="109" t="s">
        <v>295</v>
      </c>
      <c r="AG48" s="109" t="s">
        <v>313</v>
      </c>
      <c r="AH48" s="109" t="s">
        <v>297</v>
      </c>
      <c r="AI48" s="109" t="s">
        <v>311</v>
      </c>
      <c r="AJ48" s="109" t="s">
        <v>245</v>
      </c>
      <c r="AK48" s="109" t="s">
        <v>313</v>
      </c>
      <c r="AL48" s="109" t="s">
        <v>297</v>
      </c>
      <c r="AM48" s="109" t="s">
        <v>298</v>
      </c>
      <c r="AN48" s="207" t="s">
        <v>585</v>
      </c>
      <c r="AO48" s="109">
        <v>75.21</v>
      </c>
      <c r="AP48" s="109">
        <v>0</v>
      </c>
      <c r="AQ48" s="109">
        <v>6</v>
      </c>
      <c r="AR48" s="109">
        <v>0</v>
      </c>
      <c r="AS48" s="109" t="s">
        <v>252</v>
      </c>
      <c r="AT48" s="109" t="s">
        <v>229</v>
      </c>
      <c r="AU48" s="110">
        <v>46253</v>
      </c>
      <c r="AV48" s="109">
        <v>450.93</v>
      </c>
      <c r="AW48" s="109" t="s">
        <v>230</v>
      </c>
      <c r="AX48" s="109" t="s">
        <v>230</v>
      </c>
      <c r="AY48" s="109">
        <v>2285.34</v>
      </c>
      <c r="AZ48" s="109" t="s">
        <v>232</v>
      </c>
      <c r="BA48" s="109" t="s">
        <v>300</v>
      </c>
      <c r="BB48" s="109">
        <v>450.93</v>
      </c>
      <c r="BC48" s="109">
        <v>396.82</v>
      </c>
      <c r="BD48" s="109">
        <v>450.93</v>
      </c>
      <c r="BE48" s="109">
        <v>54.11</v>
      </c>
      <c r="BF48" s="111">
        <v>0.12</v>
      </c>
      <c r="BG48" s="109">
        <v>0</v>
      </c>
      <c r="BH48" s="109">
        <v>75.21</v>
      </c>
      <c r="BI48" s="109">
        <v>99.9</v>
      </c>
      <c r="BJ48" s="109">
        <v>0</v>
      </c>
      <c r="BK48" s="109">
        <v>17</v>
      </c>
      <c r="BL48" s="109">
        <v>0</v>
      </c>
      <c r="BM48" s="109">
        <v>9.76</v>
      </c>
      <c r="BN48" s="109">
        <v>3.43</v>
      </c>
      <c r="BO48" s="109">
        <v>5.5</v>
      </c>
      <c r="BP48" s="109">
        <v>3.23</v>
      </c>
      <c r="BQ48" s="109">
        <v>0</v>
      </c>
      <c r="BR48" s="109">
        <v>0</v>
      </c>
      <c r="BS48" s="109">
        <v>0</v>
      </c>
      <c r="BT48" s="109">
        <v>0</v>
      </c>
      <c r="BU48" s="109">
        <v>0</v>
      </c>
      <c r="BV48" s="109">
        <v>0</v>
      </c>
      <c r="BW48" s="109">
        <v>0</v>
      </c>
      <c r="BX48" s="109">
        <v>250</v>
      </c>
      <c r="BY48" s="109">
        <v>0</v>
      </c>
      <c r="BZ48" s="109">
        <v>0</v>
      </c>
      <c r="CA48" s="109">
        <v>8</v>
      </c>
      <c r="CB48" s="109" t="s">
        <v>225</v>
      </c>
      <c r="CC48" s="109" t="s">
        <v>295</v>
      </c>
      <c r="CD48" s="109">
        <v>380.85</v>
      </c>
      <c r="CE48" s="109">
        <v>0</v>
      </c>
      <c r="CF48" s="109">
        <v>0</v>
      </c>
      <c r="CG48" s="109">
        <v>0</v>
      </c>
      <c r="CH48" s="109">
        <v>0</v>
      </c>
      <c r="CI48" s="109">
        <v>0</v>
      </c>
      <c r="CJ48" s="109">
        <v>0</v>
      </c>
      <c r="CK48" s="109">
        <v>0</v>
      </c>
      <c r="CL48" s="109"/>
      <c r="CM48" s="109"/>
      <c r="CN48" s="109">
        <v>0</v>
      </c>
      <c r="CO48" s="109">
        <v>0</v>
      </c>
      <c r="CP48" s="109">
        <v>0</v>
      </c>
      <c r="CQ48" s="109">
        <v>0</v>
      </c>
      <c r="CR48" s="109">
        <v>0</v>
      </c>
      <c r="CS48" s="109">
        <v>0</v>
      </c>
      <c r="CT48" s="109">
        <v>0</v>
      </c>
      <c r="CU48" s="109">
        <v>12</v>
      </c>
      <c r="CV48" s="109" t="s">
        <v>254</v>
      </c>
      <c r="CW48" s="109">
        <v>0</v>
      </c>
      <c r="CX48" s="109"/>
      <c r="CY48" s="109">
        <v>18</v>
      </c>
      <c r="CZ48" s="109" t="s">
        <v>254</v>
      </c>
      <c r="DA48" s="109">
        <v>0</v>
      </c>
      <c r="DB48" s="109"/>
      <c r="DE48" s="109">
        <v>0</v>
      </c>
      <c r="DF48" s="109" t="s">
        <v>236</v>
      </c>
      <c r="DG48" s="109" t="s">
        <v>221</v>
      </c>
      <c r="DH48" s="109" t="s">
        <v>220</v>
      </c>
      <c r="DI48" s="109">
        <v>9026067267</v>
      </c>
      <c r="DJ48" s="109" t="s">
        <v>222</v>
      </c>
      <c r="DK48" s="109">
        <v>0</v>
      </c>
      <c r="DL48" s="109" t="s">
        <v>226</v>
      </c>
      <c r="DM48" s="109">
        <v>54.11</v>
      </c>
    </row>
    <row r="49" ht="13.8" hidden="1" spans="1:117">
      <c r="A49" s="109">
        <v>2</v>
      </c>
      <c r="B49" s="109" t="s">
        <v>586</v>
      </c>
      <c r="C49" s="109" t="s">
        <v>203</v>
      </c>
      <c r="D49" s="109" t="s">
        <v>225</v>
      </c>
      <c r="E49" s="109" t="s">
        <v>226</v>
      </c>
      <c r="F49" s="110">
        <v>46241</v>
      </c>
      <c r="G49" s="109" t="s">
        <v>240</v>
      </c>
      <c r="H49" s="109" t="s">
        <v>587</v>
      </c>
      <c r="I49" s="109" t="s">
        <v>216</v>
      </c>
      <c r="J49" s="109" t="s">
        <v>217</v>
      </c>
      <c r="K49" s="109" t="s">
        <v>218</v>
      </c>
      <c r="L49" s="109" t="s">
        <v>219</v>
      </c>
      <c r="M49" s="207" t="s">
        <v>242</v>
      </c>
      <c r="N49" s="109" t="s">
        <v>220</v>
      </c>
      <c r="O49" s="109" t="s">
        <v>221</v>
      </c>
      <c r="P49" s="109" t="s">
        <v>243</v>
      </c>
      <c r="Q49" s="109" t="s">
        <v>216</v>
      </c>
      <c r="R49" s="109" t="s">
        <v>217</v>
      </c>
      <c r="S49" s="109" t="s">
        <v>220</v>
      </c>
      <c r="T49" s="109" t="s">
        <v>221</v>
      </c>
      <c r="U49" s="109" t="s">
        <v>216</v>
      </c>
      <c r="V49" s="109" t="s">
        <v>217</v>
      </c>
      <c r="W49" s="109" t="s">
        <v>218</v>
      </c>
      <c r="X49" s="109" t="s">
        <v>219</v>
      </c>
      <c r="Y49" s="109" t="s">
        <v>220</v>
      </c>
      <c r="Z49" s="109" t="s">
        <v>221</v>
      </c>
      <c r="AA49" s="109" t="s">
        <v>222</v>
      </c>
      <c r="AB49" s="109" t="s">
        <v>223</v>
      </c>
      <c r="AC49" s="109" t="s">
        <v>588</v>
      </c>
      <c r="AD49" s="109" t="s">
        <v>416</v>
      </c>
      <c r="AE49" s="109">
        <v>117</v>
      </c>
      <c r="AF49" s="109" t="s">
        <v>589</v>
      </c>
      <c r="AG49" s="109" t="s">
        <v>590</v>
      </c>
      <c r="AH49" s="109" t="s">
        <v>297</v>
      </c>
      <c r="AI49" s="109" t="s">
        <v>588</v>
      </c>
      <c r="AJ49" s="109" t="s">
        <v>416</v>
      </c>
      <c r="AK49" s="109" t="s">
        <v>590</v>
      </c>
      <c r="AL49" s="109" t="s">
        <v>297</v>
      </c>
      <c r="AM49" s="109" t="s">
        <v>591</v>
      </c>
      <c r="AN49" s="207" t="s">
        <v>592</v>
      </c>
      <c r="AO49" s="109">
        <v>35.05</v>
      </c>
      <c r="AP49" s="109">
        <v>0</v>
      </c>
      <c r="AQ49" s="109">
        <v>4</v>
      </c>
      <c r="AR49" s="109">
        <v>0</v>
      </c>
      <c r="AS49" s="109" t="s">
        <v>252</v>
      </c>
      <c r="AT49" s="109" t="s">
        <v>229</v>
      </c>
      <c r="AU49" s="110">
        <v>46253</v>
      </c>
      <c r="AV49" s="109">
        <v>397.08</v>
      </c>
      <c r="AW49" s="109" t="s">
        <v>230</v>
      </c>
      <c r="AX49" s="109" t="s">
        <v>231</v>
      </c>
      <c r="AY49" s="109">
        <v>1396.82</v>
      </c>
      <c r="AZ49" s="109" t="s">
        <v>232</v>
      </c>
      <c r="BA49" s="109" t="s">
        <v>300</v>
      </c>
      <c r="BB49" s="109">
        <v>397.08</v>
      </c>
      <c r="BC49" s="109">
        <v>349.43</v>
      </c>
      <c r="BD49" s="109">
        <v>397.08</v>
      </c>
      <c r="BE49" s="109">
        <v>47.65</v>
      </c>
      <c r="BF49" s="111">
        <v>0.12</v>
      </c>
      <c r="BG49" s="109">
        <v>0</v>
      </c>
      <c r="BH49" s="109">
        <v>35.05</v>
      </c>
      <c r="BI49" s="109">
        <v>56.8</v>
      </c>
      <c r="BJ49" s="109">
        <v>0</v>
      </c>
      <c r="BK49" s="109">
        <v>17</v>
      </c>
      <c r="BL49" s="109">
        <v>0</v>
      </c>
      <c r="BM49" s="109">
        <v>9.76</v>
      </c>
      <c r="BN49" s="109">
        <v>2.25</v>
      </c>
      <c r="BO49" s="109">
        <v>5.5</v>
      </c>
      <c r="BP49" s="109">
        <v>3.23</v>
      </c>
      <c r="BQ49" s="109">
        <v>0</v>
      </c>
      <c r="BR49" s="109">
        <v>0</v>
      </c>
      <c r="BS49" s="109">
        <v>0</v>
      </c>
      <c r="BT49" s="109">
        <v>0</v>
      </c>
      <c r="BU49" s="109">
        <v>0</v>
      </c>
      <c r="BV49" s="109">
        <v>0</v>
      </c>
      <c r="BW49" s="109">
        <v>0</v>
      </c>
      <c r="BX49" s="109">
        <v>250</v>
      </c>
      <c r="BY49" s="109">
        <v>0</v>
      </c>
      <c r="BZ49" s="109">
        <v>0</v>
      </c>
      <c r="CA49" s="109">
        <v>4.89</v>
      </c>
      <c r="CB49" s="109" t="s">
        <v>225</v>
      </c>
      <c r="CC49" s="109" t="s">
        <v>295</v>
      </c>
      <c r="CD49" s="109">
        <v>371.97</v>
      </c>
      <c r="CE49" s="109">
        <v>0</v>
      </c>
      <c r="CF49" s="109">
        <v>0</v>
      </c>
      <c r="CG49" s="109">
        <v>0</v>
      </c>
      <c r="CH49" s="109">
        <v>0</v>
      </c>
      <c r="CI49" s="109">
        <v>0</v>
      </c>
      <c r="CJ49" s="109">
        <v>0</v>
      </c>
      <c r="CK49" s="109">
        <v>0</v>
      </c>
      <c r="CL49" s="109"/>
      <c r="CM49" s="109"/>
      <c r="CN49" s="109">
        <v>0</v>
      </c>
      <c r="CO49" s="109">
        <v>0</v>
      </c>
      <c r="CP49" s="109">
        <v>0</v>
      </c>
      <c r="CQ49" s="109">
        <v>0</v>
      </c>
      <c r="CR49" s="109">
        <v>0</v>
      </c>
      <c r="CS49" s="109">
        <v>0</v>
      </c>
      <c r="CT49" s="109">
        <v>0</v>
      </c>
      <c r="CU49" s="109">
        <v>12</v>
      </c>
      <c r="CV49" s="109" t="s">
        <v>254</v>
      </c>
      <c r="CW49" s="109">
        <v>0</v>
      </c>
      <c r="CX49" s="109"/>
      <c r="CY49" s="109">
        <v>302.1</v>
      </c>
      <c r="CZ49" s="109" t="s">
        <v>593</v>
      </c>
      <c r="DA49" s="109">
        <v>519</v>
      </c>
      <c r="DB49" s="207" t="s">
        <v>594</v>
      </c>
      <c r="DE49" s="109">
        <v>0</v>
      </c>
      <c r="DF49" s="109" t="s">
        <v>236</v>
      </c>
      <c r="DG49" s="109" t="s">
        <v>221</v>
      </c>
      <c r="DH49" s="109" t="s">
        <v>220</v>
      </c>
      <c r="DI49" s="109">
        <v>9026067267</v>
      </c>
      <c r="DJ49" s="109" t="s">
        <v>222</v>
      </c>
      <c r="DK49" s="109">
        <v>0</v>
      </c>
      <c r="DL49" s="109" t="s">
        <v>226</v>
      </c>
      <c r="DM49" s="109">
        <v>47.65</v>
      </c>
    </row>
    <row r="50" ht="13.8" hidden="1" spans="1:117">
      <c r="A50" s="109">
        <v>2</v>
      </c>
      <c r="B50" s="109" t="s">
        <v>595</v>
      </c>
      <c r="C50" s="109" t="s">
        <v>203</v>
      </c>
      <c r="D50" s="109" t="s">
        <v>225</v>
      </c>
      <c r="E50" s="109" t="s">
        <v>226</v>
      </c>
      <c r="F50" s="110">
        <v>46241</v>
      </c>
      <c r="G50" s="109" t="s">
        <v>240</v>
      </c>
      <c r="H50" s="109" t="s">
        <v>596</v>
      </c>
      <c r="I50" s="109" t="s">
        <v>216</v>
      </c>
      <c r="J50" s="109" t="s">
        <v>217</v>
      </c>
      <c r="K50" s="109" t="s">
        <v>218</v>
      </c>
      <c r="L50" s="109" t="s">
        <v>219</v>
      </c>
      <c r="M50" s="207" t="s">
        <v>242</v>
      </c>
      <c r="N50" s="109" t="s">
        <v>220</v>
      </c>
      <c r="O50" s="109" t="s">
        <v>221</v>
      </c>
      <c r="P50" s="109" t="s">
        <v>243</v>
      </c>
      <c r="Q50" s="109" t="s">
        <v>216</v>
      </c>
      <c r="R50" s="109" t="s">
        <v>217</v>
      </c>
      <c r="S50" s="109" t="s">
        <v>220</v>
      </c>
      <c r="T50" s="109" t="s">
        <v>221</v>
      </c>
      <c r="U50" s="109" t="s">
        <v>216</v>
      </c>
      <c r="V50" s="109" t="s">
        <v>217</v>
      </c>
      <c r="W50" s="109" t="s">
        <v>218</v>
      </c>
      <c r="X50" s="109" t="s">
        <v>219</v>
      </c>
      <c r="Y50" s="109" t="s">
        <v>220</v>
      </c>
      <c r="Z50" s="109" t="s">
        <v>221</v>
      </c>
      <c r="AA50" s="109" t="s">
        <v>222</v>
      </c>
      <c r="AB50" s="109" t="s">
        <v>223</v>
      </c>
      <c r="AC50" s="109" t="s">
        <v>597</v>
      </c>
      <c r="AD50" s="109" t="s">
        <v>598</v>
      </c>
      <c r="AE50" s="109">
        <v>133</v>
      </c>
      <c r="AF50" s="109" t="s">
        <v>364</v>
      </c>
      <c r="AG50" s="109" t="s">
        <v>599</v>
      </c>
      <c r="AH50" s="109" t="s">
        <v>297</v>
      </c>
      <c r="AI50" s="109" t="s">
        <v>597</v>
      </c>
      <c r="AJ50" s="109" t="s">
        <v>598</v>
      </c>
      <c r="AK50" s="109" t="s">
        <v>599</v>
      </c>
      <c r="AL50" s="109" t="s">
        <v>297</v>
      </c>
      <c r="AM50" s="109" t="s">
        <v>366</v>
      </c>
      <c r="AN50" s="207" t="s">
        <v>600</v>
      </c>
      <c r="AO50" s="109">
        <v>59.91</v>
      </c>
      <c r="AP50" s="109">
        <v>0</v>
      </c>
      <c r="AQ50" s="109">
        <v>6</v>
      </c>
      <c r="AR50" s="109">
        <v>0</v>
      </c>
      <c r="AS50" s="109" t="s">
        <v>252</v>
      </c>
      <c r="AT50" s="109" t="s">
        <v>229</v>
      </c>
      <c r="AU50" s="110">
        <v>46253</v>
      </c>
      <c r="AV50" s="109">
        <v>166.92</v>
      </c>
      <c r="AW50" s="109" t="s">
        <v>230</v>
      </c>
      <c r="AX50" s="109" t="s">
        <v>231</v>
      </c>
      <c r="AY50" s="109">
        <v>1860.49</v>
      </c>
      <c r="AZ50" s="109" t="s">
        <v>232</v>
      </c>
      <c r="BA50" s="109" t="s">
        <v>557</v>
      </c>
      <c r="BB50" s="109">
        <v>166.92</v>
      </c>
      <c r="BC50" s="109">
        <v>146.89</v>
      </c>
      <c r="BD50" s="109">
        <v>166.92</v>
      </c>
      <c r="BE50" s="109">
        <v>20.03</v>
      </c>
      <c r="BF50" s="111">
        <v>0.12</v>
      </c>
      <c r="BG50" s="109">
        <v>0</v>
      </c>
      <c r="BH50" s="109">
        <v>59.91</v>
      </c>
      <c r="BI50" s="109">
        <v>102.1</v>
      </c>
      <c r="BJ50" s="109">
        <v>0</v>
      </c>
      <c r="BK50" s="109">
        <v>17</v>
      </c>
      <c r="BL50" s="109">
        <v>0</v>
      </c>
      <c r="BM50" s="109">
        <v>9.76</v>
      </c>
      <c r="BN50" s="109">
        <v>2.79</v>
      </c>
      <c r="BO50" s="109">
        <v>5.5</v>
      </c>
      <c r="BP50" s="109">
        <v>3.23</v>
      </c>
      <c r="BQ50" s="109">
        <v>0</v>
      </c>
      <c r="BR50" s="109">
        <v>0</v>
      </c>
      <c r="BS50" s="109">
        <v>0</v>
      </c>
      <c r="BT50" s="109">
        <v>0</v>
      </c>
      <c r="BU50" s="109">
        <v>0</v>
      </c>
      <c r="BV50" s="109">
        <v>0</v>
      </c>
      <c r="BW50" s="109">
        <v>0</v>
      </c>
      <c r="BX50" s="109">
        <v>0</v>
      </c>
      <c r="BY50" s="109">
        <v>0</v>
      </c>
      <c r="BZ50" s="109">
        <v>0</v>
      </c>
      <c r="CA50" s="109">
        <v>6.51</v>
      </c>
      <c r="CB50" s="109" t="s">
        <v>225</v>
      </c>
      <c r="CC50" s="109" t="s">
        <v>558</v>
      </c>
      <c r="CD50" s="109">
        <v>376.62</v>
      </c>
      <c r="CE50" s="109">
        <v>0</v>
      </c>
      <c r="CF50" s="109">
        <v>0</v>
      </c>
      <c r="CG50" s="109">
        <v>0</v>
      </c>
      <c r="CH50" s="109">
        <v>0</v>
      </c>
      <c r="CI50" s="109">
        <v>0</v>
      </c>
      <c r="CJ50" s="109">
        <v>0</v>
      </c>
      <c r="CK50" s="109">
        <v>0</v>
      </c>
      <c r="CL50" s="109"/>
      <c r="CM50" s="109"/>
      <c r="CN50" s="109">
        <v>0</v>
      </c>
      <c r="CO50" s="109">
        <v>0</v>
      </c>
      <c r="CP50" s="109">
        <v>0</v>
      </c>
      <c r="CQ50" s="109">
        <v>0</v>
      </c>
      <c r="CR50" s="109">
        <v>0</v>
      </c>
      <c r="CS50" s="109">
        <v>0</v>
      </c>
      <c r="CT50" s="109">
        <v>0</v>
      </c>
      <c r="CU50" s="109">
        <v>12</v>
      </c>
      <c r="CV50" s="109" t="s">
        <v>254</v>
      </c>
      <c r="CW50" s="109">
        <v>0</v>
      </c>
      <c r="CX50" s="109"/>
      <c r="CY50" s="109">
        <v>60.5</v>
      </c>
      <c r="CZ50" s="109" t="s">
        <v>254</v>
      </c>
      <c r="DA50" s="109">
        <f>CY50</f>
        <v>60.5</v>
      </c>
      <c r="DB50" s="109"/>
      <c r="DE50" s="109">
        <v>0</v>
      </c>
      <c r="DF50" s="109" t="s">
        <v>236</v>
      </c>
      <c r="DG50" s="109" t="s">
        <v>221</v>
      </c>
      <c r="DH50" s="109" t="s">
        <v>220</v>
      </c>
      <c r="DI50" s="109">
        <v>9026067267</v>
      </c>
      <c r="DJ50" s="109" t="s">
        <v>222</v>
      </c>
      <c r="DK50" s="109">
        <v>0</v>
      </c>
      <c r="DL50" s="109" t="s">
        <v>226</v>
      </c>
      <c r="DM50" s="109">
        <v>20.03</v>
      </c>
    </row>
    <row r="51" ht="13.8" hidden="1" spans="1:117">
      <c r="A51" s="109">
        <v>2</v>
      </c>
      <c r="B51" s="109" t="s">
        <v>601</v>
      </c>
      <c r="C51" s="109" t="s">
        <v>203</v>
      </c>
      <c r="D51" s="109" t="s">
        <v>225</v>
      </c>
      <c r="E51" s="109" t="s">
        <v>226</v>
      </c>
      <c r="F51" s="110">
        <v>46241</v>
      </c>
      <c r="G51" s="109" t="s">
        <v>240</v>
      </c>
      <c r="H51" s="109" t="s">
        <v>602</v>
      </c>
      <c r="I51" s="109" t="s">
        <v>216</v>
      </c>
      <c r="J51" s="109" t="s">
        <v>217</v>
      </c>
      <c r="K51" s="109" t="s">
        <v>218</v>
      </c>
      <c r="L51" s="109" t="s">
        <v>219</v>
      </c>
      <c r="M51" s="207" t="s">
        <v>242</v>
      </c>
      <c r="N51" s="109" t="s">
        <v>220</v>
      </c>
      <c r="O51" s="109" t="s">
        <v>221</v>
      </c>
      <c r="P51" s="109" t="s">
        <v>243</v>
      </c>
      <c r="Q51" s="109" t="s">
        <v>216</v>
      </c>
      <c r="R51" s="109" t="s">
        <v>217</v>
      </c>
      <c r="S51" s="109" t="s">
        <v>220</v>
      </c>
      <c r="T51" s="109" t="s">
        <v>221</v>
      </c>
      <c r="U51" s="109" t="s">
        <v>216</v>
      </c>
      <c r="V51" s="109" t="s">
        <v>217</v>
      </c>
      <c r="W51" s="109" t="s">
        <v>218</v>
      </c>
      <c r="X51" s="109" t="s">
        <v>219</v>
      </c>
      <c r="Y51" s="109" t="s">
        <v>220</v>
      </c>
      <c r="Z51" s="109" t="s">
        <v>221</v>
      </c>
      <c r="AA51" s="109" t="s">
        <v>222</v>
      </c>
      <c r="AB51" s="109" t="s">
        <v>223</v>
      </c>
      <c r="AC51" s="109" t="s">
        <v>603</v>
      </c>
      <c r="AD51" s="109" t="s">
        <v>604</v>
      </c>
      <c r="AE51" s="109">
        <v>150</v>
      </c>
      <c r="AF51" s="109" t="s">
        <v>605</v>
      </c>
      <c r="AG51" s="109" t="s">
        <v>606</v>
      </c>
      <c r="AH51" s="109" t="s">
        <v>297</v>
      </c>
      <c r="AI51" s="109" t="s">
        <v>603</v>
      </c>
      <c r="AJ51" s="109" t="s">
        <v>604</v>
      </c>
      <c r="AK51" s="109" t="s">
        <v>606</v>
      </c>
      <c r="AL51" s="109" t="s">
        <v>297</v>
      </c>
      <c r="AM51" s="109" t="s">
        <v>607</v>
      </c>
      <c r="AN51" s="207" t="s">
        <v>608</v>
      </c>
      <c r="AO51" s="109">
        <v>80</v>
      </c>
      <c r="AP51" s="109">
        <v>0</v>
      </c>
      <c r="AQ51" s="109">
        <v>2</v>
      </c>
      <c r="AR51" s="109">
        <v>0</v>
      </c>
      <c r="AS51" s="109" t="s">
        <v>252</v>
      </c>
      <c r="AT51" s="109" t="s">
        <v>229</v>
      </c>
      <c r="AU51" s="110">
        <v>46253</v>
      </c>
      <c r="AV51" s="109">
        <v>207.67</v>
      </c>
      <c r="AW51" s="109" t="s">
        <v>230</v>
      </c>
      <c r="AX51" s="109" t="s">
        <v>230</v>
      </c>
      <c r="AY51" s="109">
        <v>2632.1</v>
      </c>
      <c r="AZ51" s="109" t="s">
        <v>232</v>
      </c>
      <c r="BA51" s="109" t="s">
        <v>557</v>
      </c>
      <c r="BB51" s="109">
        <v>207.67</v>
      </c>
      <c r="BC51" s="109">
        <v>182.75</v>
      </c>
      <c r="BD51" s="109">
        <v>207.67</v>
      </c>
      <c r="BE51" s="109">
        <v>24.92</v>
      </c>
      <c r="BF51" s="111">
        <v>0.12</v>
      </c>
      <c r="BG51" s="109">
        <v>0</v>
      </c>
      <c r="BH51" s="109">
        <v>80</v>
      </c>
      <c r="BI51" s="109">
        <v>134.1</v>
      </c>
      <c r="BJ51" s="109">
        <v>0</v>
      </c>
      <c r="BK51" s="109">
        <v>17</v>
      </c>
      <c r="BL51" s="109">
        <v>0</v>
      </c>
      <c r="BM51" s="109">
        <v>9.76</v>
      </c>
      <c r="BN51" s="109">
        <v>3.95</v>
      </c>
      <c r="BO51" s="109">
        <v>5.5</v>
      </c>
      <c r="BP51" s="109">
        <v>3.23</v>
      </c>
      <c r="BQ51" s="109">
        <v>0</v>
      </c>
      <c r="BR51" s="109">
        <v>0</v>
      </c>
      <c r="BS51" s="109">
        <v>0</v>
      </c>
      <c r="BT51" s="109">
        <v>0</v>
      </c>
      <c r="BU51" s="109">
        <v>0</v>
      </c>
      <c r="BV51" s="109">
        <v>0</v>
      </c>
      <c r="BW51" s="109">
        <v>0</v>
      </c>
      <c r="BX51" s="109">
        <v>0</v>
      </c>
      <c r="BY51" s="109">
        <v>0</v>
      </c>
      <c r="BZ51" s="109">
        <v>0</v>
      </c>
      <c r="CA51" s="109">
        <v>9.21</v>
      </c>
      <c r="CB51" s="109" t="s">
        <v>225</v>
      </c>
      <c r="CC51" s="109" t="s">
        <v>558</v>
      </c>
      <c r="CD51" s="109">
        <v>384.29</v>
      </c>
      <c r="CE51" s="109">
        <v>0</v>
      </c>
      <c r="CF51" s="109">
        <v>0</v>
      </c>
      <c r="CG51" s="109">
        <v>0</v>
      </c>
      <c r="CH51" s="109">
        <v>0</v>
      </c>
      <c r="CI51" s="109">
        <v>0</v>
      </c>
      <c r="CJ51" s="109">
        <v>0</v>
      </c>
      <c r="CK51" s="109">
        <v>0</v>
      </c>
      <c r="CL51" s="109"/>
      <c r="CM51" s="109"/>
      <c r="CN51" s="109">
        <v>0</v>
      </c>
      <c r="CO51" s="109">
        <v>0</v>
      </c>
      <c r="CP51" s="109">
        <v>0</v>
      </c>
      <c r="CQ51" s="109">
        <v>0</v>
      </c>
      <c r="CR51" s="109">
        <v>0</v>
      </c>
      <c r="CS51" s="109">
        <v>0</v>
      </c>
      <c r="CT51" s="109">
        <v>0</v>
      </c>
      <c r="CU51" s="109">
        <v>12</v>
      </c>
      <c r="CV51" s="109" t="s">
        <v>254</v>
      </c>
      <c r="CW51" s="109">
        <v>0</v>
      </c>
      <c r="CX51" s="109"/>
      <c r="CY51" s="109">
        <v>67.3</v>
      </c>
      <c r="CZ51" s="109" t="s">
        <v>609</v>
      </c>
      <c r="DA51" s="109">
        <v>94.43</v>
      </c>
      <c r="DB51" s="109">
        <v>160426</v>
      </c>
      <c r="DE51" s="109">
        <v>0</v>
      </c>
      <c r="DF51" s="109" t="s">
        <v>236</v>
      </c>
      <c r="DG51" s="109" t="s">
        <v>221</v>
      </c>
      <c r="DH51" s="109" t="s">
        <v>220</v>
      </c>
      <c r="DI51" s="109">
        <v>9026067267</v>
      </c>
      <c r="DJ51" s="109" t="s">
        <v>222</v>
      </c>
      <c r="DK51" s="109">
        <v>0</v>
      </c>
      <c r="DL51" s="109" t="s">
        <v>226</v>
      </c>
      <c r="DM51" s="109">
        <v>24.92</v>
      </c>
    </row>
    <row r="52" ht="13.8" hidden="1" spans="1:117">
      <c r="A52" s="109">
        <v>2</v>
      </c>
      <c r="B52" s="109" t="s">
        <v>610</v>
      </c>
      <c r="C52" s="109" t="s">
        <v>203</v>
      </c>
      <c r="D52" s="109" t="s">
        <v>225</v>
      </c>
      <c r="E52" s="109" t="s">
        <v>226</v>
      </c>
      <c r="F52" s="110">
        <v>46241</v>
      </c>
      <c r="G52" s="109" t="s">
        <v>240</v>
      </c>
      <c r="H52" s="109" t="s">
        <v>611</v>
      </c>
      <c r="I52" s="109" t="s">
        <v>216</v>
      </c>
      <c r="J52" s="109" t="s">
        <v>217</v>
      </c>
      <c r="K52" s="109" t="s">
        <v>218</v>
      </c>
      <c r="L52" s="109" t="s">
        <v>219</v>
      </c>
      <c r="M52" s="207" t="s">
        <v>242</v>
      </c>
      <c r="N52" s="109" t="s">
        <v>220</v>
      </c>
      <c r="O52" s="109" t="s">
        <v>221</v>
      </c>
      <c r="P52" s="109" t="s">
        <v>243</v>
      </c>
      <c r="Q52" s="109" t="s">
        <v>216</v>
      </c>
      <c r="R52" s="109" t="s">
        <v>217</v>
      </c>
      <c r="S52" s="109" t="s">
        <v>220</v>
      </c>
      <c r="T52" s="109" t="s">
        <v>221</v>
      </c>
      <c r="U52" s="109" t="s">
        <v>216</v>
      </c>
      <c r="V52" s="109" t="s">
        <v>217</v>
      </c>
      <c r="W52" s="109" t="s">
        <v>218</v>
      </c>
      <c r="X52" s="109" t="s">
        <v>219</v>
      </c>
      <c r="Y52" s="109" t="s">
        <v>220</v>
      </c>
      <c r="Z52" s="109" t="s">
        <v>221</v>
      </c>
      <c r="AA52" s="109" t="s">
        <v>222</v>
      </c>
      <c r="AB52" s="109" t="s">
        <v>223</v>
      </c>
      <c r="AC52" s="109" t="s">
        <v>612</v>
      </c>
      <c r="AD52" s="109" t="s">
        <v>613</v>
      </c>
      <c r="AE52" s="109">
        <v>394</v>
      </c>
      <c r="AF52" s="109" t="s">
        <v>342</v>
      </c>
      <c r="AG52" s="109" t="s">
        <v>614</v>
      </c>
      <c r="AH52" s="109" t="s">
        <v>214</v>
      </c>
      <c r="AI52" s="109" t="s">
        <v>612</v>
      </c>
      <c r="AJ52" s="109" t="s">
        <v>613</v>
      </c>
      <c r="AK52" s="109" t="s">
        <v>614</v>
      </c>
      <c r="AL52" s="109" t="s">
        <v>214</v>
      </c>
      <c r="AM52" s="109" t="s">
        <v>344</v>
      </c>
      <c r="AN52" s="207" t="s">
        <v>615</v>
      </c>
      <c r="AO52" s="109">
        <v>89.32</v>
      </c>
      <c r="AP52" s="109">
        <v>0</v>
      </c>
      <c r="AQ52" s="109">
        <v>13</v>
      </c>
      <c r="AR52" s="109">
        <v>0</v>
      </c>
      <c r="AS52" s="109" t="s">
        <v>252</v>
      </c>
      <c r="AT52" s="109" t="s">
        <v>229</v>
      </c>
      <c r="AU52" s="110">
        <v>46253</v>
      </c>
      <c r="AV52" s="109">
        <v>252.52</v>
      </c>
      <c r="AW52" s="109" t="s">
        <v>230</v>
      </c>
      <c r="AX52" s="109" t="s">
        <v>230</v>
      </c>
      <c r="AY52" s="109">
        <v>2704.86</v>
      </c>
      <c r="AZ52" s="109" t="s">
        <v>232</v>
      </c>
      <c r="BA52" s="109" t="s">
        <v>616</v>
      </c>
      <c r="BB52" s="109">
        <v>252.52</v>
      </c>
      <c r="BC52" s="109">
        <v>222.22</v>
      </c>
      <c r="BD52" s="109">
        <v>252.52</v>
      </c>
      <c r="BE52" s="109">
        <v>30.3</v>
      </c>
      <c r="BF52" s="111">
        <v>0.12</v>
      </c>
      <c r="BG52" s="109">
        <v>0</v>
      </c>
      <c r="BH52" s="109">
        <v>89.32</v>
      </c>
      <c r="BI52" s="109">
        <v>173.2</v>
      </c>
      <c r="BJ52" s="109">
        <v>0</v>
      </c>
      <c r="BK52" s="109">
        <v>17</v>
      </c>
      <c r="BL52" s="109">
        <v>0</v>
      </c>
      <c r="BM52" s="109">
        <v>9.76</v>
      </c>
      <c r="BN52" s="109">
        <v>4.06</v>
      </c>
      <c r="BO52" s="109">
        <v>5.5</v>
      </c>
      <c r="BP52" s="109">
        <v>3.23</v>
      </c>
      <c r="BQ52" s="109">
        <v>0</v>
      </c>
      <c r="BR52" s="109">
        <v>0</v>
      </c>
      <c r="BS52" s="109">
        <v>0</v>
      </c>
      <c r="BT52" s="109">
        <v>0</v>
      </c>
      <c r="BU52" s="109">
        <v>0</v>
      </c>
      <c r="BV52" s="109">
        <v>0</v>
      </c>
      <c r="BW52" s="109">
        <v>0</v>
      </c>
      <c r="BX52" s="109">
        <v>0</v>
      </c>
      <c r="BY52" s="109">
        <v>0</v>
      </c>
      <c r="BZ52" s="109">
        <v>0</v>
      </c>
      <c r="CA52" s="109">
        <v>9.47</v>
      </c>
      <c r="CB52" s="109" t="s">
        <v>225</v>
      </c>
      <c r="CC52" s="109" t="s">
        <v>342</v>
      </c>
      <c r="CD52" s="109">
        <v>385.17</v>
      </c>
      <c r="CE52" s="109">
        <v>0</v>
      </c>
      <c r="CF52" s="109">
        <v>0</v>
      </c>
      <c r="CG52" s="109">
        <v>0</v>
      </c>
      <c r="CH52" s="109">
        <v>0</v>
      </c>
      <c r="CI52" s="109">
        <v>0</v>
      </c>
      <c r="CJ52" s="109">
        <v>0</v>
      </c>
      <c r="CK52" s="109">
        <v>0</v>
      </c>
      <c r="CL52" s="109"/>
      <c r="CM52" s="109"/>
      <c r="CN52" s="109">
        <v>0</v>
      </c>
      <c r="CO52" s="109">
        <v>0</v>
      </c>
      <c r="CP52" s="109">
        <v>0</v>
      </c>
      <c r="CQ52" s="109">
        <v>0</v>
      </c>
      <c r="CR52" s="109">
        <v>0</v>
      </c>
      <c r="CS52" s="109">
        <v>0</v>
      </c>
      <c r="CT52" s="109">
        <v>0</v>
      </c>
      <c r="CU52" s="109">
        <v>13.4</v>
      </c>
      <c r="CV52" s="109" t="s">
        <v>254</v>
      </c>
      <c r="CW52" s="109">
        <v>0</v>
      </c>
      <c r="CX52" s="109"/>
      <c r="CY52" s="109">
        <v>75.76</v>
      </c>
      <c r="CZ52" s="109" t="s">
        <v>289</v>
      </c>
      <c r="DA52" s="109">
        <f>CY52</f>
        <v>75.76</v>
      </c>
      <c r="DB52" s="109"/>
      <c r="DE52" s="109">
        <v>0</v>
      </c>
      <c r="DF52" s="109" t="s">
        <v>236</v>
      </c>
      <c r="DG52" s="109" t="s">
        <v>221</v>
      </c>
      <c r="DH52" s="109" t="s">
        <v>220</v>
      </c>
      <c r="DI52" s="109">
        <v>9026067267</v>
      </c>
      <c r="DJ52" s="109" t="s">
        <v>222</v>
      </c>
      <c r="DK52" s="109">
        <v>0</v>
      </c>
      <c r="DL52" s="109" t="s">
        <v>226</v>
      </c>
      <c r="DM52" s="109">
        <v>30.3</v>
      </c>
    </row>
    <row r="53" ht="13.8" hidden="1" spans="1:117">
      <c r="A53" s="109">
        <v>2</v>
      </c>
      <c r="B53" s="109" t="s">
        <v>617</v>
      </c>
      <c r="C53" s="109" t="s">
        <v>203</v>
      </c>
      <c r="D53" s="109" t="s">
        <v>225</v>
      </c>
      <c r="E53" s="109" t="s">
        <v>226</v>
      </c>
      <c r="F53" s="110">
        <v>46241</v>
      </c>
      <c r="G53" s="109" t="s">
        <v>240</v>
      </c>
      <c r="H53" s="109" t="s">
        <v>618</v>
      </c>
      <c r="I53" s="109" t="s">
        <v>216</v>
      </c>
      <c r="J53" s="109" t="s">
        <v>217</v>
      </c>
      <c r="K53" s="109" t="s">
        <v>218</v>
      </c>
      <c r="L53" s="109" t="s">
        <v>219</v>
      </c>
      <c r="M53" s="207" t="s">
        <v>242</v>
      </c>
      <c r="N53" s="109" t="s">
        <v>220</v>
      </c>
      <c r="O53" s="109" t="s">
        <v>221</v>
      </c>
      <c r="P53" s="109" t="s">
        <v>243</v>
      </c>
      <c r="Q53" s="109" t="s">
        <v>216</v>
      </c>
      <c r="R53" s="109" t="s">
        <v>217</v>
      </c>
      <c r="S53" s="109" t="s">
        <v>220</v>
      </c>
      <c r="T53" s="109" t="s">
        <v>221</v>
      </c>
      <c r="U53" s="109" t="s">
        <v>216</v>
      </c>
      <c r="V53" s="109" t="s">
        <v>217</v>
      </c>
      <c r="W53" s="109" t="s">
        <v>218</v>
      </c>
      <c r="X53" s="109" t="s">
        <v>219</v>
      </c>
      <c r="Y53" s="109" t="s">
        <v>220</v>
      </c>
      <c r="Z53" s="109" t="s">
        <v>221</v>
      </c>
      <c r="AA53" s="109" t="s">
        <v>222</v>
      </c>
      <c r="AB53" s="109" t="s">
        <v>223</v>
      </c>
      <c r="AC53" s="109" t="s">
        <v>619</v>
      </c>
      <c r="AD53" s="109" t="s">
        <v>620</v>
      </c>
      <c r="AE53" s="109" t="s">
        <v>403</v>
      </c>
      <c r="AF53" s="109" t="s">
        <v>295</v>
      </c>
      <c r="AG53" s="109" t="s">
        <v>621</v>
      </c>
      <c r="AH53" s="109" t="s">
        <v>297</v>
      </c>
      <c r="AI53" s="109" t="s">
        <v>619</v>
      </c>
      <c r="AJ53" s="109" t="s">
        <v>620</v>
      </c>
      <c r="AK53" s="109" t="s">
        <v>621</v>
      </c>
      <c r="AL53" s="109" t="s">
        <v>297</v>
      </c>
      <c r="AM53" s="109" t="s">
        <v>298</v>
      </c>
      <c r="AN53" s="207" t="s">
        <v>622</v>
      </c>
      <c r="AO53" s="109">
        <v>23.4</v>
      </c>
      <c r="AP53" s="109">
        <v>0</v>
      </c>
      <c r="AQ53" s="109">
        <v>3</v>
      </c>
      <c r="AR53" s="109">
        <v>0</v>
      </c>
      <c r="AS53" s="109" t="s">
        <v>252</v>
      </c>
      <c r="AT53" s="109" t="s">
        <v>229</v>
      </c>
      <c r="AU53" s="110">
        <v>46253</v>
      </c>
      <c r="AV53" s="109">
        <v>103.27</v>
      </c>
      <c r="AW53" s="109" t="s">
        <v>230</v>
      </c>
      <c r="AX53" s="109" t="s">
        <v>230</v>
      </c>
      <c r="AY53" s="109">
        <v>1412.09</v>
      </c>
      <c r="AZ53" s="109" t="s">
        <v>232</v>
      </c>
      <c r="BA53" s="109" t="s">
        <v>300</v>
      </c>
      <c r="BB53" s="109">
        <v>103.27</v>
      </c>
      <c r="BC53" s="109">
        <v>90.88</v>
      </c>
      <c r="BD53" s="109">
        <v>103.27</v>
      </c>
      <c r="BE53" s="109">
        <v>12.39</v>
      </c>
      <c r="BF53" s="111">
        <v>0.12</v>
      </c>
      <c r="BG53" s="109">
        <v>0</v>
      </c>
      <c r="BH53" s="109">
        <v>23.4</v>
      </c>
      <c r="BI53" s="109">
        <v>48.2</v>
      </c>
      <c r="BJ53" s="109">
        <v>0</v>
      </c>
      <c r="BK53" s="109">
        <v>17</v>
      </c>
      <c r="BL53" s="109">
        <v>0</v>
      </c>
      <c r="BM53" s="109">
        <v>9.76</v>
      </c>
      <c r="BN53" s="109">
        <v>2.25</v>
      </c>
      <c r="BO53" s="109">
        <v>5.5</v>
      </c>
      <c r="BP53" s="109">
        <v>3.23</v>
      </c>
      <c r="BQ53" s="109">
        <v>0</v>
      </c>
      <c r="BR53" s="109">
        <v>0</v>
      </c>
      <c r="BS53" s="109">
        <v>0</v>
      </c>
      <c r="BT53" s="109">
        <v>0</v>
      </c>
      <c r="BU53" s="109">
        <v>0</v>
      </c>
      <c r="BV53" s="109">
        <v>0</v>
      </c>
      <c r="BW53" s="109">
        <v>0</v>
      </c>
      <c r="BX53" s="109">
        <v>0</v>
      </c>
      <c r="BY53" s="109">
        <v>0</v>
      </c>
      <c r="BZ53" s="109">
        <v>0</v>
      </c>
      <c r="CA53" s="109">
        <v>4.94</v>
      </c>
      <c r="CB53" s="109" t="s">
        <v>225</v>
      </c>
      <c r="CC53" s="109" t="s">
        <v>295</v>
      </c>
      <c r="CD53" s="109">
        <v>372.14</v>
      </c>
      <c r="CE53" s="109">
        <v>0</v>
      </c>
      <c r="CF53" s="109">
        <v>0</v>
      </c>
      <c r="CG53" s="109">
        <v>0</v>
      </c>
      <c r="CH53" s="109">
        <v>0</v>
      </c>
      <c r="CI53" s="109">
        <v>0</v>
      </c>
      <c r="CJ53" s="109">
        <v>0</v>
      </c>
      <c r="CK53" s="109">
        <v>0</v>
      </c>
      <c r="CL53" s="109"/>
      <c r="CM53" s="109"/>
      <c r="CN53" s="109">
        <v>0</v>
      </c>
      <c r="CO53" s="109">
        <v>0</v>
      </c>
      <c r="CP53" s="109">
        <v>0</v>
      </c>
      <c r="CQ53" s="109">
        <v>0</v>
      </c>
      <c r="CR53" s="109">
        <v>0</v>
      </c>
      <c r="CS53" s="109">
        <v>0</v>
      </c>
      <c r="CT53" s="109">
        <v>0</v>
      </c>
      <c r="CU53" s="109">
        <v>12</v>
      </c>
      <c r="CV53" s="109" t="s">
        <v>254</v>
      </c>
      <c r="CW53" s="109">
        <v>0</v>
      </c>
      <c r="CX53" s="109"/>
      <c r="CY53" s="109">
        <v>18</v>
      </c>
      <c r="CZ53" s="109" t="s">
        <v>254</v>
      </c>
      <c r="DA53" s="109">
        <v>0</v>
      </c>
      <c r="DB53" s="109"/>
      <c r="DE53" s="109">
        <v>0</v>
      </c>
      <c r="DF53" s="109" t="s">
        <v>236</v>
      </c>
      <c r="DG53" s="109" t="s">
        <v>221</v>
      </c>
      <c r="DH53" s="109" t="s">
        <v>220</v>
      </c>
      <c r="DI53" s="109">
        <v>9026067267</v>
      </c>
      <c r="DJ53" s="109" t="s">
        <v>222</v>
      </c>
      <c r="DK53" s="109">
        <v>0</v>
      </c>
      <c r="DL53" s="109" t="s">
        <v>226</v>
      </c>
      <c r="DM53" s="109">
        <v>12.39</v>
      </c>
    </row>
    <row r="54" ht="13.8" hidden="1" spans="1:117">
      <c r="A54" s="109">
        <v>2</v>
      </c>
      <c r="B54" s="109" t="s">
        <v>623</v>
      </c>
      <c r="C54" s="109" t="s">
        <v>203</v>
      </c>
      <c r="D54" s="109" t="s">
        <v>225</v>
      </c>
      <c r="E54" s="109" t="s">
        <v>226</v>
      </c>
      <c r="F54" s="110">
        <v>46241</v>
      </c>
      <c r="G54" s="109" t="s">
        <v>240</v>
      </c>
      <c r="H54" s="109" t="s">
        <v>624</v>
      </c>
      <c r="I54" s="109" t="s">
        <v>216</v>
      </c>
      <c r="J54" s="109" t="s">
        <v>217</v>
      </c>
      <c r="K54" s="109" t="s">
        <v>218</v>
      </c>
      <c r="L54" s="109" t="s">
        <v>219</v>
      </c>
      <c r="M54" s="207" t="s">
        <v>242</v>
      </c>
      <c r="N54" s="109" t="s">
        <v>220</v>
      </c>
      <c r="O54" s="109" t="s">
        <v>221</v>
      </c>
      <c r="P54" s="109" t="s">
        <v>243</v>
      </c>
      <c r="Q54" s="109" t="s">
        <v>216</v>
      </c>
      <c r="R54" s="109" t="s">
        <v>217</v>
      </c>
      <c r="S54" s="109" t="s">
        <v>220</v>
      </c>
      <c r="T54" s="109" t="s">
        <v>221</v>
      </c>
      <c r="U54" s="109" t="s">
        <v>216</v>
      </c>
      <c r="V54" s="109" t="s">
        <v>217</v>
      </c>
      <c r="W54" s="109" t="s">
        <v>218</v>
      </c>
      <c r="X54" s="109" t="s">
        <v>219</v>
      </c>
      <c r="Y54" s="109" t="s">
        <v>220</v>
      </c>
      <c r="Z54" s="109" t="s">
        <v>221</v>
      </c>
      <c r="AA54" s="109" t="s">
        <v>222</v>
      </c>
      <c r="AB54" s="109" t="s">
        <v>223</v>
      </c>
      <c r="AC54" s="109" t="s">
        <v>625</v>
      </c>
      <c r="AD54" s="109" t="s">
        <v>626</v>
      </c>
      <c r="AE54" s="109" t="s">
        <v>403</v>
      </c>
      <c r="AF54" s="109" t="s">
        <v>295</v>
      </c>
      <c r="AG54" s="109" t="s">
        <v>621</v>
      </c>
      <c r="AH54" s="109" t="s">
        <v>297</v>
      </c>
      <c r="AI54" s="109" t="s">
        <v>625</v>
      </c>
      <c r="AJ54" s="109" t="s">
        <v>626</v>
      </c>
      <c r="AK54" s="109" t="s">
        <v>621</v>
      </c>
      <c r="AL54" s="109" t="s">
        <v>297</v>
      </c>
      <c r="AM54" s="109" t="s">
        <v>298</v>
      </c>
      <c r="AN54" s="207" t="s">
        <v>627</v>
      </c>
      <c r="AO54" s="109">
        <v>14.81</v>
      </c>
      <c r="AP54" s="109">
        <v>0</v>
      </c>
      <c r="AQ54" s="109">
        <v>1</v>
      </c>
      <c r="AR54" s="109">
        <v>0</v>
      </c>
      <c r="AS54" s="109" t="s">
        <v>252</v>
      </c>
      <c r="AT54" s="109" t="s">
        <v>229</v>
      </c>
      <c r="AU54" s="110">
        <v>46253</v>
      </c>
      <c r="AV54" s="109">
        <v>381.63</v>
      </c>
      <c r="AW54" s="109" t="s">
        <v>230</v>
      </c>
      <c r="AX54" s="109" t="s">
        <v>230</v>
      </c>
      <c r="AY54" s="109">
        <v>2127.43</v>
      </c>
      <c r="AZ54" s="109" t="s">
        <v>232</v>
      </c>
      <c r="BA54" s="109" t="s">
        <v>300</v>
      </c>
      <c r="BB54" s="109">
        <v>381.63</v>
      </c>
      <c r="BC54" s="109">
        <v>335.83</v>
      </c>
      <c r="BD54" s="109">
        <v>381.63</v>
      </c>
      <c r="BE54" s="109">
        <v>45.8</v>
      </c>
      <c r="BF54" s="111">
        <v>0.12</v>
      </c>
      <c r="BG54" s="109">
        <v>0</v>
      </c>
      <c r="BH54" s="109">
        <v>14.81</v>
      </c>
      <c r="BI54" s="109">
        <v>39.7</v>
      </c>
      <c r="BJ54" s="109">
        <v>0</v>
      </c>
      <c r="BK54" s="109">
        <v>17</v>
      </c>
      <c r="BL54" s="109">
        <v>0</v>
      </c>
      <c r="BM54" s="109">
        <v>9.76</v>
      </c>
      <c r="BN54" s="109">
        <v>3.19</v>
      </c>
      <c r="BO54" s="109">
        <v>5.5</v>
      </c>
      <c r="BP54" s="109">
        <v>3.23</v>
      </c>
      <c r="BQ54" s="109">
        <v>0</v>
      </c>
      <c r="BR54" s="109">
        <v>0</v>
      </c>
      <c r="BS54" s="109">
        <v>0</v>
      </c>
      <c r="BT54" s="109">
        <v>0</v>
      </c>
      <c r="BU54" s="109">
        <v>0</v>
      </c>
      <c r="BV54" s="109">
        <v>0</v>
      </c>
      <c r="BW54" s="109">
        <v>0</v>
      </c>
      <c r="BX54" s="109">
        <v>250</v>
      </c>
      <c r="BY54" s="109">
        <v>0</v>
      </c>
      <c r="BZ54" s="109">
        <v>0</v>
      </c>
      <c r="CA54" s="109">
        <v>7.45</v>
      </c>
      <c r="CB54" s="109" t="s">
        <v>225</v>
      </c>
      <c r="CC54" s="109" t="s">
        <v>295</v>
      </c>
      <c r="CD54" s="109">
        <v>379.28</v>
      </c>
      <c r="CE54" s="109">
        <v>0</v>
      </c>
      <c r="CF54" s="109">
        <v>0</v>
      </c>
      <c r="CG54" s="109">
        <v>0</v>
      </c>
      <c r="CH54" s="109">
        <v>0</v>
      </c>
      <c r="CI54" s="109">
        <v>0</v>
      </c>
      <c r="CJ54" s="109">
        <v>0</v>
      </c>
      <c r="CK54" s="109">
        <v>0</v>
      </c>
      <c r="CL54" s="109"/>
      <c r="CM54" s="109"/>
      <c r="CN54" s="109">
        <v>0</v>
      </c>
      <c r="CO54" s="109">
        <v>0</v>
      </c>
      <c r="CP54" s="109">
        <v>0</v>
      </c>
      <c r="CQ54" s="109">
        <v>0</v>
      </c>
      <c r="CR54" s="109">
        <v>0</v>
      </c>
      <c r="CS54" s="109">
        <v>0</v>
      </c>
      <c r="CT54" s="109">
        <v>0</v>
      </c>
      <c r="CU54" s="109">
        <v>12</v>
      </c>
      <c r="CV54" s="109" t="s">
        <v>254</v>
      </c>
      <c r="CW54" s="109">
        <v>0</v>
      </c>
      <c r="CX54" s="109"/>
      <c r="CY54" s="109">
        <v>18</v>
      </c>
      <c r="CZ54" s="109" t="s">
        <v>254</v>
      </c>
      <c r="DA54" s="109">
        <v>0</v>
      </c>
      <c r="DB54" s="109"/>
      <c r="DE54" s="109">
        <v>0</v>
      </c>
      <c r="DF54" s="109" t="s">
        <v>236</v>
      </c>
      <c r="DG54" s="109" t="s">
        <v>221</v>
      </c>
      <c r="DH54" s="109" t="s">
        <v>220</v>
      </c>
      <c r="DI54" s="109">
        <v>9026067267</v>
      </c>
      <c r="DJ54" s="109" t="s">
        <v>222</v>
      </c>
      <c r="DK54" s="109">
        <v>0</v>
      </c>
      <c r="DL54" s="109" t="s">
        <v>226</v>
      </c>
      <c r="DM54" s="109">
        <v>45.8</v>
      </c>
    </row>
    <row r="55" ht="13.8" hidden="1" spans="1:117">
      <c r="A55" s="109">
        <v>2</v>
      </c>
      <c r="B55" s="109" t="s">
        <v>628</v>
      </c>
      <c r="C55" s="109" t="s">
        <v>203</v>
      </c>
      <c r="D55" s="109" t="s">
        <v>225</v>
      </c>
      <c r="E55" s="109" t="s">
        <v>226</v>
      </c>
      <c r="F55" s="110">
        <v>46241</v>
      </c>
      <c r="G55" s="109" t="s">
        <v>240</v>
      </c>
      <c r="H55" s="109" t="s">
        <v>629</v>
      </c>
      <c r="I55" s="109" t="s">
        <v>216</v>
      </c>
      <c r="J55" s="109" t="s">
        <v>217</v>
      </c>
      <c r="K55" s="109" t="s">
        <v>218</v>
      </c>
      <c r="L55" s="109" t="s">
        <v>219</v>
      </c>
      <c r="M55" s="207" t="s">
        <v>242</v>
      </c>
      <c r="N55" s="109" t="s">
        <v>220</v>
      </c>
      <c r="O55" s="109" t="s">
        <v>221</v>
      </c>
      <c r="P55" s="109" t="s">
        <v>243</v>
      </c>
      <c r="Q55" s="109" t="s">
        <v>216</v>
      </c>
      <c r="R55" s="109" t="s">
        <v>217</v>
      </c>
      <c r="S55" s="109" t="s">
        <v>220</v>
      </c>
      <c r="T55" s="109" t="s">
        <v>221</v>
      </c>
      <c r="U55" s="109" t="s">
        <v>216</v>
      </c>
      <c r="V55" s="109" t="s">
        <v>217</v>
      </c>
      <c r="W55" s="109" t="s">
        <v>218</v>
      </c>
      <c r="X55" s="109" t="s">
        <v>219</v>
      </c>
      <c r="Y55" s="109" t="s">
        <v>220</v>
      </c>
      <c r="Z55" s="109" t="s">
        <v>221</v>
      </c>
      <c r="AA55" s="109" t="s">
        <v>222</v>
      </c>
      <c r="AB55" s="109" t="s">
        <v>223</v>
      </c>
      <c r="AC55" s="109" t="s">
        <v>630</v>
      </c>
      <c r="AD55" s="109" t="s">
        <v>631</v>
      </c>
      <c r="AE55" s="109" t="s">
        <v>403</v>
      </c>
      <c r="AF55" s="109" t="s">
        <v>295</v>
      </c>
      <c r="AG55" s="109" t="s">
        <v>621</v>
      </c>
      <c r="AH55" s="109" t="s">
        <v>297</v>
      </c>
      <c r="AI55" s="109" t="s">
        <v>630</v>
      </c>
      <c r="AJ55" s="109" t="s">
        <v>631</v>
      </c>
      <c r="AK55" s="109" t="s">
        <v>621</v>
      </c>
      <c r="AL55" s="109" t="s">
        <v>297</v>
      </c>
      <c r="AM55" s="109" t="s">
        <v>298</v>
      </c>
      <c r="AN55" s="207" t="s">
        <v>632</v>
      </c>
      <c r="AO55" s="109">
        <v>39.5</v>
      </c>
      <c r="AP55" s="109">
        <v>0</v>
      </c>
      <c r="AQ55" s="109">
        <v>6</v>
      </c>
      <c r="AR55" s="109">
        <v>0</v>
      </c>
      <c r="AS55" s="109" t="s">
        <v>252</v>
      </c>
      <c r="AT55" s="109" t="s">
        <v>229</v>
      </c>
      <c r="AU55" s="110">
        <v>46253</v>
      </c>
      <c r="AV55" s="109">
        <v>113.61</v>
      </c>
      <c r="AW55" s="109" t="s">
        <v>230</v>
      </c>
      <c r="AX55" s="109" t="s">
        <v>230</v>
      </c>
      <c r="AY55" s="109">
        <v>1537.29</v>
      </c>
      <c r="AZ55" s="109" t="s">
        <v>232</v>
      </c>
      <c r="BA55" s="109" t="s">
        <v>300</v>
      </c>
      <c r="BB55" s="109">
        <v>113.61</v>
      </c>
      <c r="BC55" s="109">
        <v>99.98</v>
      </c>
      <c r="BD55" s="109">
        <v>113.61</v>
      </c>
      <c r="BE55" s="109">
        <v>13.63</v>
      </c>
      <c r="BF55" s="111">
        <v>0.12</v>
      </c>
      <c r="BG55" s="109">
        <v>0</v>
      </c>
      <c r="BH55" s="109">
        <v>39.5</v>
      </c>
      <c r="BI55" s="109">
        <v>56.8</v>
      </c>
      <c r="BJ55" s="109">
        <v>0</v>
      </c>
      <c r="BK55" s="109">
        <v>17</v>
      </c>
      <c r="BL55" s="109">
        <v>0</v>
      </c>
      <c r="BM55" s="109">
        <v>9.76</v>
      </c>
      <c r="BN55" s="109">
        <v>2.31</v>
      </c>
      <c r="BO55" s="109">
        <v>5.5</v>
      </c>
      <c r="BP55" s="109">
        <v>3.23</v>
      </c>
      <c r="BQ55" s="109">
        <v>0</v>
      </c>
      <c r="BR55" s="109">
        <v>0</v>
      </c>
      <c r="BS55" s="109">
        <v>0</v>
      </c>
      <c r="BT55" s="109">
        <v>0</v>
      </c>
      <c r="BU55" s="109">
        <v>0</v>
      </c>
      <c r="BV55" s="109">
        <v>0</v>
      </c>
      <c r="BW55" s="109">
        <v>0</v>
      </c>
      <c r="BX55" s="109">
        <v>0</v>
      </c>
      <c r="BY55" s="109">
        <v>0</v>
      </c>
      <c r="BZ55" s="109">
        <v>0</v>
      </c>
      <c r="CA55" s="109">
        <v>5.38</v>
      </c>
      <c r="CB55" s="109" t="s">
        <v>225</v>
      </c>
      <c r="CC55" s="109" t="s">
        <v>295</v>
      </c>
      <c r="CD55" s="109">
        <v>373.35</v>
      </c>
      <c r="CE55" s="109">
        <v>0</v>
      </c>
      <c r="CF55" s="109">
        <v>0</v>
      </c>
      <c r="CG55" s="109">
        <v>0</v>
      </c>
      <c r="CH55" s="109">
        <v>0</v>
      </c>
      <c r="CI55" s="109">
        <v>0</v>
      </c>
      <c r="CJ55" s="109">
        <v>0</v>
      </c>
      <c r="CK55" s="109">
        <v>0</v>
      </c>
      <c r="CL55" s="109"/>
      <c r="CM55" s="109"/>
      <c r="CN55" s="109">
        <v>0</v>
      </c>
      <c r="CO55" s="109">
        <v>0</v>
      </c>
      <c r="CP55" s="109">
        <v>0</v>
      </c>
      <c r="CQ55" s="109">
        <v>0</v>
      </c>
      <c r="CR55" s="109">
        <v>0</v>
      </c>
      <c r="CS55" s="109">
        <v>0</v>
      </c>
      <c r="CT55" s="109">
        <v>0</v>
      </c>
      <c r="CU55" s="109">
        <v>12</v>
      </c>
      <c r="CV55" s="109" t="s">
        <v>254</v>
      </c>
      <c r="CW55" s="109">
        <v>0</v>
      </c>
      <c r="CX55" s="109"/>
      <c r="CY55" s="109">
        <v>18</v>
      </c>
      <c r="CZ55" s="109" t="s">
        <v>254</v>
      </c>
      <c r="DA55" s="109">
        <v>0</v>
      </c>
      <c r="DB55" s="109"/>
      <c r="DE55" s="109">
        <v>0</v>
      </c>
      <c r="DF55" s="109" t="s">
        <v>236</v>
      </c>
      <c r="DG55" s="109" t="s">
        <v>221</v>
      </c>
      <c r="DH55" s="109" t="s">
        <v>220</v>
      </c>
      <c r="DI55" s="109">
        <v>9026067267</v>
      </c>
      <c r="DJ55" s="109" t="s">
        <v>222</v>
      </c>
      <c r="DK55" s="109">
        <v>0</v>
      </c>
      <c r="DL55" s="109" t="s">
        <v>226</v>
      </c>
      <c r="DM55" s="109">
        <v>13.63</v>
      </c>
    </row>
    <row r="56" ht="13.8" hidden="1" spans="1:117">
      <c r="A56" s="109">
        <v>2</v>
      </c>
      <c r="B56" s="109" t="s">
        <v>633</v>
      </c>
      <c r="C56" s="109" t="s">
        <v>203</v>
      </c>
      <c r="D56" s="109" t="s">
        <v>225</v>
      </c>
      <c r="E56" s="109" t="s">
        <v>226</v>
      </c>
      <c r="F56" s="110">
        <v>46244</v>
      </c>
      <c r="G56" s="109" t="s">
        <v>240</v>
      </c>
      <c r="H56" s="109" t="s">
        <v>634</v>
      </c>
      <c r="I56" s="109" t="s">
        <v>216</v>
      </c>
      <c r="J56" s="109" t="s">
        <v>217</v>
      </c>
      <c r="K56" s="109" t="s">
        <v>218</v>
      </c>
      <c r="L56" s="109" t="s">
        <v>219</v>
      </c>
      <c r="M56" s="207" t="s">
        <v>242</v>
      </c>
      <c r="N56" s="109" t="s">
        <v>220</v>
      </c>
      <c r="O56" s="109" t="s">
        <v>221</v>
      </c>
      <c r="P56" s="109" t="s">
        <v>243</v>
      </c>
      <c r="Q56" s="109" t="s">
        <v>216</v>
      </c>
      <c r="R56" s="109" t="s">
        <v>217</v>
      </c>
      <c r="S56" s="109" t="s">
        <v>220</v>
      </c>
      <c r="T56" s="109" t="s">
        <v>221</v>
      </c>
      <c r="U56" s="109" t="s">
        <v>216</v>
      </c>
      <c r="V56" s="109" t="s">
        <v>217</v>
      </c>
      <c r="W56" s="109" t="s">
        <v>218</v>
      </c>
      <c r="X56" s="109" t="s">
        <v>219</v>
      </c>
      <c r="Y56" s="109" t="s">
        <v>220</v>
      </c>
      <c r="Z56" s="109" t="s">
        <v>221</v>
      </c>
      <c r="AA56" s="109" t="s">
        <v>222</v>
      </c>
      <c r="AB56" s="109" t="s">
        <v>223</v>
      </c>
      <c r="AC56" s="109" t="s">
        <v>635</v>
      </c>
      <c r="AD56" s="109" t="s">
        <v>636</v>
      </c>
      <c r="AE56" s="109" t="s">
        <v>259</v>
      </c>
      <c r="AF56" s="109" t="s">
        <v>247</v>
      </c>
      <c r="AG56" s="109" t="s">
        <v>260</v>
      </c>
      <c r="AH56" s="109" t="s">
        <v>249</v>
      </c>
      <c r="AI56" s="109" t="s">
        <v>635</v>
      </c>
      <c r="AJ56" s="109" t="s">
        <v>636</v>
      </c>
      <c r="AK56" s="109" t="s">
        <v>260</v>
      </c>
      <c r="AL56" s="109" t="s">
        <v>249</v>
      </c>
      <c r="AM56" s="109" t="s">
        <v>250</v>
      </c>
      <c r="AN56" s="207" t="s">
        <v>637</v>
      </c>
      <c r="AO56" s="109">
        <v>131.9</v>
      </c>
      <c r="AP56" s="109">
        <v>0</v>
      </c>
      <c r="AQ56" s="109">
        <v>16</v>
      </c>
      <c r="AR56" s="109">
        <v>0</v>
      </c>
      <c r="AS56" s="109" t="s">
        <v>252</v>
      </c>
      <c r="AT56" s="109" t="s">
        <v>229</v>
      </c>
      <c r="AU56" s="110">
        <v>46260</v>
      </c>
      <c r="AV56" s="109">
        <v>202.18</v>
      </c>
      <c r="AW56" s="109" t="s">
        <v>230</v>
      </c>
      <c r="AX56" s="109" t="s">
        <v>230</v>
      </c>
      <c r="AY56" s="109">
        <v>3643.03</v>
      </c>
      <c r="AZ56" s="109" t="s">
        <v>232</v>
      </c>
      <c r="BA56" s="109" t="s">
        <v>253</v>
      </c>
      <c r="BB56" s="109">
        <v>202.18</v>
      </c>
      <c r="BC56" s="109">
        <v>177.92</v>
      </c>
      <c r="BD56" s="109">
        <v>202.18</v>
      </c>
      <c r="BE56" s="109">
        <v>24.26</v>
      </c>
      <c r="BF56" s="111">
        <v>0.12</v>
      </c>
      <c r="BG56" s="109">
        <v>0</v>
      </c>
      <c r="BH56" s="109">
        <v>131.9</v>
      </c>
      <c r="BI56" s="109">
        <v>118.72</v>
      </c>
      <c r="BJ56" s="109">
        <v>0</v>
      </c>
      <c r="BK56" s="109">
        <v>17</v>
      </c>
      <c r="BL56" s="109">
        <v>0</v>
      </c>
      <c r="BM56" s="109">
        <v>9.76</v>
      </c>
      <c r="BN56" s="109">
        <v>5.46</v>
      </c>
      <c r="BO56" s="109">
        <v>11</v>
      </c>
      <c r="BP56" s="109">
        <v>3.23</v>
      </c>
      <c r="BQ56" s="109">
        <v>0</v>
      </c>
      <c r="BR56" s="109">
        <v>0</v>
      </c>
      <c r="BS56" s="109">
        <v>0</v>
      </c>
      <c r="BT56" s="109">
        <v>0</v>
      </c>
      <c r="BU56" s="109">
        <v>0</v>
      </c>
      <c r="BV56" s="109">
        <v>0</v>
      </c>
      <c r="BW56" s="109">
        <v>0</v>
      </c>
      <c r="BX56" s="109">
        <v>0</v>
      </c>
      <c r="BY56" s="109">
        <v>0</v>
      </c>
      <c r="BZ56" s="109">
        <v>0</v>
      </c>
      <c r="CA56" s="109">
        <v>12.75</v>
      </c>
      <c r="CB56" s="109" t="s">
        <v>225</v>
      </c>
      <c r="CC56" s="109" t="s">
        <v>247</v>
      </c>
      <c r="CD56" s="109">
        <v>397.37</v>
      </c>
      <c r="CE56" s="109">
        <v>0</v>
      </c>
      <c r="CF56" s="109">
        <v>0</v>
      </c>
      <c r="CG56" s="109">
        <v>0</v>
      </c>
      <c r="CH56" s="109">
        <v>0</v>
      </c>
      <c r="CI56" s="109">
        <v>0</v>
      </c>
      <c r="CJ56" s="109">
        <v>0</v>
      </c>
      <c r="CK56" s="109">
        <v>0</v>
      </c>
      <c r="CL56" s="109"/>
      <c r="CM56" s="109"/>
      <c r="CN56" s="109">
        <v>0</v>
      </c>
      <c r="CO56" s="109">
        <v>0</v>
      </c>
      <c r="CP56" s="109">
        <v>0</v>
      </c>
      <c r="CQ56" s="109">
        <v>0</v>
      </c>
      <c r="CR56" s="109">
        <v>0</v>
      </c>
      <c r="CS56" s="109">
        <v>0</v>
      </c>
      <c r="CT56" s="109">
        <v>0</v>
      </c>
      <c r="CU56" s="109">
        <v>19.79</v>
      </c>
      <c r="CV56" s="109" t="s">
        <v>254</v>
      </c>
      <c r="CW56" s="109">
        <v>0</v>
      </c>
      <c r="CX56" s="109"/>
      <c r="CY56" s="109">
        <v>23.74</v>
      </c>
      <c r="CZ56" s="109" t="s">
        <v>254</v>
      </c>
      <c r="DA56" s="109">
        <v>0</v>
      </c>
      <c r="DB56" s="109"/>
      <c r="DE56" s="109">
        <v>0</v>
      </c>
      <c r="DF56" s="109" t="s">
        <v>236</v>
      </c>
      <c r="DG56" s="109" t="s">
        <v>221</v>
      </c>
      <c r="DH56" s="109" t="s">
        <v>220</v>
      </c>
      <c r="DI56" s="109">
        <v>9026067267</v>
      </c>
      <c r="DJ56" s="109" t="s">
        <v>222</v>
      </c>
      <c r="DK56" s="109">
        <v>0</v>
      </c>
      <c r="DL56" s="109" t="s">
        <v>226</v>
      </c>
      <c r="DM56" s="109">
        <v>24.26</v>
      </c>
    </row>
    <row r="57" ht="13.8" hidden="1" spans="1:117">
      <c r="A57" s="109">
        <v>2</v>
      </c>
      <c r="B57" s="109" t="s">
        <v>638</v>
      </c>
      <c r="C57" s="109" t="s">
        <v>203</v>
      </c>
      <c r="D57" s="109" t="s">
        <v>225</v>
      </c>
      <c r="E57" s="109" t="s">
        <v>226</v>
      </c>
      <c r="F57" s="110">
        <v>46244</v>
      </c>
      <c r="G57" s="109" t="s">
        <v>240</v>
      </c>
      <c r="H57" s="109" t="s">
        <v>639</v>
      </c>
      <c r="I57" s="109" t="s">
        <v>216</v>
      </c>
      <c r="J57" s="109" t="s">
        <v>217</v>
      </c>
      <c r="K57" s="109" t="s">
        <v>218</v>
      </c>
      <c r="L57" s="109" t="s">
        <v>219</v>
      </c>
      <c r="M57" s="207" t="s">
        <v>242</v>
      </c>
      <c r="N57" s="109" t="s">
        <v>220</v>
      </c>
      <c r="O57" s="109" t="s">
        <v>221</v>
      </c>
      <c r="P57" s="109" t="s">
        <v>243</v>
      </c>
      <c r="Q57" s="109" t="s">
        <v>216</v>
      </c>
      <c r="R57" s="109" t="s">
        <v>217</v>
      </c>
      <c r="S57" s="109" t="s">
        <v>220</v>
      </c>
      <c r="T57" s="109" t="s">
        <v>221</v>
      </c>
      <c r="U57" s="109" t="s">
        <v>216</v>
      </c>
      <c r="V57" s="109" t="s">
        <v>217</v>
      </c>
      <c r="W57" s="109" t="s">
        <v>218</v>
      </c>
      <c r="X57" s="109" t="s">
        <v>219</v>
      </c>
      <c r="Y57" s="109" t="s">
        <v>220</v>
      </c>
      <c r="Z57" s="109" t="s">
        <v>221</v>
      </c>
      <c r="AA57" s="109" t="s">
        <v>222</v>
      </c>
      <c r="AB57" s="109" t="s">
        <v>223</v>
      </c>
      <c r="AC57" s="109" t="s">
        <v>640</v>
      </c>
      <c r="AD57" s="109" t="s">
        <v>641</v>
      </c>
      <c r="AE57" s="109" t="s">
        <v>246</v>
      </c>
      <c r="AF57" s="109" t="s">
        <v>247</v>
      </c>
      <c r="AG57" s="109" t="s">
        <v>248</v>
      </c>
      <c r="AH57" s="109" t="s">
        <v>249</v>
      </c>
      <c r="AI57" s="109" t="s">
        <v>640</v>
      </c>
      <c r="AJ57" s="109" t="s">
        <v>641</v>
      </c>
      <c r="AK57" s="109" t="s">
        <v>248</v>
      </c>
      <c r="AL57" s="109" t="s">
        <v>249</v>
      </c>
      <c r="AM57" s="109" t="s">
        <v>250</v>
      </c>
      <c r="AN57" s="207" t="s">
        <v>642</v>
      </c>
      <c r="AO57" s="109">
        <v>146.45</v>
      </c>
      <c r="AP57" s="109">
        <v>0</v>
      </c>
      <c r="AQ57" s="109">
        <v>14</v>
      </c>
      <c r="AR57" s="109">
        <v>0</v>
      </c>
      <c r="AS57" s="109" t="s">
        <v>252</v>
      </c>
      <c r="AT57" s="109" t="s">
        <v>229</v>
      </c>
      <c r="AU57" s="110">
        <v>46260</v>
      </c>
      <c r="AV57" s="109">
        <v>223.57</v>
      </c>
      <c r="AW57" s="109" t="s">
        <v>230</v>
      </c>
      <c r="AX57" s="109" t="s">
        <v>230</v>
      </c>
      <c r="AY57" s="109">
        <v>4786.75</v>
      </c>
      <c r="AZ57" s="109" t="s">
        <v>232</v>
      </c>
      <c r="BA57" s="109" t="s">
        <v>253</v>
      </c>
      <c r="BB57" s="109">
        <v>223.57</v>
      </c>
      <c r="BC57" s="109">
        <v>196.74</v>
      </c>
      <c r="BD57" s="109">
        <v>223.57</v>
      </c>
      <c r="BE57" s="109">
        <v>26.83</v>
      </c>
      <c r="BF57" s="111">
        <v>0.12</v>
      </c>
      <c r="BG57" s="109">
        <v>0</v>
      </c>
      <c r="BH57" s="109">
        <v>146.45</v>
      </c>
      <c r="BI57" s="109">
        <v>131.82</v>
      </c>
      <c r="BJ57" s="109">
        <v>0</v>
      </c>
      <c r="BK57" s="109">
        <v>17</v>
      </c>
      <c r="BL57" s="109">
        <v>0</v>
      </c>
      <c r="BM57" s="109">
        <v>9.76</v>
      </c>
      <c r="BN57" s="109">
        <v>7.18</v>
      </c>
      <c r="BO57" s="109">
        <v>11</v>
      </c>
      <c r="BP57" s="109">
        <v>3.23</v>
      </c>
      <c r="BQ57" s="109">
        <v>0</v>
      </c>
      <c r="BR57" s="109">
        <v>0</v>
      </c>
      <c r="BS57" s="109">
        <v>0</v>
      </c>
      <c r="BT57" s="109">
        <v>0</v>
      </c>
      <c r="BU57" s="109">
        <v>0</v>
      </c>
      <c r="BV57" s="109">
        <v>0</v>
      </c>
      <c r="BW57" s="109">
        <v>0</v>
      </c>
      <c r="BX57" s="109">
        <v>0</v>
      </c>
      <c r="BY57" s="109">
        <v>0</v>
      </c>
      <c r="BZ57" s="109">
        <v>0</v>
      </c>
      <c r="CA57" s="109">
        <v>16.75</v>
      </c>
      <c r="CB57" s="109" t="s">
        <v>225</v>
      </c>
      <c r="CC57" s="109" t="s">
        <v>247</v>
      </c>
      <c r="CD57" s="109">
        <v>412.26</v>
      </c>
      <c r="CE57" s="109">
        <v>0</v>
      </c>
      <c r="CF57" s="109">
        <v>0</v>
      </c>
      <c r="CG57" s="109">
        <v>0</v>
      </c>
      <c r="CH57" s="109">
        <v>0</v>
      </c>
      <c r="CI57" s="109">
        <v>0</v>
      </c>
      <c r="CJ57" s="109">
        <v>0</v>
      </c>
      <c r="CK57" s="109">
        <v>0</v>
      </c>
      <c r="CL57" s="109"/>
      <c r="CM57" s="109"/>
      <c r="CN57" s="109">
        <v>0</v>
      </c>
      <c r="CO57" s="109">
        <v>0</v>
      </c>
      <c r="CP57" s="109">
        <v>0</v>
      </c>
      <c r="CQ57" s="109">
        <v>0</v>
      </c>
      <c r="CR57" s="109">
        <v>0</v>
      </c>
      <c r="CS57" s="109">
        <v>0</v>
      </c>
      <c r="CT57" s="109">
        <v>0</v>
      </c>
      <c r="CU57" s="109">
        <v>21.97</v>
      </c>
      <c r="CV57" s="109" t="s">
        <v>254</v>
      </c>
      <c r="CW57" s="109">
        <v>0</v>
      </c>
      <c r="CX57" s="109"/>
      <c r="CY57" s="109">
        <v>26.36</v>
      </c>
      <c r="CZ57" s="109" t="s">
        <v>254</v>
      </c>
      <c r="DA57" s="109">
        <v>0</v>
      </c>
      <c r="DB57" s="109"/>
      <c r="DE57" s="109">
        <v>0</v>
      </c>
      <c r="DF57" s="109" t="s">
        <v>236</v>
      </c>
      <c r="DG57" s="109" t="s">
        <v>221</v>
      </c>
      <c r="DH57" s="109" t="s">
        <v>220</v>
      </c>
      <c r="DI57" s="109">
        <v>9026067267</v>
      </c>
      <c r="DJ57" s="109" t="s">
        <v>222</v>
      </c>
      <c r="DK57" s="109">
        <v>0</v>
      </c>
      <c r="DL57" s="109" t="s">
        <v>226</v>
      </c>
      <c r="DM57" s="109">
        <v>26.83</v>
      </c>
    </row>
    <row r="58" ht="13.8" hidden="1" spans="1:117">
      <c r="A58" s="109">
        <v>2</v>
      </c>
      <c r="B58" s="109" t="s">
        <v>643</v>
      </c>
      <c r="C58" s="109" t="s">
        <v>203</v>
      </c>
      <c r="D58" s="109" t="s">
        <v>225</v>
      </c>
      <c r="E58" s="109" t="s">
        <v>226</v>
      </c>
      <c r="F58" s="110">
        <v>46244</v>
      </c>
      <c r="G58" s="109" t="s">
        <v>240</v>
      </c>
      <c r="H58" s="109" t="s">
        <v>644</v>
      </c>
      <c r="I58" s="109" t="s">
        <v>216</v>
      </c>
      <c r="J58" s="109" t="s">
        <v>217</v>
      </c>
      <c r="K58" s="109" t="s">
        <v>218</v>
      </c>
      <c r="L58" s="109" t="s">
        <v>219</v>
      </c>
      <c r="M58" s="207" t="s">
        <v>242</v>
      </c>
      <c r="N58" s="109" t="s">
        <v>220</v>
      </c>
      <c r="O58" s="109" t="s">
        <v>221</v>
      </c>
      <c r="P58" s="109" t="s">
        <v>243</v>
      </c>
      <c r="Q58" s="109" t="s">
        <v>216</v>
      </c>
      <c r="R58" s="109" t="s">
        <v>217</v>
      </c>
      <c r="S58" s="109" t="s">
        <v>220</v>
      </c>
      <c r="T58" s="109" t="s">
        <v>221</v>
      </c>
      <c r="U58" s="109" t="s">
        <v>216</v>
      </c>
      <c r="V58" s="109" t="s">
        <v>217</v>
      </c>
      <c r="W58" s="109" t="s">
        <v>218</v>
      </c>
      <c r="X58" s="109" t="s">
        <v>219</v>
      </c>
      <c r="Y58" s="109" t="s">
        <v>220</v>
      </c>
      <c r="Z58" s="109" t="s">
        <v>221</v>
      </c>
      <c r="AA58" s="109" t="s">
        <v>222</v>
      </c>
      <c r="AB58" s="109" t="s">
        <v>223</v>
      </c>
      <c r="AC58" s="109" t="s">
        <v>645</v>
      </c>
      <c r="AD58" s="109" t="s">
        <v>416</v>
      </c>
      <c r="AE58" s="109">
        <v>134</v>
      </c>
      <c r="AF58" s="109" t="s">
        <v>364</v>
      </c>
      <c r="AG58" s="109" t="s">
        <v>646</v>
      </c>
      <c r="AH58" s="109" t="s">
        <v>297</v>
      </c>
      <c r="AI58" s="109" t="s">
        <v>645</v>
      </c>
      <c r="AJ58" s="109" t="s">
        <v>416</v>
      </c>
      <c r="AK58" s="109" t="s">
        <v>646</v>
      </c>
      <c r="AL58" s="109" t="s">
        <v>297</v>
      </c>
      <c r="AM58" s="109" t="s">
        <v>366</v>
      </c>
      <c r="AN58" s="207" t="s">
        <v>647</v>
      </c>
      <c r="AO58" s="109">
        <v>55.15</v>
      </c>
      <c r="AP58" s="109">
        <v>0</v>
      </c>
      <c r="AQ58" s="109">
        <v>7</v>
      </c>
      <c r="AR58" s="109">
        <v>0</v>
      </c>
      <c r="AS58" s="109" t="s">
        <v>252</v>
      </c>
      <c r="AT58" s="109" t="s">
        <v>229</v>
      </c>
      <c r="AU58" s="110">
        <v>46260</v>
      </c>
      <c r="AV58" s="109">
        <v>451.55</v>
      </c>
      <c r="AW58" s="109" t="s">
        <v>230</v>
      </c>
      <c r="AX58" s="109" t="s">
        <v>230</v>
      </c>
      <c r="AY58" s="109">
        <v>1955.67</v>
      </c>
      <c r="AZ58" s="109" t="s">
        <v>232</v>
      </c>
      <c r="BA58" s="109" t="s">
        <v>557</v>
      </c>
      <c r="BB58" s="109">
        <v>451.55</v>
      </c>
      <c r="BC58" s="109">
        <v>397.36</v>
      </c>
      <c r="BD58" s="109">
        <v>451.55</v>
      </c>
      <c r="BE58" s="109">
        <v>54.19</v>
      </c>
      <c r="BF58" s="111">
        <v>0.12</v>
      </c>
      <c r="BG58" s="109">
        <v>0</v>
      </c>
      <c r="BH58" s="109">
        <v>55.15</v>
      </c>
      <c r="BI58" s="109">
        <v>102.1</v>
      </c>
      <c r="BJ58" s="109">
        <v>0</v>
      </c>
      <c r="BK58" s="109">
        <v>17</v>
      </c>
      <c r="BL58" s="109">
        <v>0</v>
      </c>
      <c r="BM58" s="109">
        <v>9.76</v>
      </c>
      <c r="BN58" s="109">
        <v>2.93</v>
      </c>
      <c r="BO58" s="109">
        <v>5.5</v>
      </c>
      <c r="BP58" s="109">
        <v>3.23</v>
      </c>
      <c r="BQ58" s="109">
        <v>0</v>
      </c>
      <c r="BR58" s="109">
        <v>0</v>
      </c>
      <c r="BS58" s="109">
        <v>0</v>
      </c>
      <c r="BT58" s="109">
        <v>0</v>
      </c>
      <c r="BU58" s="109">
        <v>0</v>
      </c>
      <c r="BV58" s="109">
        <v>0</v>
      </c>
      <c r="BW58" s="109">
        <v>0</v>
      </c>
      <c r="BX58" s="109">
        <v>250</v>
      </c>
      <c r="BY58" s="109">
        <v>0</v>
      </c>
      <c r="BZ58" s="109">
        <v>0</v>
      </c>
      <c r="CA58" s="109">
        <v>6.84</v>
      </c>
      <c r="CB58" s="109" t="s">
        <v>225</v>
      </c>
      <c r="CC58" s="109" t="s">
        <v>558</v>
      </c>
      <c r="CD58" s="109">
        <v>377.55</v>
      </c>
      <c r="CE58" s="109">
        <v>0</v>
      </c>
      <c r="CF58" s="109">
        <v>0</v>
      </c>
      <c r="CG58" s="109">
        <v>0</v>
      </c>
      <c r="CH58" s="109">
        <v>0</v>
      </c>
      <c r="CI58" s="109">
        <v>0</v>
      </c>
      <c r="CJ58" s="109">
        <v>0</v>
      </c>
      <c r="CK58" s="109">
        <v>0</v>
      </c>
      <c r="CL58" s="109"/>
      <c r="CM58" s="109"/>
      <c r="CN58" s="109">
        <v>0</v>
      </c>
      <c r="CO58" s="109">
        <v>0</v>
      </c>
      <c r="CP58" s="109">
        <v>0</v>
      </c>
      <c r="CQ58" s="109">
        <v>0</v>
      </c>
      <c r="CR58" s="109">
        <v>0</v>
      </c>
      <c r="CS58" s="109">
        <v>0</v>
      </c>
      <c r="CT58" s="109">
        <v>0</v>
      </c>
      <c r="CU58" s="109">
        <v>12</v>
      </c>
      <c r="CV58" s="109" t="s">
        <v>254</v>
      </c>
      <c r="CW58" s="109">
        <v>0</v>
      </c>
      <c r="CX58" s="109"/>
      <c r="CY58" s="109">
        <v>225.5</v>
      </c>
      <c r="CZ58" s="109" t="s">
        <v>235</v>
      </c>
      <c r="DA58" s="109">
        <f>CY58</f>
        <v>225.5</v>
      </c>
      <c r="DB58" s="109"/>
      <c r="DE58" s="109">
        <v>0</v>
      </c>
      <c r="DF58" s="109" t="s">
        <v>236</v>
      </c>
      <c r="DG58" s="109" t="s">
        <v>221</v>
      </c>
      <c r="DH58" s="109" t="s">
        <v>220</v>
      </c>
      <c r="DI58" s="109">
        <v>9026067267</v>
      </c>
      <c r="DJ58" s="109" t="s">
        <v>222</v>
      </c>
      <c r="DK58" s="109">
        <v>0</v>
      </c>
      <c r="DL58" s="109" t="s">
        <v>226</v>
      </c>
      <c r="DM58" s="109">
        <v>54.19</v>
      </c>
    </row>
    <row r="59" ht="13.8" hidden="1" spans="1:117">
      <c r="A59" s="109">
        <v>2</v>
      </c>
      <c r="B59" s="109" t="s">
        <v>648</v>
      </c>
      <c r="C59" s="109" t="s">
        <v>203</v>
      </c>
      <c r="D59" s="109" t="s">
        <v>225</v>
      </c>
      <c r="E59" s="109" t="s">
        <v>226</v>
      </c>
      <c r="F59" s="110">
        <v>46244</v>
      </c>
      <c r="G59" s="109" t="s">
        <v>240</v>
      </c>
      <c r="H59" s="109" t="s">
        <v>649</v>
      </c>
      <c r="I59" s="109" t="s">
        <v>216</v>
      </c>
      <c r="J59" s="109" t="s">
        <v>217</v>
      </c>
      <c r="K59" s="109" t="s">
        <v>218</v>
      </c>
      <c r="L59" s="109" t="s">
        <v>219</v>
      </c>
      <c r="M59" s="207" t="s">
        <v>242</v>
      </c>
      <c r="N59" s="109" t="s">
        <v>220</v>
      </c>
      <c r="O59" s="109" t="s">
        <v>221</v>
      </c>
      <c r="P59" s="109" t="s">
        <v>243</v>
      </c>
      <c r="Q59" s="109" t="s">
        <v>216</v>
      </c>
      <c r="R59" s="109" t="s">
        <v>217</v>
      </c>
      <c r="S59" s="109" t="s">
        <v>220</v>
      </c>
      <c r="T59" s="109" t="s">
        <v>221</v>
      </c>
      <c r="U59" s="109" t="s">
        <v>216</v>
      </c>
      <c r="V59" s="109" t="s">
        <v>217</v>
      </c>
      <c r="W59" s="109" t="s">
        <v>218</v>
      </c>
      <c r="X59" s="109" t="s">
        <v>219</v>
      </c>
      <c r="Y59" s="109" t="s">
        <v>220</v>
      </c>
      <c r="Z59" s="109" t="s">
        <v>221</v>
      </c>
      <c r="AA59" s="109" t="s">
        <v>222</v>
      </c>
      <c r="AB59" s="109" t="s">
        <v>223</v>
      </c>
      <c r="AC59" s="109" t="s">
        <v>650</v>
      </c>
      <c r="AD59" s="109" t="s">
        <v>651</v>
      </c>
      <c r="AE59" s="109">
        <v>132</v>
      </c>
      <c r="AF59" s="109" t="s">
        <v>652</v>
      </c>
      <c r="AG59" s="109" t="s">
        <v>653</v>
      </c>
      <c r="AH59" s="109" t="s">
        <v>297</v>
      </c>
      <c r="AI59" s="109" t="s">
        <v>650</v>
      </c>
      <c r="AJ59" s="109" t="s">
        <v>651</v>
      </c>
      <c r="AK59" s="109" t="s">
        <v>653</v>
      </c>
      <c r="AL59" s="109" t="s">
        <v>297</v>
      </c>
      <c r="AM59" s="109" t="s">
        <v>366</v>
      </c>
      <c r="AN59" s="207" t="s">
        <v>654</v>
      </c>
      <c r="AO59" s="109">
        <v>41.981</v>
      </c>
      <c r="AP59" s="109">
        <v>0</v>
      </c>
      <c r="AQ59" s="109">
        <v>6</v>
      </c>
      <c r="AR59" s="109">
        <v>0</v>
      </c>
      <c r="AS59" s="109" t="s">
        <v>252</v>
      </c>
      <c r="AT59" s="109" t="s">
        <v>229</v>
      </c>
      <c r="AU59" s="110">
        <v>46260</v>
      </c>
      <c r="AV59" s="109">
        <v>294.75</v>
      </c>
      <c r="AW59" s="109" t="s">
        <v>230</v>
      </c>
      <c r="AX59" s="109" t="s">
        <v>231</v>
      </c>
      <c r="AY59" s="109">
        <v>1782</v>
      </c>
      <c r="AZ59" s="109" t="s">
        <v>232</v>
      </c>
      <c r="BA59" s="109" t="s">
        <v>368</v>
      </c>
      <c r="BB59" s="109">
        <v>294.75</v>
      </c>
      <c r="BC59" s="109">
        <v>259.38</v>
      </c>
      <c r="BD59" s="109">
        <v>294.75</v>
      </c>
      <c r="BE59" s="109">
        <v>35.37</v>
      </c>
      <c r="BF59" s="111">
        <v>0.12</v>
      </c>
      <c r="BG59" s="109">
        <v>0</v>
      </c>
      <c r="BH59" s="109">
        <v>41.981</v>
      </c>
      <c r="BI59" s="109">
        <v>97.98</v>
      </c>
      <c r="BJ59" s="109">
        <v>0</v>
      </c>
      <c r="BK59" s="109">
        <v>17</v>
      </c>
      <c r="BL59" s="109">
        <v>0</v>
      </c>
      <c r="BM59" s="109">
        <v>9.76</v>
      </c>
      <c r="BN59" s="109">
        <v>2.67</v>
      </c>
      <c r="BO59" s="109">
        <v>5.5</v>
      </c>
      <c r="BP59" s="109">
        <v>3.23</v>
      </c>
      <c r="BQ59" s="109">
        <v>117</v>
      </c>
      <c r="BR59" s="109">
        <v>0</v>
      </c>
      <c r="BS59" s="109">
        <v>0</v>
      </c>
      <c r="BT59" s="109">
        <v>0</v>
      </c>
      <c r="BU59" s="109">
        <v>0</v>
      </c>
      <c r="BV59" s="109">
        <v>0</v>
      </c>
      <c r="BW59" s="109">
        <v>0</v>
      </c>
      <c r="BX59" s="109">
        <v>0</v>
      </c>
      <c r="BY59" s="109">
        <v>0</v>
      </c>
      <c r="BZ59" s="109">
        <v>0</v>
      </c>
      <c r="CA59" s="109">
        <v>6.24</v>
      </c>
      <c r="CB59" s="109" t="s">
        <v>225</v>
      </c>
      <c r="CC59" s="109" t="s">
        <v>369</v>
      </c>
      <c r="CD59" s="109">
        <v>375.81</v>
      </c>
      <c r="CE59" s="109">
        <v>0</v>
      </c>
      <c r="CF59" s="109">
        <v>0</v>
      </c>
      <c r="CG59" s="109">
        <v>0</v>
      </c>
      <c r="CH59" s="109">
        <v>0</v>
      </c>
      <c r="CI59" s="109">
        <v>0</v>
      </c>
      <c r="CJ59" s="109">
        <v>0</v>
      </c>
      <c r="CK59" s="109">
        <v>0</v>
      </c>
      <c r="CL59" s="109"/>
      <c r="CM59" s="109"/>
      <c r="CN59" s="109">
        <v>0</v>
      </c>
      <c r="CO59" s="109">
        <v>0</v>
      </c>
      <c r="CP59" s="109">
        <v>0</v>
      </c>
      <c r="CQ59" s="109">
        <v>0</v>
      </c>
      <c r="CR59" s="109">
        <v>0</v>
      </c>
      <c r="CS59" s="109">
        <v>0</v>
      </c>
      <c r="CT59" s="109">
        <v>0</v>
      </c>
      <c r="CU59" s="109">
        <v>12</v>
      </c>
      <c r="CV59" s="109" t="s">
        <v>254</v>
      </c>
      <c r="CW59" s="109">
        <v>0</v>
      </c>
      <c r="CX59" s="109"/>
      <c r="CY59" s="109">
        <v>49.5</v>
      </c>
      <c r="CZ59" s="109" t="s">
        <v>254</v>
      </c>
      <c r="DA59" s="109">
        <f>CY59</f>
        <v>49.5</v>
      </c>
      <c r="DB59" s="109"/>
      <c r="DE59" s="109">
        <v>0</v>
      </c>
      <c r="DF59" s="109" t="s">
        <v>236</v>
      </c>
      <c r="DG59" s="109" t="s">
        <v>221</v>
      </c>
      <c r="DH59" s="109" t="s">
        <v>220</v>
      </c>
      <c r="DI59" s="109">
        <v>9026067267</v>
      </c>
      <c r="DJ59" s="109" t="s">
        <v>222</v>
      </c>
      <c r="DK59" s="109">
        <v>0</v>
      </c>
      <c r="DL59" s="109" t="s">
        <v>226</v>
      </c>
      <c r="DM59" s="109">
        <v>35.37</v>
      </c>
    </row>
    <row r="60" ht="13.8" hidden="1" spans="1:117">
      <c r="A60" s="109">
        <v>2</v>
      </c>
      <c r="B60" s="109" t="s">
        <v>655</v>
      </c>
      <c r="C60" s="109" t="s">
        <v>203</v>
      </c>
      <c r="D60" s="109" t="s">
        <v>225</v>
      </c>
      <c r="E60" s="109" t="s">
        <v>226</v>
      </c>
      <c r="F60" s="110">
        <v>46244</v>
      </c>
      <c r="G60" s="109" t="s">
        <v>240</v>
      </c>
      <c r="H60" s="109" t="s">
        <v>656</v>
      </c>
      <c r="I60" s="109" t="s">
        <v>216</v>
      </c>
      <c r="J60" s="109" t="s">
        <v>217</v>
      </c>
      <c r="K60" s="109" t="s">
        <v>218</v>
      </c>
      <c r="L60" s="109" t="s">
        <v>219</v>
      </c>
      <c r="M60" s="207" t="s">
        <v>242</v>
      </c>
      <c r="N60" s="109" t="s">
        <v>220</v>
      </c>
      <c r="O60" s="109" t="s">
        <v>221</v>
      </c>
      <c r="P60" s="109" t="s">
        <v>243</v>
      </c>
      <c r="Q60" s="109" t="s">
        <v>216</v>
      </c>
      <c r="R60" s="109" t="s">
        <v>217</v>
      </c>
      <c r="S60" s="109" t="s">
        <v>220</v>
      </c>
      <c r="T60" s="109" t="s">
        <v>221</v>
      </c>
      <c r="U60" s="109" t="s">
        <v>216</v>
      </c>
      <c r="V60" s="109" t="s">
        <v>217</v>
      </c>
      <c r="W60" s="109" t="s">
        <v>218</v>
      </c>
      <c r="X60" s="109" t="s">
        <v>219</v>
      </c>
      <c r="Y60" s="109" t="s">
        <v>220</v>
      </c>
      <c r="Z60" s="109" t="s">
        <v>221</v>
      </c>
      <c r="AA60" s="109" t="s">
        <v>222</v>
      </c>
      <c r="AB60" s="109" t="s">
        <v>223</v>
      </c>
      <c r="AC60" s="109" t="s">
        <v>657</v>
      </c>
      <c r="AD60" s="109" t="s">
        <v>658</v>
      </c>
      <c r="AE60" s="109" t="s">
        <v>659</v>
      </c>
      <c r="AF60" s="109" t="s">
        <v>247</v>
      </c>
      <c r="AG60" s="109" t="s">
        <v>660</v>
      </c>
      <c r="AH60" s="109" t="s">
        <v>249</v>
      </c>
      <c r="AI60" s="109" t="s">
        <v>657</v>
      </c>
      <c r="AJ60" s="109" t="s">
        <v>658</v>
      </c>
      <c r="AK60" s="109" t="s">
        <v>660</v>
      </c>
      <c r="AL60" s="109" t="s">
        <v>249</v>
      </c>
      <c r="AM60" s="109" t="s">
        <v>250</v>
      </c>
      <c r="AN60" s="207" t="s">
        <v>661</v>
      </c>
      <c r="AO60" s="109">
        <v>69.85</v>
      </c>
      <c r="AP60" s="109">
        <v>0</v>
      </c>
      <c r="AQ60" s="109">
        <v>6</v>
      </c>
      <c r="AR60" s="109">
        <v>0</v>
      </c>
      <c r="AS60" s="109" t="s">
        <v>252</v>
      </c>
      <c r="AT60" s="109" t="s">
        <v>229</v>
      </c>
      <c r="AU60" s="110">
        <v>46260</v>
      </c>
      <c r="AV60" s="109">
        <v>432.01</v>
      </c>
      <c r="AW60" s="109" t="s">
        <v>230</v>
      </c>
      <c r="AX60" s="109" t="s">
        <v>231</v>
      </c>
      <c r="AY60" s="109">
        <v>2416.6</v>
      </c>
      <c r="AZ60" s="109" t="s">
        <v>232</v>
      </c>
      <c r="BA60" s="109" t="s">
        <v>253</v>
      </c>
      <c r="BB60" s="109">
        <v>432.01</v>
      </c>
      <c r="BC60" s="109">
        <v>380.17</v>
      </c>
      <c r="BD60" s="109">
        <v>432.01</v>
      </c>
      <c r="BE60" s="109">
        <v>51.84</v>
      </c>
      <c r="BF60" s="111">
        <v>0.12</v>
      </c>
      <c r="BG60" s="109">
        <v>0</v>
      </c>
      <c r="BH60" s="109">
        <v>69.85</v>
      </c>
      <c r="BI60" s="109">
        <v>82.6</v>
      </c>
      <c r="BJ60" s="109">
        <v>0</v>
      </c>
      <c r="BK60" s="109">
        <v>17</v>
      </c>
      <c r="BL60" s="109">
        <v>0</v>
      </c>
      <c r="BM60" s="109">
        <v>9.76</v>
      </c>
      <c r="BN60" s="109">
        <v>3.62</v>
      </c>
      <c r="BO60" s="109">
        <v>5.5</v>
      </c>
      <c r="BP60" s="109">
        <v>3.23</v>
      </c>
      <c r="BQ60" s="109">
        <v>0</v>
      </c>
      <c r="BR60" s="109">
        <v>0</v>
      </c>
      <c r="BS60" s="109">
        <v>0</v>
      </c>
      <c r="BT60" s="109">
        <v>0</v>
      </c>
      <c r="BU60" s="109">
        <v>0</v>
      </c>
      <c r="BV60" s="109">
        <v>0</v>
      </c>
      <c r="BW60" s="109">
        <v>0</v>
      </c>
      <c r="BX60" s="109">
        <v>250</v>
      </c>
      <c r="BY60" s="109">
        <v>0</v>
      </c>
      <c r="BZ60" s="109">
        <v>0</v>
      </c>
      <c r="CA60" s="109">
        <v>8.46</v>
      </c>
      <c r="CB60" s="109" t="s">
        <v>225</v>
      </c>
      <c r="CC60" s="109" t="s">
        <v>247</v>
      </c>
      <c r="CD60" s="109">
        <v>382.17</v>
      </c>
      <c r="CE60" s="109">
        <v>0</v>
      </c>
      <c r="CF60" s="109">
        <v>0</v>
      </c>
      <c r="CG60" s="109">
        <v>0</v>
      </c>
      <c r="CH60" s="109">
        <v>0</v>
      </c>
      <c r="CI60" s="109">
        <v>0</v>
      </c>
      <c r="CJ60" s="109">
        <v>0</v>
      </c>
      <c r="CK60" s="109">
        <v>0</v>
      </c>
      <c r="CL60" s="109"/>
      <c r="CM60" s="109"/>
      <c r="CN60" s="109">
        <v>0</v>
      </c>
      <c r="CO60" s="109">
        <v>0</v>
      </c>
      <c r="CP60" s="109">
        <v>0</v>
      </c>
      <c r="CQ60" s="109">
        <v>0</v>
      </c>
      <c r="CR60" s="109">
        <v>0</v>
      </c>
      <c r="CS60" s="109">
        <v>0</v>
      </c>
      <c r="CT60" s="109">
        <v>0</v>
      </c>
      <c r="CU60" s="109">
        <v>12</v>
      </c>
      <c r="CV60" s="109" t="s">
        <v>254</v>
      </c>
      <c r="CW60" s="109">
        <v>0</v>
      </c>
      <c r="CX60" s="109"/>
      <c r="CY60" s="109">
        <v>18</v>
      </c>
      <c r="CZ60" s="109" t="s">
        <v>235</v>
      </c>
      <c r="DA60" s="109">
        <v>0</v>
      </c>
      <c r="DB60" s="109"/>
      <c r="DE60" s="109">
        <v>0</v>
      </c>
      <c r="DF60" s="109" t="s">
        <v>236</v>
      </c>
      <c r="DG60" s="109" t="s">
        <v>221</v>
      </c>
      <c r="DH60" s="109" t="s">
        <v>220</v>
      </c>
      <c r="DI60" s="109">
        <v>9026067267</v>
      </c>
      <c r="DJ60" s="109" t="s">
        <v>222</v>
      </c>
      <c r="DK60" s="109">
        <v>0</v>
      </c>
      <c r="DL60" s="109" t="s">
        <v>226</v>
      </c>
      <c r="DM60" s="109">
        <v>51.84</v>
      </c>
    </row>
    <row r="61" ht="13.8" hidden="1" spans="1:117">
      <c r="A61" s="109">
        <v>2</v>
      </c>
      <c r="B61" s="109" t="s">
        <v>662</v>
      </c>
      <c r="C61" s="109" t="s">
        <v>203</v>
      </c>
      <c r="D61" s="109" t="s">
        <v>225</v>
      </c>
      <c r="E61" s="109" t="s">
        <v>226</v>
      </c>
      <c r="F61" s="110">
        <v>46244</v>
      </c>
      <c r="G61" s="109" t="s">
        <v>240</v>
      </c>
      <c r="H61" s="109" t="s">
        <v>663</v>
      </c>
      <c r="I61" s="109" t="s">
        <v>216</v>
      </c>
      <c r="J61" s="109" t="s">
        <v>217</v>
      </c>
      <c r="K61" s="109" t="s">
        <v>218</v>
      </c>
      <c r="L61" s="109" t="s">
        <v>219</v>
      </c>
      <c r="M61" s="207" t="s">
        <v>242</v>
      </c>
      <c r="N61" s="109" t="s">
        <v>220</v>
      </c>
      <c r="O61" s="109" t="s">
        <v>221</v>
      </c>
      <c r="P61" s="109" t="s">
        <v>243</v>
      </c>
      <c r="Q61" s="109" t="s">
        <v>216</v>
      </c>
      <c r="R61" s="109" t="s">
        <v>217</v>
      </c>
      <c r="S61" s="109" t="s">
        <v>220</v>
      </c>
      <c r="T61" s="109" t="s">
        <v>221</v>
      </c>
      <c r="U61" s="109" t="s">
        <v>216</v>
      </c>
      <c r="V61" s="109" t="s">
        <v>217</v>
      </c>
      <c r="W61" s="109" t="s">
        <v>218</v>
      </c>
      <c r="X61" s="109" t="s">
        <v>219</v>
      </c>
      <c r="Y61" s="109" t="s">
        <v>220</v>
      </c>
      <c r="Z61" s="109" t="s">
        <v>221</v>
      </c>
      <c r="AA61" s="109" t="s">
        <v>222</v>
      </c>
      <c r="AB61" s="109" t="s">
        <v>223</v>
      </c>
      <c r="AC61" s="109" t="s">
        <v>664</v>
      </c>
      <c r="AD61" s="109" t="s">
        <v>245</v>
      </c>
      <c r="AE61" s="109">
        <v>384</v>
      </c>
      <c r="AF61" s="109" t="s">
        <v>331</v>
      </c>
      <c r="AG61" s="109" t="s">
        <v>332</v>
      </c>
      <c r="AH61" s="109" t="s">
        <v>214</v>
      </c>
      <c r="AI61" s="109" t="s">
        <v>664</v>
      </c>
      <c r="AJ61" s="109" t="s">
        <v>245</v>
      </c>
      <c r="AK61" s="109" t="s">
        <v>332</v>
      </c>
      <c r="AL61" s="109" t="s">
        <v>214</v>
      </c>
      <c r="AM61" s="109" t="s">
        <v>333</v>
      </c>
      <c r="AN61" s="207" t="s">
        <v>665</v>
      </c>
      <c r="AO61" s="109">
        <v>87</v>
      </c>
      <c r="AP61" s="109">
        <v>0</v>
      </c>
      <c r="AQ61" s="109">
        <v>8</v>
      </c>
      <c r="AR61" s="109">
        <v>0</v>
      </c>
      <c r="AS61" s="109" t="s">
        <v>252</v>
      </c>
      <c r="AT61" s="109" t="s">
        <v>229</v>
      </c>
      <c r="AU61" s="110">
        <v>46260</v>
      </c>
      <c r="AV61" s="109">
        <v>537.86</v>
      </c>
      <c r="AW61" s="109" t="s">
        <v>230</v>
      </c>
      <c r="AX61" s="109" t="s">
        <v>230</v>
      </c>
      <c r="AY61" s="109">
        <v>2926.63</v>
      </c>
      <c r="AZ61" s="109" t="s">
        <v>232</v>
      </c>
      <c r="BA61" s="109" t="s">
        <v>335</v>
      </c>
      <c r="BB61" s="109">
        <v>537.86</v>
      </c>
      <c r="BC61" s="109">
        <v>473.32</v>
      </c>
      <c r="BD61" s="109">
        <v>537.86</v>
      </c>
      <c r="BE61" s="109">
        <v>64.54</v>
      </c>
      <c r="BF61" s="111">
        <v>0.12</v>
      </c>
      <c r="BG61" s="109">
        <v>0</v>
      </c>
      <c r="BH61" s="109">
        <v>87</v>
      </c>
      <c r="BI61" s="109">
        <v>173.2</v>
      </c>
      <c r="BJ61" s="109">
        <v>0</v>
      </c>
      <c r="BK61" s="109">
        <v>17</v>
      </c>
      <c r="BL61" s="109">
        <v>0</v>
      </c>
      <c r="BM61" s="109">
        <v>9.76</v>
      </c>
      <c r="BN61" s="109">
        <v>4.39</v>
      </c>
      <c r="BO61" s="109">
        <v>5.5</v>
      </c>
      <c r="BP61" s="109">
        <v>3.23</v>
      </c>
      <c r="BQ61" s="109">
        <v>0</v>
      </c>
      <c r="BR61" s="109">
        <v>0</v>
      </c>
      <c r="BS61" s="109">
        <v>0</v>
      </c>
      <c r="BT61" s="109">
        <v>0</v>
      </c>
      <c r="BU61" s="109">
        <v>0</v>
      </c>
      <c r="BV61" s="109">
        <v>0</v>
      </c>
      <c r="BW61" s="109">
        <v>0</v>
      </c>
      <c r="BX61" s="109">
        <v>250</v>
      </c>
      <c r="BY61" s="109">
        <v>0</v>
      </c>
      <c r="BZ61" s="109">
        <v>0</v>
      </c>
      <c r="CA61" s="109">
        <v>10.24</v>
      </c>
      <c r="CB61" s="109" t="s">
        <v>225</v>
      </c>
      <c r="CC61" s="109" t="s">
        <v>336</v>
      </c>
      <c r="CD61" s="109">
        <v>388.04</v>
      </c>
      <c r="CE61" s="109">
        <v>0</v>
      </c>
      <c r="CF61" s="109">
        <v>0</v>
      </c>
      <c r="CG61" s="109">
        <v>0</v>
      </c>
      <c r="CH61" s="109">
        <v>0</v>
      </c>
      <c r="CI61" s="109">
        <v>0</v>
      </c>
      <c r="CJ61" s="109">
        <v>0</v>
      </c>
      <c r="CK61" s="109">
        <v>0</v>
      </c>
      <c r="CL61" s="109"/>
      <c r="CM61" s="109"/>
      <c r="CN61" s="109">
        <v>0</v>
      </c>
      <c r="CO61" s="109">
        <v>0</v>
      </c>
      <c r="CP61" s="109">
        <v>0</v>
      </c>
      <c r="CQ61" s="109">
        <v>0</v>
      </c>
      <c r="CR61" s="109">
        <v>0</v>
      </c>
      <c r="CS61" s="109">
        <v>0</v>
      </c>
      <c r="CT61" s="109">
        <v>0</v>
      </c>
      <c r="CU61" s="109">
        <v>13.05</v>
      </c>
      <c r="CV61" s="109" t="s">
        <v>254</v>
      </c>
      <c r="CW61" s="109">
        <v>0</v>
      </c>
      <c r="CX61" s="109"/>
      <c r="CY61" s="109">
        <v>375.14</v>
      </c>
      <c r="CZ61" s="109" t="s">
        <v>577</v>
      </c>
      <c r="DA61" s="109">
        <v>487.52</v>
      </c>
      <c r="DB61" s="109">
        <v>232784</v>
      </c>
      <c r="DE61" s="109">
        <v>0</v>
      </c>
      <c r="DF61" s="109" t="s">
        <v>236</v>
      </c>
      <c r="DG61" s="109" t="s">
        <v>221</v>
      </c>
      <c r="DH61" s="109" t="s">
        <v>220</v>
      </c>
      <c r="DI61" s="109">
        <v>9026067267</v>
      </c>
      <c r="DJ61" s="109" t="s">
        <v>222</v>
      </c>
      <c r="DK61" s="109">
        <v>0</v>
      </c>
      <c r="DL61" s="109" t="s">
        <v>226</v>
      </c>
      <c r="DM61" s="109">
        <v>64.54</v>
      </c>
    </row>
    <row r="62" ht="13.8" hidden="1" spans="1:117">
      <c r="A62" s="109">
        <v>2</v>
      </c>
      <c r="B62" s="109" t="s">
        <v>666</v>
      </c>
      <c r="C62" s="109" t="s">
        <v>203</v>
      </c>
      <c r="D62" s="109" t="s">
        <v>225</v>
      </c>
      <c r="E62" s="109" t="s">
        <v>226</v>
      </c>
      <c r="F62" s="110">
        <v>46244</v>
      </c>
      <c r="G62" s="109" t="s">
        <v>240</v>
      </c>
      <c r="H62" s="109" t="s">
        <v>667</v>
      </c>
      <c r="I62" s="109" t="s">
        <v>216</v>
      </c>
      <c r="J62" s="109" t="s">
        <v>217</v>
      </c>
      <c r="K62" s="109" t="s">
        <v>218</v>
      </c>
      <c r="L62" s="109" t="s">
        <v>219</v>
      </c>
      <c r="M62" s="207" t="s">
        <v>242</v>
      </c>
      <c r="N62" s="109" t="s">
        <v>220</v>
      </c>
      <c r="O62" s="109" t="s">
        <v>221</v>
      </c>
      <c r="P62" s="109" t="s">
        <v>243</v>
      </c>
      <c r="Q62" s="109" t="s">
        <v>216</v>
      </c>
      <c r="R62" s="109" t="s">
        <v>217</v>
      </c>
      <c r="S62" s="109" t="s">
        <v>220</v>
      </c>
      <c r="T62" s="109" t="s">
        <v>221</v>
      </c>
      <c r="U62" s="109" t="s">
        <v>216</v>
      </c>
      <c r="V62" s="109" t="s">
        <v>217</v>
      </c>
      <c r="W62" s="109" t="s">
        <v>218</v>
      </c>
      <c r="X62" s="109" t="s">
        <v>219</v>
      </c>
      <c r="Y62" s="109" t="s">
        <v>220</v>
      </c>
      <c r="Z62" s="109" t="s">
        <v>221</v>
      </c>
      <c r="AA62" s="109" t="s">
        <v>222</v>
      </c>
      <c r="AB62" s="109" t="s">
        <v>223</v>
      </c>
      <c r="AC62" s="109" t="s">
        <v>588</v>
      </c>
      <c r="AD62" s="109" t="s">
        <v>416</v>
      </c>
      <c r="AE62" s="109">
        <v>117</v>
      </c>
      <c r="AF62" s="109" t="s">
        <v>589</v>
      </c>
      <c r="AG62" s="109" t="s">
        <v>590</v>
      </c>
      <c r="AH62" s="109" t="s">
        <v>297</v>
      </c>
      <c r="AI62" s="109" t="s">
        <v>588</v>
      </c>
      <c r="AJ62" s="109" t="s">
        <v>416</v>
      </c>
      <c r="AK62" s="109" t="s">
        <v>590</v>
      </c>
      <c r="AL62" s="109" t="s">
        <v>297</v>
      </c>
      <c r="AM62" s="109" t="s">
        <v>591</v>
      </c>
      <c r="AN62" s="207" t="s">
        <v>668</v>
      </c>
      <c r="AO62" s="109">
        <v>95.035</v>
      </c>
      <c r="AP62" s="109">
        <v>0</v>
      </c>
      <c r="AQ62" s="109">
        <v>10</v>
      </c>
      <c r="AR62" s="109">
        <v>0</v>
      </c>
      <c r="AS62" s="109" t="s">
        <v>252</v>
      </c>
      <c r="AT62" s="109" t="s">
        <v>229</v>
      </c>
      <c r="AU62" s="110">
        <v>46260</v>
      </c>
      <c r="AV62" s="109">
        <v>456.97</v>
      </c>
      <c r="AW62" s="109" t="s">
        <v>230</v>
      </c>
      <c r="AX62" s="109" t="s">
        <v>231</v>
      </c>
      <c r="AY62" s="109">
        <v>3348.91</v>
      </c>
      <c r="AZ62" s="109" t="s">
        <v>232</v>
      </c>
      <c r="BA62" s="109" t="s">
        <v>300</v>
      </c>
      <c r="BB62" s="109">
        <v>456.97</v>
      </c>
      <c r="BC62" s="109">
        <v>402.13</v>
      </c>
      <c r="BD62" s="109">
        <v>456.97</v>
      </c>
      <c r="BE62" s="109">
        <v>54.84</v>
      </c>
      <c r="BF62" s="111">
        <v>0.12</v>
      </c>
      <c r="BG62" s="109">
        <v>0</v>
      </c>
      <c r="BH62" s="109">
        <v>95.035</v>
      </c>
      <c r="BI62" s="109">
        <v>99.9</v>
      </c>
      <c r="BJ62" s="109">
        <v>0</v>
      </c>
      <c r="BK62" s="109">
        <v>17</v>
      </c>
      <c r="BL62" s="109">
        <v>0</v>
      </c>
      <c r="BM62" s="109">
        <v>9.76</v>
      </c>
      <c r="BN62" s="109">
        <v>5.02</v>
      </c>
      <c r="BO62" s="109">
        <v>5.5</v>
      </c>
      <c r="BP62" s="109">
        <v>3.23</v>
      </c>
      <c r="BQ62" s="109">
        <v>0</v>
      </c>
      <c r="BR62" s="109">
        <v>0</v>
      </c>
      <c r="BS62" s="109">
        <v>0</v>
      </c>
      <c r="BT62" s="109">
        <v>0</v>
      </c>
      <c r="BU62" s="109">
        <v>0</v>
      </c>
      <c r="BV62" s="109">
        <v>0</v>
      </c>
      <c r="BW62" s="109">
        <v>0</v>
      </c>
      <c r="BX62" s="109">
        <v>250</v>
      </c>
      <c r="BY62" s="109">
        <v>0</v>
      </c>
      <c r="BZ62" s="109">
        <v>0</v>
      </c>
      <c r="CA62" s="109">
        <v>11.72</v>
      </c>
      <c r="CB62" s="109" t="s">
        <v>225</v>
      </c>
      <c r="CC62" s="109" t="s">
        <v>295</v>
      </c>
      <c r="CD62" s="109">
        <v>393.53</v>
      </c>
      <c r="CE62" s="109">
        <v>0</v>
      </c>
      <c r="CF62" s="109">
        <v>0</v>
      </c>
      <c r="CG62" s="109">
        <v>0</v>
      </c>
      <c r="CH62" s="109">
        <v>0</v>
      </c>
      <c r="CI62" s="109">
        <v>0</v>
      </c>
      <c r="CJ62" s="109">
        <v>0</v>
      </c>
      <c r="CK62" s="109">
        <v>0</v>
      </c>
      <c r="CL62" s="109"/>
      <c r="CM62" s="109"/>
      <c r="CN62" s="109">
        <v>0</v>
      </c>
      <c r="CO62" s="109">
        <v>0</v>
      </c>
      <c r="CP62" s="109">
        <v>0</v>
      </c>
      <c r="CQ62" s="109">
        <v>0</v>
      </c>
      <c r="CR62" s="109">
        <v>0</v>
      </c>
      <c r="CS62" s="109">
        <v>0</v>
      </c>
      <c r="CT62" s="109">
        <v>0</v>
      </c>
      <c r="CU62" s="109">
        <v>14.26</v>
      </c>
      <c r="CV62" s="109" t="s">
        <v>254</v>
      </c>
      <c r="CW62" s="109">
        <v>0</v>
      </c>
      <c r="CX62" s="109"/>
      <c r="CY62" s="109">
        <v>260.02</v>
      </c>
      <c r="CZ62" s="109" t="s">
        <v>593</v>
      </c>
      <c r="DA62" s="109">
        <v>519</v>
      </c>
      <c r="DB62" s="207" t="s">
        <v>594</v>
      </c>
      <c r="DE62" s="109">
        <v>0</v>
      </c>
      <c r="DF62" s="109" t="s">
        <v>236</v>
      </c>
      <c r="DG62" s="109" t="s">
        <v>221</v>
      </c>
      <c r="DH62" s="109" t="s">
        <v>220</v>
      </c>
      <c r="DI62" s="109">
        <v>9026067267</v>
      </c>
      <c r="DJ62" s="109" t="s">
        <v>222</v>
      </c>
      <c r="DK62" s="109">
        <v>0</v>
      </c>
      <c r="DL62" s="109" t="s">
        <v>226</v>
      </c>
      <c r="DM62" s="109">
        <v>54.84</v>
      </c>
    </row>
    <row r="63" ht="13.8" hidden="1" spans="1:117">
      <c r="A63" s="109">
        <v>2</v>
      </c>
      <c r="B63" s="109" t="s">
        <v>669</v>
      </c>
      <c r="C63" s="109" t="s">
        <v>203</v>
      </c>
      <c r="D63" s="109" t="s">
        <v>225</v>
      </c>
      <c r="E63" s="109" t="s">
        <v>226</v>
      </c>
      <c r="F63" s="110">
        <v>46244</v>
      </c>
      <c r="G63" s="109" t="s">
        <v>240</v>
      </c>
      <c r="H63" s="109" t="s">
        <v>670</v>
      </c>
      <c r="I63" s="109" t="s">
        <v>216</v>
      </c>
      <c r="J63" s="109" t="s">
        <v>217</v>
      </c>
      <c r="K63" s="109" t="s">
        <v>218</v>
      </c>
      <c r="L63" s="109" t="s">
        <v>219</v>
      </c>
      <c r="M63" s="207" t="s">
        <v>242</v>
      </c>
      <c r="N63" s="109" t="s">
        <v>220</v>
      </c>
      <c r="O63" s="109" t="s">
        <v>221</v>
      </c>
      <c r="P63" s="109" t="s">
        <v>243</v>
      </c>
      <c r="Q63" s="109" t="s">
        <v>216</v>
      </c>
      <c r="R63" s="109" t="s">
        <v>217</v>
      </c>
      <c r="S63" s="109" t="s">
        <v>220</v>
      </c>
      <c r="T63" s="109" t="s">
        <v>221</v>
      </c>
      <c r="U63" s="109" t="s">
        <v>216</v>
      </c>
      <c r="V63" s="109" t="s">
        <v>217</v>
      </c>
      <c r="W63" s="109" t="s">
        <v>218</v>
      </c>
      <c r="X63" s="109" t="s">
        <v>219</v>
      </c>
      <c r="Y63" s="109" t="s">
        <v>220</v>
      </c>
      <c r="Z63" s="109" t="s">
        <v>221</v>
      </c>
      <c r="AA63" s="109" t="s">
        <v>222</v>
      </c>
      <c r="AB63" s="109" t="s">
        <v>223</v>
      </c>
      <c r="AC63" s="109" t="s">
        <v>664</v>
      </c>
      <c r="AD63" s="109" t="s">
        <v>245</v>
      </c>
      <c r="AE63" s="109">
        <v>384</v>
      </c>
      <c r="AF63" s="109" t="s">
        <v>331</v>
      </c>
      <c r="AG63" s="109" t="s">
        <v>332</v>
      </c>
      <c r="AH63" s="109" t="s">
        <v>214</v>
      </c>
      <c r="AI63" s="109" t="s">
        <v>664</v>
      </c>
      <c r="AJ63" s="109" t="s">
        <v>245</v>
      </c>
      <c r="AK63" s="109" t="s">
        <v>332</v>
      </c>
      <c r="AL63" s="109" t="s">
        <v>214</v>
      </c>
      <c r="AM63" s="109" t="s">
        <v>333</v>
      </c>
      <c r="AN63" s="207" t="s">
        <v>671</v>
      </c>
      <c r="AO63" s="109">
        <v>85.185</v>
      </c>
      <c r="AP63" s="109">
        <v>0</v>
      </c>
      <c r="AQ63" s="109">
        <v>7</v>
      </c>
      <c r="AR63" s="109">
        <v>0</v>
      </c>
      <c r="AS63" s="109" t="s">
        <v>252</v>
      </c>
      <c r="AT63" s="109" t="s">
        <v>229</v>
      </c>
      <c r="AU63" s="110">
        <v>46260</v>
      </c>
      <c r="AV63" s="109">
        <v>540.25</v>
      </c>
      <c r="AW63" s="109" t="s">
        <v>230</v>
      </c>
      <c r="AX63" s="109" t="s">
        <v>231</v>
      </c>
      <c r="AY63" s="109">
        <v>3345.15</v>
      </c>
      <c r="AZ63" s="109" t="s">
        <v>232</v>
      </c>
      <c r="BA63" s="109" t="s">
        <v>335</v>
      </c>
      <c r="BB63" s="109">
        <v>540.25</v>
      </c>
      <c r="BC63" s="109">
        <v>475.42</v>
      </c>
      <c r="BD63" s="109">
        <v>540.25</v>
      </c>
      <c r="BE63" s="109">
        <v>64.83</v>
      </c>
      <c r="BF63" s="111">
        <v>0.12</v>
      </c>
      <c r="BG63" s="109">
        <v>0</v>
      </c>
      <c r="BH63" s="109">
        <v>85.185</v>
      </c>
      <c r="BI63" s="109">
        <v>173.2</v>
      </c>
      <c r="BJ63" s="109">
        <v>0</v>
      </c>
      <c r="BK63" s="109">
        <v>17</v>
      </c>
      <c r="BL63" s="109">
        <v>0</v>
      </c>
      <c r="BM63" s="109">
        <v>9.76</v>
      </c>
      <c r="BN63" s="109">
        <v>5.02</v>
      </c>
      <c r="BO63" s="109">
        <v>5.5</v>
      </c>
      <c r="BP63" s="109">
        <v>3.23</v>
      </c>
      <c r="BQ63" s="109">
        <v>0</v>
      </c>
      <c r="BR63" s="109">
        <v>0</v>
      </c>
      <c r="BS63" s="109">
        <v>0</v>
      </c>
      <c r="BT63" s="109">
        <v>0</v>
      </c>
      <c r="BU63" s="109">
        <v>0</v>
      </c>
      <c r="BV63" s="109">
        <v>0</v>
      </c>
      <c r="BW63" s="109">
        <v>0</v>
      </c>
      <c r="BX63" s="109">
        <v>250</v>
      </c>
      <c r="BY63" s="109">
        <v>0</v>
      </c>
      <c r="BZ63" s="109">
        <v>0</v>
      </c>
      <c r="CA63" s="109">
        <v>11.71</v>
      </c>
      <c r="CB63" s="109" t="s">
        <v>225</v>
      </c>
      <c r="CC63" s="109" t="s">
        <v>336</v>
      </c>
      <c r="CD63" s="109">
        <v>393.48</v>
      </c>
      <c r="CE63" s="109">
        <v>0</v>
      </c>
      <c r="CF63" s="109">
        <v>0</v>
      </c>
      <c r="CG63" s="109">
        <v>0</v>
      </c>
      <c r="CH63" s="109">
        <v>0</v>
      </c>
      <c r="CI63" s="109">
        <v>0</v>
      </c>
      <c r="CJ63" s="109">
        <v>0</v>
      </c>
      <c r="CK63" s="109">
        <v>0</v>
      </c>
      <c r="CL63" s="109"/>
      <c r="CM63" s="109"/>
      <c r="CN63" s="109">
        <v>0</v>
      </c>
      <c r="CO63" s="109">
        <v>0</v>
      </c>
      <c r="CP63" s="109">
        <v>0</v>
      </c>
      <c r="CQ63" s="109">
        <v>0</v>
      </c>
      <c r="CR63" s="109">
        <v>0</v>
      </c>
      <c r="CS63" s="109">
        <v>0</v>
      </c>
      <c r="CT63" s="109">
        <v>0</v>
      </c>
      <c r="CU63" s="109">
        <v>12.78</v>
      </c>
      <c r="CV63" s="109" t="s">
        <v>254</v>
      </c>
      <c r="CW63" s="109">
        <v>0</v>
      </c>
      <c r="CX63" s="109"/>
      <c r="CY63" s="109">
        <v>376.1</v>
      </c>
      <c r="CZ63" s="109" t="s">
        <v>577</v>
      </c>
      <c r="DA63" s="109">
        <v>488.43</v>
      </c>
      <c r="DB63" s="109">
        <v>232784</v>
      </c>
      <c r="DE63" s="109">
        <v>0</v>
      </c>
      <c r="DF63" s="109" t="s">
        <v>236</v>
      </c>
      <c r="DG63" s="109" t="s">
        <v>221</v>
      </c>
      <c r="DH63" s="109" t="s">
        <v>220</v>
      </c>
      <c r="DI63" s="109">
        <v>9026067267</v>
      </c>
      <c r="DJ63" s="109" t="s">
        <v>222</v>
      </c>
      <c r="DK63" s="109">
        <v>0</v>
      </c>
      <c r="DL63" s="109" t="s">
        <v>226</v>
      </c>
      <c r="DM63" s="109">
        <v>64.83</v>
      </c>
    </row>
    <row r="64" ht="13.8" hidden="1" spans="1:117">
      <c r="A64" s="109">
        <v>2</v>
      </c>
      <c r="B64" s="109" t="s">
        <v>672</v>
      </c>
      <c r="C64" s="109" t="s">
        <v>203</v>
      </c>
      <c r="D64" s="109" t="s">
        <v>225</v>
      </c>
      <c r="E64" s="109" t="s">
        <v>226</v>
      </c>
      <c r="F64" s="110">
        <v>46244</v>
      </c>
      <c r="G64" s="109" t="s">
        <v>240</v>
      </c>
      <c r="H64" s="109" t="s">
        <v>673</v>
      </c>
      <c r="I64" s="109" t="s">
        <v>216</v>
      </c>
      <c r="J64" s="109" t="s">
        <v>217</v>
      </c>
      <c r="K64" s="109" t="s">
        <v>218</v>
      </c>
      <c r="L64" s="109" t="s">
        <v>219</v>
      </c>
      <c r="M64" s="207" t="s">
        <v>242</v>
      </c>
      <c r="N64" s="109" t="s">
        <v>220</v>
      </c>
      <c r="O64" s="109" t="s">
        <v>221</v>
      </c>
      <c r="P64" s="109" t="s">
        <v>243</v>
      </c>
      <c r="Q64" s="109" t="s">
        <v>216</v>
      </c>
      <c r="R64" s="109" t="s">
        <v>217</v>
      </c>
      <c r="S64" s="109" t="s">
        <v>220</v>
      </c>
      <c r="T64" s="109" t="s">
        <v>221</v>
      </c>
      <c r="U64" s="109" t="s">
        <v>216</v>
      </c>
      <c r="V64" s="109" t="s">
        <v>217</v>
      </c>
      <c r="W64" s="109" t="s">
        <v>218</v>
      </c>
      <c r="X64" s="109" t="s">
        <v>219</v>
      </c>
      <c r="Y64" s="109" t="s">
        <v>220</v>
      </c>
      <c r="Z64" s="109" t="s">
        <v>221</v>
      </c>
      <c r="AA64" s="109" t="s">
        <v>222</v>
      </c>
      <c r="AB64" s="109" t="s">
        <v>223</v>
      </c>
      <c r="AC64" s="109" t="s">
        <v>508</v>
      </c>
      <c r="AD64" s="109" t="s">
        <v>509</v>
      </c>
      <c r="AE64" s="109">
        <v>291</v>
      </c>
      <c r="AF64" s="109" t="s">
        <v>277</v>
      </c>
      <c r="AG64" s="109" t="s">
        <v>510</v>
      </c>
      <c r="AH64" s="109" t="s">
        <v>273</v>
      </c>
      <c r="AI64" s="109" t="s">
        <v>508</v>
      </c>
      <c r="AJ64" s="109" t="s">
        <v>509</v>
      </c>
      <c r="AK64" s="109" t="s">
        <v>510</v>
      </c>
      <c r="AL64" s="109" t="s">
        <v>273</v>
      </c>
      <c r="AM64" s="109" t="s">
        <v>274</v>
      </c>
      <c r="AN64" s="207" t="s">
        <v>674</v>
      </c>
      <c r="AO64" s="109">
        <v>81.265</v>
      </c>
      <c r="AP64" s="109">
        <v>0</v>
      </c>
      <c r="AQ64" s="109">
        <v>6</v>
      </c>
      <c r="AR64" s="109">
        <v>0</v>
      </c>
      <c r="AS64" s="109" t="s">
        <v>252</v>
      </c>
      <c r="AT64" s="109" t="s">
        <v>229</v>
      </c>
      <c r="AU64" s="110">
        <v>46260</v>
      </c>
      <c r="AV64" s="109">
        <v>446.61</v>
      </c>
      <c r="AW64" s="109" t="s">
        <v>230</v>
      </c>
      <c r="AX64" s="109" t="s">
        <v>231</v>
      </c>
      <c r="AY64" s="109">
        <v>2812.38</v>
      </c>
      <c r="AZ64" s="109" t="s">
        <v>232</v>
      </c>
      <c r="BA64" s="109" t="s">
        <v>276</v>
      </c>
      <c r="BB64" s="109">
        <v>446.61</v>
      </c>
      <c r="BC64" s="109">
        <v>415.35</v>
      </c>
      <c r="BD64" s="109">
        <v>446.61</v>
      </c>
      <c r="BE64" s="109">
        <v>31.26</v>
      </c>
      <c r="BF64" s="111">
        <v>0.07</v>
      </c>
      <c r="BG64" s="109">
        <v>0</v>
      </c>
      <c r="BH64" s="109">
        <v>81.265</v>
      </c>
      <c r="BI64" s="109">
        <v>115.8</v>
      </c>
      <c r="BJ64" s="109">
        <v>0</v>
      </c>
      <c r="BK64" s="109">
        <v>17</v>
      </c>
      <c r="BL64" s="109">
        <v>0</v>
      </c>
      <c r="BM64" s="109">
        <v>9.76</v>
      </c>
      <c r="BN64" s="109">
        <v>4.22</v>
      </c>
      <c r="BO64" s="109">
        <v>5.5</v>
      </c>
      <c r="BP64" s="109">
        <v>3.23</v>
      </c>
      <c r="BQ64" s="109">
        <v>0</v>
      </c>
      <c r="BR64" s="109">
        <v>0</v>
      </c>
      <c r="BS64" s="109">
        <v>0</v>
      </c>
      <c r="BT64" s="109">
        <v>0</v>
      </c>
      <c r="BU64" s="109">
        <v>0</v>
      </c>
      <c r="BV64" s="109">
        <v>0</v>
      </c>
      <c r="BW64" s="109">
        <v>0</v>
      </c>
      <c r="BX64" s="109">
        <v>250</v>
      </c>
      <c r="BY64" s="109">
        <v>0</v>
      </c>
      <c r="BZ64" s="109">
        <v>0</v>
      </c>
      <c r="CA64" s="109">
        <v>9.84</v>
      </c>
      <c r="CB64" s="109" t="s">
        <v>225</v>
      </c>
      <c r="CC64" s="109" t="s">
        <v>277</v>
      </c>
      <c r="CD64" s="109">
        <v>386.54</v>
      </c>
      <c r="CE64" s="109">
        <v>0</v>
      </c>
      <c r="CF64" s="109">
        <v>0</v>
      </c>
      <c r="CG64" s="109">
        <v>0</v>
      </c>
      <c r="CH64" s="109">
        <v>0</v>
      </c>
      <c r="CI64" s="109">
        <v>0</v>
      </c>
      <c r="CJ64" s="109">
        <v>0</v>
      </c>
      <c r="CK64" s="109">
        <v>0</v>
      </c>
      <c r="CL64" s="109"/>
      <c r="CM64" s="109"/>
      <c r="CN64" s="109">
        <v>0</v>
      </c>
      <c r="CO64" s="109">
        <v>0</v>
      </c>
      <c r="CP64" s="109">
        <v>0</v>
      </c>
      <c r="CQ64" s="109">
        <v>0</v>
      </c>
      <c r="CR64" s="109">
        <v>0</v>
      </c>
      <c r="CS64" s="109">
        <v>0</v>
      </c>
      <c r="CT64" s="109">
        <v>0</v>
      </c>
      <c r="CU64" s="109">
        <v>12.19</v>
      </c>
      <c r="CV64" s="109" t="s">
        <v>254</v>
      </c>
      <c r="CW64" s="109">
        <v>0</v>
      </c>
      <c r="CX64" s="109"/>
      <c r="CY64" s="109">
        <v>329.37</v>
      </c>
      <c r="CZ64" s="109" t="s">
        <v>512</v>
      </c>
      <c r="DA64" s="109">
        <v>214.37</v>
      </c>
      <c r="DB64" s="207" t="s">
        <v>513</v>
      </c>
      <c r="DE64" s="109">
        <v>0</v>
      </c>
      <c r="DF64" s="109" t="s">
        <v>236</v>
      </c>
      <c r="DG64" s="109" t="s">
        <v>221</v>
      </c>
      <c r="DH64" s="109" t="s">
        <v>220</v>
      </c>
      <c r="DI64" s="109">
        <v>9026067267</v>
      </c>
      <c r="DJ64" s="109" t="s">
        <v>222</v>
      </c>
      <c r="DK64" s="109">
        <v>0</v>
      </c>
      <c r="DL64" s="109" t="s">
        <v>226</v>
      </c>
      <c r="DM64" s="109">
        <v>31.26</v>
      </c>
    </row>
    <row r="65" ht="13.8" hidden="1" spans="1:117">
      <c r="A65" s="109">
        <v>2</v>
      </c>
      <c r="B65" s="109" t="s">
        <v>675</v>
      </c>
      <c r="C65" s="109" t="s">
        <v>203</v>
      </c>
      <c r="D65" s="109" t="s">
        <v>225</v>
      </c>
      <c r="E65" s="109" t="s">
        <v>226</v>
      </c>
      <c r="F65" s="110">
        <v>46244</v>
      </c>
      <c r="G65" s="109" t="s">
        <v>240</v>
      </c>
      <c r="H65" s="109" t="s">
        <v>676</v>
      </c>
      <c r="I65" s="109" t="s">
        <v>216</v>
      </c>
      <c r="J65" s="109" t="s">
        <v>217</v>
      </c>
      <c r="K65" s="109" t="s">
        <v>218</v>
      </c>
      <c r="L65" s="109" t="s">
        <v>219</v>
      </c>
      <c r="M65" s="207" t="s">
        <v>242</v>
      </c>
      <c r="N65" s="109" t="s">
        <v>220</v>
      </c>
      <c r="O65" s="109" t="s">
        <v>221</v>
      </c>
      <c r="P65" s="109" t="s">
        <v>243</v>
      </c>
      <c r="Q65" s="109" t="s">
        <v>216</v>
      </c>
      <c r="R65" s="109" t="s">
        <v>217</v>
      </c>
      <c r="S65" s="109" t="s">
        <v>220</v>
      </c>
      <c r="T65" s="109" t="s">
        <v>221</v>
      </c>
      <c r="U65" s="109" t="s">
        <v>216</v>
      </c>
      <c r="V65" s="109" t="s">
        <v>217</v>
      </c>
      <c r="W65" s="109" t="s">
        <v>218</v>
      </c>
      <c r="X65" s="109" t="s">
        <v>219</v>
      </c>
      <c r="Y65" s="109" t="s">
        <v>220</v>
      </c>
      <c r="Z65" s="109" t="s">
        <v>221</v>
      </c>
      <c r="AA65" s="109" t="s">
        <v>222</v>
      </c>
      <c r="AB65" s="109" t="s">
        <v>223</v>
      </c>
      <c r="AC65" s="109" t="s">
        <v>677</v>
      </c>
      <c r="AD65" s="109" t="s">
        <v>678</v>
      </c>
      <c r="AE65" s="109">
        <v>283</v>
      </c>
      <c r="AF65" s="109" t="s">
        <v>477</v>
      </c>
      <c r="AG65" s="109" t="s">
        <v>679</v>
      </c>
      <c r="AH65" s="109" t="s">
        <v>249</v>
      </c>
      <c r="AI65" s="109" t="s">
        <v>677</v>
      </c>
      <c r="AJ65" s="109" t="s">
        <v>678</v>
      </c>
      <c r="AK65" s="109" t="s">
        <v>679</v>
      </c>
      <c r="AL65" s="109" t="s">
        <v>249</v>
      </c>
      <c r="AM65" s="109" t="s">
        <v>479</v>
      </c>
      <c r="AN65" s="207" t="s">
        <v>680</v>
      </c>
      <c r="AO65" s="109">
        <v>217.5</v>
      </c>
      <c r="AP65" s="109">
        <v>0</v>
      </c>
      <c r="AQ65" s="109">
        <v>15</v>
      </c>
      <c r="AR65" s="109">
        <v>0</v>
      </c>
      <c r="AS65" s="109" t="s">
        <v>252</v>
      </c>
      <c r="AT65" s="109" t="s">
        <v>229</v>
      </c>
      <c r="AU65" s="110">
        <v>46260</v>
      </c>
      <c r="AV65" s="109">
        <v>376.41</v>
      </c>
      <c r="AW65" s="109" t="s">
        <v>230</v>
      </c>
      <c r="AX65" s="109" t="s">
        <v>230</v>
      </c>
      <c r="AY65" s="109">
        <v>6053.16</v>
      </c>
      <c r="AZ65" s="109" t="s">
        <v>232</v>
      </c>
      <c r="BA65" s="109" t="s">
        <v>356</v>
      </c>
      <c r="BB65" s="109">
        <v>376.41</v>
      </c>
      <c r="BC65" s="109">
        <v>331.24</v>
      </c>
      <c r="BD65" s="109">
        <v>376.41</v>
      </c>
      <c r="BE65" s="109">
        <v>45.17</v>
      </c>
      <c r="BF65" s="111">
        <v>0.12</v>
      </c>
      <c r="BG65" s="109">
        <v>0</v>
      </c>
      <c r="BH65" s="109">
        <v>217.5</v>
      </c>
      <c r="BI65" s="109">
        <v>254.48</v>
      </c>
      <c r="BJ65" s="109">
        <v>0</v>
      </c>
      <c r="BK65" s="109">
        <v>17</v>
      </c>
      <c r="BL65" s="109">
        <v>0</v>
      </c>
      <c r="BM65" s="109">
        <v>9.76</v>
      </c>
      <c r="BN65" s="109">
        <v>9.08</v>
      </c>
      <c r="BO65" s="109">
        <v>16.5</v>
      </c>
      <c r="BP65" s="109">
        <v>3.23</v>
      </c>
      <c r="BQ65" s="109">
        <v>0</v>
      </c>
      <c r="BR65" s="109">
        <v>0</v>
      </c>
      <c r="BS65" s="109">
        <v>0</v>
      </c>
      <c r="BT65" s="109">
        <v>0</v>
      </c>
      <c r="BU65" s="109">
        <v>0</v>
      </c>
      <c r="BV65" s="109">
        <v>0</v>
      </c>
      <c r="BW65" s="109">
        <v>0</v>
      </c>
      <c r="BX65" s="109">
        <v>0</v>
      </c>
      <c r="BY65" s="109">
        <v>0</v>
      </c>
      <c r="BZ65" s="109">
        <v>0</v>
      </c>
      <c r="CA65" s="109">
        <v>21.19</v>
      </c>
      <c r="CB65" s="109" t="s">
        <v>225</v>
      </c>
      <c r="CC65" s="109" t="s">
        <v>357</v>
      </c>
      <c r="CD65" s="109">
        <v>489.93</v>
      </c>
      <c r="CE65" s="109">
        <v>0</v>
      </c>
      <c r="CF65" s="109">
        <v>0</v>
      </c>
      <c r="CG65" s="109">
        <v>0</v>
      </c>
      <c r="CH65" s="109">
        <v>0</v>
      </c>
      <c r="CI65" s="109">
        <v>0</v>
      </c>
      <c r="CJ65" s="109">
        <v>0</v>
      </c>
      <c r="CK65" s="109">
        <v>0</v>
      </c>
      <c r="CL65" s="109"/>
      <c r="CM65" s="109"/>
      <c r="CN65" s="109">
        <v>0</v>
      </c>
      <c r="CO65" s="109">
        <v>0</v>
      </c>
      <c r="CP65" s="109">
        <v>0</v>
      </c>
      <c r="CQ65" s="109">
        <v>0</v>
      </c>
      <c r="CR65" s="109">
        <v>0</v>
      </c>
      <c r="CS65" s="109">
        <v>0</v>
      </c>
      <c r="CT65" s="109">
        <v>0</v>
      </c>
      <c r="CU65" s="109">
        <v>32.63</v>
      </c>
      <c r="CV65" s="109" t="s">
        <v>254</v>
      </c>
      <c r="CW65" s="109">
        <v>0</v>
      </c>
      <c r="CX65" s="109"/>
      <c r="CY65" s="109">
        <v>129.85</v>
      </c>
      <c r="CZ65" s="109" t="s">
        <v>481</v>
      </c>
      <c r="DA65" s="109">
        <v>145.66</v>
      </c>
      <c r="DB65" s="207" t="s">
        <v>482</v>
      </c>
      <c r="DE65" s="109">
        <v>0</v>
      </c>
      <c r="DF65" s="109" t="s">
        <v>236</v>
      </c>
      <c r="DG65" s="109" t="s">
        <v>221</v>
      </c>
      <c r="DH65" s="109" t="s">
        <v>220</v>
      </c>
      <c r="DI65" s="109">
        <v>9026067267</v>
      </c>
      <c r="DJ65" s="109" t="s">
        <v>222</v>
      </c>
      <c r="DK65" s="109">
        <v>0</v>
      </c>
      <c r="DL65" s="109" t="s">
        <v>226</v>
      </c>
      <c r="DM65" s="109">
        <v>45.17</v>
      </c>
    </row>
    <row r="66" ht="13.8" hidden="1" spans="1:117">
      <c r="A66" s="109">
        <v>2</v>
      </c>
      <c r="B66" s="109" t="s">
        <v>681</v>
      </c>
      <c r="C66" s="109" t="s">
        <v>203</v>
      </c>
      <c r="D66" s="109" t="s">
        <v>225</v>
      </c>
      <c r="E66" s="109" t="s">
        <v>226</v>
      </c>
      <c r="F66" s="110">
        <v>46245</v>
      </c>
      <c r="G66" s="109" t="s">
        <v>240</v>
      </c>
      <c r="H66" s="109" t="s">
        <v>682</v>
      </c>
      <c r="I66" s="109" t="s">
        <v>216</v>
      </c>
      <c r="J66" s="109" t="s">
        <v>217</v>
      </c>
      <c r="K66" s="109" t="s">
        <v>218</v>
      </c>
      <c r="L66" s="109" t="s">
        <v>219</v>
      </c>
      <c r="M66" s="207" t="s">
        <v>242</v>
      </c>
      <c r="N66" s="109" t="s">
        <v>220</v>
      </c>
      <c r="O66" s="109" t="s">
        <v>221</v>
      </c>
      <c r="P66" s="109" t="s">
        <v>243</v>
      </c>
      <c r="Q66" s="109" t="s">
        <v>216</v>
      </c>
      <c r="R66" s="109" t="s">
        <v>217</v>
      </c>
      <c r="S66" s="109" t="s">
        <v>220</v>
      </c>
      <c r="T66" s="109" t="s">
        <v>221</v>
      </c>
      <c r="U66" s="109" t="s">
        <v>216</v>
      </c>
      <c r="V66" s="109" t="s">
        <v>217</v>
      </c>
      <c r="W66" s="109" t="s">
        <v>218</v>
      </c>
      <c r="X66" s="109" t="s">
        <v>219</v>
      </c>
      <c r="Y66" s="109" t="s">
        <v>220</v>
      </c>
      <c r="Z66" s="109" t="s">
        <v>221</v>
      </c>
      <c r="AA66" s="109" t="s">
        <v>222</v>
      </c>
      <c r="AB66" s="109" t="s">
        <v>223</v>
      </c>
      <c r="AC66" s="109" t="s">
        <v>683</v>
      </c>
      <c r="AD66" s="109" t="s">
        <v>684</v>
      </c>
      <c r="AE66" s="109">
        <v>131</v>
      </c>
      <c r="AF66" s="109" t="s">
        <v>652</v>
      </c>
      <c r="AG66" s="109" t="s">
        <v>685</v>
      </c>
      <c r="AH66" s="109" t="s">
        <v>297</v>
      </c>
      <c r="AI66" s="109" t="s">
        <v>683</v>
      </c>
      <c r="AJ66" s="109" t="s">
        <v>684</v>
      </c>
      <c r="AK66" s="109" t="s">
        <v>685</v>
      </c>
      <c r="AL66" s="109" t="s">
        <v>297</v>
      </c>
      <c r="AM66" s="109" t="s">
        <v>366</v>
      </c>
      <c r="AN66" s="207" t="s">
        <v>686</v>
      </c>
      <c r="AO66" s="109">
        <v>77.45</v>
      </c>
      <c r="AP66" s="109">
        <v>0</v>
      </c>
      <c r="AQ66" s="109">
        <v>7</v>
      </c>
      <c r="AR66" s="109">
        <v>0</v>
      </c>
      <c r="AS66" s="109" t="s">
        <v>252</v>
      </c>
      <c r="AT66" s="109" t="s">
        <v>229</v>
      </c>
      <c r="AU66" s="110">
        <v>46260</v>
      </c>
      <c r="AV66" s="109">
        <v>261.38</v>
      </c>
      <c r="AW66" s="109" t="s">
        <v>230</v>
      </c>
      <c r="AX66" s="109" t="s">
        <v>230</v>
      </c>
      <c r="AY66" s="109">
        <v>3192.9</v>
      </c>
      <c r="AZ66" s="109" t="s">
        <v>232</v>
      </c>
      <c r="BA66" s="109" t="s">
        <v>368</v>
      </c>
      <c r="BB66" s="109">
        <v>261.38</v>
      </c>
      <c r="BC66" s="109">
        <v>230.01</v>
      </c>
      <c r="BD66" s="109">
        <v>261.38</v>
      </c>
      <c r="BE66" s="109">
        <v>31.37</v>
      </c>
      <c r="BF66" s="111">
        <v>0.12</v>
      </c>
      <c r="BG66" s="109">
        <v>0</v>
      </c>
      <c r="BH66" s="109">
        <v>77.45</v>
      </c>
      <c r="BI66" s="109">
        <v>178.55</v>
      </c>
      <c r="BJ66" s="109">
        <v>0</v>
      </c>
      <c r="BK66" s="109">
        <v>17</v>
      </c>
      <c r="BL66" s="109">
        <v>0</v>
      </c>
      <c r="BM66" s="109">
        <v>9.76</v>
      </c>
      <c r="BN66" s="109">
        <v>4.79</v>
      </c>
      <c r="BO66" s="109">
        <v>5.5</v>
      </c>
      <c r="BP66" s="109">
        <v>3.23</v>
      </c>
      <c r="BQ66" s="109">
        <v>0</v>
      </c>
      <c r="BR66" s="109">
        <v>0</v>
      </c>
      <c r="BS66" s="109">
        <v>0</v>
      </c>
      <c r="BT66" s="109">
        <v>0</v>
      </c>
      <c r="BU66" s="109">
        <v>0</v>
      </c>
      <c r="BV66" s="109">
        <v>0</v>
      </c>
      <c r="BW66" s="109">
        <v>0</v>
      </c>
      <c r="BX66" s="109">
        <v>0</v>
      </c>
      <c r="BY66" s="109">
        <v>0</v>
      </c>
      <c r="BZ66" s="109">
        <v>0</v>
      </c>
      <c r="CA66" s="109">
        <v>11.18</v>
      </c>
      <c r="CB66" s="109" t="s">
        <v>225</v>
      </c>
      <c r="CC66" s="109" t="s">
        <v>687</v>
      </c>
      <c r="CD66" s="109">
        <v>391.52</v>
      </c>
      <c r="CE66" s="109">
        <v>0</v>
      </c>
      <c r="CF66" s="109">
        <v>0</v>
      </c>
      <c r="CG66" s="109">
        <v>0</v>
      </c>
      <c r="CH66" s="109">
        <v>0</v>
      </c>
      <c r="CI66" s="109">
        <v>0</v>
      </c>
      <c r="CJ66" s="109">
        <v>0</v>
      </c>
      <c r="CK66" s="109">
        <v>0</v>
      </c>
      <c r="CL66" s="109"/>
      <c r="CM66" s="109"/>
      <c r="CN66" s="109">
        <v>0</v>
      </c>
      <c r="CO66" s="109">
        <v>0</v>
      </c>
      <c r="CP66" s="109">
        <v>0</v>
      </c>
      <c r="CQ66" s="109">
        <v>0</v>
      </c>
      <c r="CR66" s="109">
        <v>0</v>
      </c>
      <c r="CS66" s="109">
        <v>0</v>
      </c>
      <c r="CT66" s="109">
        <v>0</v>
      </c>
      <c r="CU66" s="109">
        <v>12</v>
      </c>
      <c r="CV66" s="109" t="s">
        <v>254</v>
      </c>
      <c r="CW66" s="109">
        <v>0</v>
      </c>
      <c r="CX66" s="109"/>
      <c r="CY66" s="109">
        <v>66</v>
      </c>
      <c r="CZ66" s="109" t="s">
        <v>235</v>
      </c>
      <c r="DA66" s="109">
        <f>CY66</f>
        <v>66</v>
      </c>
      <c r="DB66" s="109"/>
      <c r="DE66" s="109">
        <v>0</v>
      </c>
      <c r="DF66" s="109" t="s">
        <v>236</v>
      </c>
      <c r="DG66" s="109" t="s">
        <v>221</v>
      </c>
      <c r="DH66" s="109" t="s">
        <v>220</v>
      </c>
      <c r="DI66" s="109">
        <v>9026067267</v>
      </c>
      <c r="DJ66" s="109" t="s">
        <v>222</v>
      </c>
      <c r="DK66" s="109">
        <v>0</v>
      </c>
      <c r="DL66" s="109" t="s">
        <v>226</v>
      </c>
      <c r="DM66" s="109">
        <v>28.71</v>
      </c>
    </row>
    <row r="67" ht="13.8" hidden="1" spans="1:117">
      <c r="A67" s="109">
        <v>2</v>
      </c>
      <c r="B67" s="109" t="s">
        <v>688</v>
      </c>
      <c r="C67" s="109" t="s">
        <v>412</v>
      </c>
      <c r="D67" s="109" t="s">
        <v>225</v>
      </c>
      <c r="E67" s="109" t="s">
        <v>226</v>
      </c>
      <c r="F67" s="110">
        <v>46245</v>
      </c>
      <c r="G67" s="109" t="s">
        <v>421</v>
      </c>
      <c r="H67" s="109" t="s">
        <v>689</v>
      </c>
      <c r="I67" s="109" t="s">
        <v>216</v>
      </c>
      <c r="J67" s="109" t="s">
        <v>217</v>
      </c>
      <c r="K67" s="109" t="s">
        <v>218</v>
      </c>
      <c r="L67" s="109" t="s">
        <v>219</v>
      </c>
      <c r="M67" s="207" t="s">
        <v>242</v>
      </c>
      <c r="N67" s="109" t="s">
        <v>220</v>
      </c>
      <c r="O67" s="109" t="s">
        <v>221</v>
      </c>
      <c r="P67" s="109" t="s">
        <v>243</v>
      </c>
      <c r="Q67" s="109" t="s">
        <v>216</v>
      </c>
      <c r="R67" s="109" t="s">
        <v>217</v>
      </c>
      <c r="S67" s="109" t="s">
        <v>220</v>
      </c>
      <c r="T67" s="109" t="s">
        <v>221</v>
      </c>
      <c r="U67" s="109" t="s">
        <v>216</v>
      </c>
      <c r="V67" s="109" t="s">
        <v>217</v>
      </c>
      <c r="W67" s="109" t="s">
        <v>218</v>
      </c>
      <c r="X67" s="109" t="s">
        <v>219</v>
      </c>
      <c r="Y67" s="109" t="s">
        <v>220</v>
      </c>
      <c r="Z67" s="109" t="s">
        <v>221</v>
      </c>
      <c r="AA67" s="109" t="s">
        <v>222</v>
      </c>
      <c r="AB67" s="109" t="s">
        <v>223</v>
      </c>
      <c r="AC67" s="109" t="s">
        <v>423</v>
      </c>
      <c r="AD67" s="109" t="s">
        <v>424</v>
      </c>
      <c r="AE67" s="109" t="s">
        <v>403</v>
      </c>
      <c r="AF67" s="109" t="s">
        <v>295</v>
      </c>
      <c r="AG67" s="109" t="s">
        <v>425</v>
      </c>
      <c r="AH67" s="109" t="s">
        <v>297</v>
      </c>
      <c r="AI67" s="109" t="s">
        <v>423</v>
      </c>
      <c r="AJ67" s="109" t="s">
        <v>424</v>
      </c>
      <c r="AK67" s="109" t="s">
        <v>425</v>
      </c>
      <c r="AL67" s="109" t="s">
        <v>297</v>
      </c>
      <c r="AM67" s="109" t="s">
        <v>298</v>
      </c>
      <c r="AN67" s="207" t="s">
        <v>426</v>
      </c>
      <c r="AO67" s="109">
        <v>35.061</v>
      </c>
      <c r="AP67" s="109">
        <v>0</v>
      </c>
      <c r="AQ67" s="109">
        <v>3</v>
      </c>
      <c r="AR67" s="109">
        <v>0</v>
      </c>
      <c r="AS67" s="109" t="s">
        <v>252</v>
      </c>
      <c r="AT67" s="109" t="s">
        <v>229</v>
      </c>
      <c r="AU67" s="110">
        <v>46260</v>
      </c>
      <c r="AV67" s="109">
        <v>284.09</v>
      </c>
      <c r="AW67" s="109" t="s">
        <v>230</v>
      </c>
      <c r="AX67" s="109" t="s">
        <v>230</v>
      </c>
      <c r="AY67" s="109">
        <v>1517.68</v>
      </c>
      <c r="AZ67" s="109" t="s">
        <v>419</v>
      </c>
      <c r="BA67" s="109"/>
      <c r="BB67" s="109">
        <v>284.09</v>
      </c>
      <c r="BC67" s="109">
        <v>250</v>
      </c>
      <c r="BD67" s="109">
        <v>284.09</v>
      </c>
      <c r="BE67" s="109">
        <v>34.09</v>
      </c>
      <c r="BF67" s="111">
        <v>0.12</v>
      </c>
      <c r="BG67" s="109">
        <v>0</v>
      </c>
      <c r="BH67" s="109">
        <v>35.061</v>
      </c>
      <c r="BI67" s="109">
        <v>0</v>
      </c>
      <c r="BJ67" s="109">
        <v>250</v>
      </c>
      <c r="BK67" s="109">
        <v>0</v>
      </c>
      <c r="BL67" s="109">
        <v>0</v>
      </c>
      <c r="BM67" s="109">
        <v>0</v>
      </c>
      <c r="BN67" s="109">
        <v>0</v>
      </c>
      <c r="BO67" s="109">
        <v>0</v>
      </c>
      <c r="BP67" s="109">
        <v>0</v>
      </c>
      <c r="BQ67" s="109">
        <v>0</v>
      </c>
      <c r="BR67" s="109">
        <v>0</v>
      </c>
      <c r="BS67" s="109">
        <v>0</v>
      </c>
      <c r="BT67" s="109">
        <v>0</v>
      </c>
      <c r="BU67" s="109">
        <v>0</v>
      </c>
      <c r="BV67" s="109">
        <v>0</v>
      </c>
      <c r="BW67" s="109">
        <v>0</v>
      </c>
      <c r="BX67" s="109">
        <v>0</v>
      </c>
      <c r="BY67" s="109">
        <v>0</v>
      </c>
      <c r="BZ67" s="109">
        <v>0</v>
      </c>
      <c r="CA67" s="109">
        <v>0</v>
      </c>
      <c r="CB67" s="109" t="s">
        <v>225</v>
      </c>
      <c r="CC67" s="109" t="s">
        <v>295</v>
      </c>
      <c r="CD67" s="109">
        <v>373.16</v>
      </c>
      <c r="CE67" s="109">
        <v>0</v>
      </c>
      <c r="CF67" s="109">
        <v>0</v>
      </c>
      <c r="CG67" s="109">
        <v>0</v>
      </c>
      <c r="CH67" s="109">
        <v>0</v>
      </c>
      <c r="CI67" s="109">
        <v>0</v>
      </c>
      <c r="CJ67" s="109">
        <v>0</v>
      </c>
      <c r="CK67" s="109">
        <v>0</v>
      </c>
      <c r="CL67" s="109"/>
      <c r="CM67" s="109"/>
      <c r="CN67" s="109">
        <v>0</v>
      </c>
      <c r="CO67" s="109">
        <v>0</v>
      </c>
      <c r="CP67" s="109">
        <v>0</v>
      </c>
      <c r="CQ67" s="109">
        <v>0</v>
      </c>
      <c r="CR67" s="109">
        <v>0</v>
      </c>
      <c r="CS67" s="109">
        <v>0</v>
      </c>
      <c r="CT67" s="109">
        <v>0</v>
      </c>
      <c r="CU67" s="109">
        <v>0</v>
      </c>
      <c r="CV67" s="109" t="s">
        <v>289</v>
      </c>
      <c r="CW67" s="109">
        <v>0</v>
      </c>
      <c r="CX67" s="109"/>
      <c r="CY67" s="109">
        <v>0</v>
      </c>
      <c r="CZ67" s="109" t="s">
        <v>289</v>
      </c>
      <c r="DA67" s="109">
        <v>0</v>
      </c>
      <c r="DB67" s="109"/>
      <c r="DE67" s="109">
        <v>0</v>
      </c>
      <c r="DF67" s="109" t="s">
        <v>236</v>
      </c>
      <c r="DG67" s="109" t="s">
        <v>221</v>
      </c>
      <c r="DH67" s="109" t="s">
        <v>220</v>
      </c>
      <c r="DI67" s="109">
        <v>9026067267</v>
      </c>
      <c r="DJ67" s="109" t="s">
        <v>222</v>
      </c>
      <c r="DK67" s="109">
        <v>0</v>
      </c>
      <c r="DL67" s="109" t="s">
        <v>226</v>
      </c>
      <c r="DM67" s="109">
        <v>34.09</v>
      </c>
    </row>
    <row r="68" ht="13.8" hidden="1" spans="1:117">
      <c r="A68" s="109">
        <v>2</v>
      </c>
      <c r="B68" s="109" t="s">
        <v>690</v>
      </c>
      <c r="C68" s="109" t="s">
        <v>203</v>
      </c>
      <c r="D68" s="109" t="s">
        <v>225</v>
      </c>
      <c r="E68" s="109" t="s">
        <v>226</v>
      </c>
      <c r="F68" s="110">
        <v>46245</v>
      </c>
      <c r="G68" s="109" t="s">
        <v>240</v>
      </c>
      <c r="H68" s="109" t="s">
        <v>691</v>
      </c>
      <c r="I68" s="109" t="s">
        <v>216</v>
      </c>
      <c r="J68" s="109" t="s">
        <v>217</v>
      </c>
      <c r="K68" s="109" t="s">
        <v>218</v>
      </c>
      <c r="L68" s="109" t="s">
        <v>219</v>
      </c>
      <c r="M68" s="207" t="s">
        <v>242</v>
      </c>
      <c r="N68" s="109" t="s">
        <v>220</v>
      </c>
      <c r="O68" s="109" t="s">
        <v>221</v>
      </c>
      <c r="P68" s="109" t="s">
        <v>243</v>
      </c>
      <c r="Q68" s="109" t="s">
        <v>216</v>
      </c>
      <c r="R68" s="109" t="s">
        <v>217</v>
      </c>
      <c r="S68" s="109" t="s">
        <v>220</v>
      </c>
      <c r="T68" s="109" t="s">
        <v>221</v>
      </c>
      <c r="U68" s="109" t="s">
        <v>216</v>
      </c>
      <c r="V68" s="109" t="s">
        <v>217</v>
      </c>
      <c r="W68" s="109" t="s">
        <v>218</v>
      </c>
      <c r="X68" s="109" t="s">
        <v>219</v>
      </c>
      <c r="Y68" s="109" t="s">
        <v>220</v>
      </c>
      <c r="Z68" s="109" t="s">
        <v>221</v>
      </c>
      <c r="AA68" s="109" t="s">
        <v>222</v>
      </c>
      <c r="AB68" s="109" t="s">
        <v>223</v>
      </c>
      <c r="AC68" s="109" t="s">
        <v>692</v>
      </c>
      <c r="AD68" s="109" t="s">
        <v>693</v>
      </c>
      <c r="AE68" s="109" t="s">
        <v>305</v>
      </c>
      <c r="AF68" s="109" t="s">
        <v>204</v>
      </c>
      <c r="AG68" s="109" t="s">
        <v>306</v>
      </c>
      <c r="AH68" s="109" t="s">
        <v>214</v>
      </c>
      <c r="AI68" s="109" t="s">
        <v>692</v>
      </c>
      <c r="AJ68" s="109" t="s">
        <v>693</v>
      </c>
      <c r="AK68" s="109" t="s">
        <v>306</v>
      </c>
      <c r="AL68" s="109" t="s">
        <v>214</v>
      </c>
      <c r="AM68" s="109" t="s">
        <v>205</v>
      </c>
      <c r="AN68" s="207" t="s">
        <v>694</v>
      </c>
      <c r="AO68" s="109">
        <v>151.4</v>
      </c>
      <c r="AP68" s="109">
        <v>0</v>
      </c>
      <c r="AQ68" s="109">
        <v>11</v>
      </c>
      <c r="AR68" s="109">
        <v>0</v>
      </c>
      <c r="AS68" s="109" t="s">
        <v>252</v>
      </c>
      <c r="AT68" s="109" t="s">
        <v>229</v>
      </c>
      <c r="AU68" s="110">
        <v>46260</v>
      </c>
      <c r="AV68" s="109">
        <v>501.11</v>
      </c>
      <c r="AW68" s="109" t="s">
        <v>230</v>
      </c>
      <c r="AX68" s="109" t="s">
        <v>230</v>
      </c>
      <c r="AY68" s="109">
        <v>3324.17</v>
      </c>
      <c r="AZ68" s="109" t="s">
        <v>232</v>
      </c>
      <c r="BA68" s="109" t="s">
        <v>308</v>
      </c>
      <c r="BB68" s="109">
        <v>501.11</v>
      </c>
      <c r="BC68" s="109">
        <v>440.98</v>
      </c>
      <c r="BD68" s="109">
        <v>501.11</v>
      </c>
      <c r="BE68" s="109">
        <v>60.13</v>
      </c>
      <c r="BF68" s="111">
        <v>0.12</v>
      </c>
      <c r="BG68" s="109">
        <v>0</v>
      </c>
      <c r="BH68" s="109">
        <v>151.4</v>
      </c>
      <c r="BI68" s="109">
        <v>133.37</v>
      </c>
      <c r="BJ68" s="109">
        <v>0</v>
      </c>
      <c r="BK68" s="109">
        <v>17</v>
      </c>
      <c r="BL68" s="109">
        <v>0</v>
      </c>
      <c r="BM68" s="109">
        <v>9.76</v>
      </c>
      <c r="BN68" s="109">
        <v>4.99</v>
      </c>
      <c r="BO68" s="109">
        <v>11</v>
      </c>
      <c r="BP68" s="109">
        <v>3.23</v>
      </c>
      <c r="BQ68" s="109">
        <v>0</v>
      </c>
      <c r="BR68" s="109">
        <v>0</v>
      </c>
      <c r="BS68" s="109">
        <v>0</v>
      </c>
      <c r="BT68" s="109">
        <v>0</v>
      </c>
      <c r="BU68" s="109">
        <v>0</v>
      </c>
      <c r="BV68" s="109">
        <v>0</v>
      </c>
      <c r="BW68" s="109">
        <v>0</v>
      </c>
      <c r="BX68" s="109">
        <v>250</v>
      </c>
      <c r="BY68" s="109">
        <v>0</v>
      </c>
      <c r="BZ68" s="109">
        <v>0</v>
      </c>
      <c r="CA68" s="109">
        <v>11.63</v>
      </c>
      <c r="CB68" s="109" t="s">
        <v>225</v>
      </c>
      <c r="CC68" s="109" t="s">
        <v>204</v>
      </c>
      <c r="CD68" s="109">
        <v>393.21</v>
      </c>
      <c r="CE68" s="109">
        <v>0</v>
      </c>
      <c r="CF68" s="109">
        <v>0</v>
      </c>
      <c r="CG68" s="109">
        <v>0</v>
      </c>
      <c r="CH68" s="109">
        <v>0</v>
      </c>
      <c r="CI68" s="109">
        <v>0</v>
      </c>
      <c r="CJ68" s="109">
        <v>0</v>
      </c>
      <c r="CK68" s="109">
        <v>0</v>
      </c>
      <c r="CL68" s="109"/>
      <c r="CM68" s="109"/>
      <c r="CN68" s="109">
        <v>0</v>
      </c>
      <c r="CO68" s="109">
        <v>0</v>
      </c>
      <c r="CP68" s="109">
        <v>0</v>
      </c>
      <c r="CQ68" s="109">
        <v>0</v>
      </c>
      <c r="CR68" s="109">
        <v>0</v>
      </c>
      <c r="CS68" s="109">
        <v>0</v>
      </c>
      <c r="CT68" s="109">
        <v>0</v>
      </c>
      <c r="CU68" s="109">
        <v>22.71</v>
      </c>
      <c r="CV68" s="109" t="s">
        <v>254</v>
      </c>
      <c r="CW68" s="109">
        <v>0</v>
      </c>
      <c r="CX68" s="109"/>
      <c r="CY68" s="109">
        <v>21.2</v>
      </c>
      <c r="CZ68" s="109" t="s">
        <v>235</v>
      </c>
      <c r="DA68" s="109">
        <v>0</v>
      </c>
      <c r="DB68" s="109"/>
      <c r="DE68" s="109">
        <v>0</v>
      </c>
      <c r="DF68" s="109" t="s">
        <v>236</v>
      </c>
      <c r="DG68" s="109" t="s">
        <v>221</v>
      </c>
      <c r="DH68" s="109" t="s">
        <v>220</v>
      </c>
      <c r="DI68" s="109">
        <v>9026067267</v>
      </c>
      <c r="DJ68" s="109" t="s">
        <v>222</v>
      </c>
      <c r="DK68" s="109">
        <v>0</v>
      </c>
      <c r="DL68" s="109" t="s">
        <v>226</v>
      </c>
      <c r="DM68" s="109">
        <v>60.13</v>
      </c>
    </row>
    <row r="69" ht="13.8" hidden="1" spans="1:117">
      <c r="A69" s="109">
        <v>2</v>
      </c>
      <c r="B69" s="109" t="s">
        <v>695</v>
      </c>
      <c r="C69" s="109" t="s">
        <v>203</v>
      </c>
      <c r="D69" s="109" t="s">
        <v>225</v>
      </c>
      <c r="E69" s="109" t="s">
        <v>226</v>
      </c>
      <c r="F69" s="110">
        <v>46245</v>
      </c>
      <c r="G69" s="109" t="s">
        <v>240</v>
      </c>
      <c r="H69" s="109" t="s">
        <v>696</v>
      </c>
      <c r="I69" s="109" t="s">
        <v>216</v>
      </c>
      <c r="J69" s="109" t="s">
        <v>217</v>
      </c>
      <c r="K69" s="109" t="s">
        <v>218</v>
      </c>
      <c r="L69" s="109" t="s">
        <v>219</v>
      </c>
      <c r="M69" s="207" t="s">
        <v>242</v>
      </c>
      <c r="N69" s="109" t="s">
        <v>220</v>
      </c>
      <c r="O69" s="109" t="s">
        <v>221</v>
      </c>
      <c r="P69" s="109" t="s">
        <v>243</v>
      </c>
      <c r="Q69" s="109" t="s">
        <v>216</v>
      </c>
      <c r="R69" s="109" t="s">
        <v>217</v>
      </c>
      <c r="S69" s="109" t="s">
        <v>220</v>
      </c>
      <c r="T69" s="109" t="s">
        <v>221</v>
      </c>
      <c r="U69" s="109" t="s">
        <v>216</v>
      </c>
      <c r="V69" s="109" t="s">
        <v>217</v>
      </c>
      <c r="W69" s="109" t="s">
        <v>218</v>
      </c>
      <c r="X69" s="109" t="s">
        <v>219</v>
      </c>
      <c r="Y69" s="109" t="s">
        <v>220</v>
      </c>
      <c r="Z69" s="109" t="s">
        <v>221</v>
      </c>
      <c r="AA69" s="109" t="s">
        <v>222</v>
      </c>
      <c r="AB69" s="109" t="s">
        <v>223</v>
      </c>
      <c r="AC69" s="109" t="s">
        <v>697</v>
      </c>
      <c r="AD69" s="109" t="s">
        <v>258</v>
      </c>
      <c r="AE69" s="109" t="s">
        <v>246</v>
      </c>
      <c r="AF69" s="109" t="s">
        <v>247</v>
      </c>
      <c r="AG69" s="109" t="s">
        <v>248</v>
      </c>
      <c r="AH69" s="109" t="s">
        <v>249</v>
      </c>
      <c r="AI69" s="109" t="s">
        <v>697</v>
      </c>
      <c r="AJ69" s="109" t="s">
        <v>258</v>
      </c>
      <c r="AK69" s="109" t="s">
        <v>248</v>
      </c>
      <c r="AL69" s="109" t="s">
        <v>249</v>
      </c>
      <c r="AM69" s="109" t="s">
        <v>250</v>
      </c>
      <c r="AN69" s="207" t="s">
        <v>698</v>
      </c>
      <c r="AO69" s="109">
        <v>83.425</v>
      </c>
      <c r="AP69" s="109">
        <v>0</v>
      </c>
      <c r="AQ69" s="109">
        <v>6</v>
      </c>
      <c r="AR69" s="109">
        <v>0</v>
      </c>
      <c r="AS69" s="109" t="s">
        <v>252</v>
      </c>
      <c r="AT69" s="109" t="s">
        <v>229</v>
      </c>
      <c r="AU69" s="110">
        <v>46260</v>
      </c>
      <c r="AV69" s="109">
        <v>453.33</v>
      </c>
      <c r="AW69" s="109" t="s">
        <v>230</v>
      </c>
      <c r="AX69" s="109" t="s">
        <v>231</v>
      </c>
      <c r="AY69" s="109">
        <v>2649.85</v>
      </c>
      <c r="AZ69" s="109" t="s">
        <v>232</v>
      </c>
      <c r="BA69" s="109" t="s">
        <v>253</v>
      </c>
      <c r="BB69" s="109">
        <v>453.33</v>
      </c>
      <c r="BC69" s="109">
        <v>398.93</v>
      </c>
      <c r="BD69" s="109">
        <v>453.33</v>
      </c>
      <c r="BE69" s="109">
        <v>54.4</v>
      </c>
      <c r="BF69" s="111">
        <v>0.12</v>
      </c>
      <c r="BG69" s="109">
        <v>0</v>
      </c>
      <c r="BH69" s="109">
        <v>83.425</v>
      </c>
      <c r="BI69" s="109">
        <v>100.2</v>
      </c>
      <c r="BJ69" s="109">
        <v>0</v>
      </c>
      <c r="BK69" s="109">
        <v>17</v>
      </c>
      <c r="BL69" s="109">
        <v>0</v>
      </c>
      <c r="BM69" s="109">
        <v>9.76</v>
      </c>
      <c r="BN69" s="109">
        <v>3.97</v>
      </c>
      <c r="BO69" s="109">
        <v>5.5</v>
      </c>
      <c r="BP69" s="109">
        <v>3.23</v>
      </c>
      <c r="BQ69" s="109">
        <v>0</v>
      </c>
      <c r="BR69" s="109">
        <v>0</v>
      </c>
      <c r="BS69" s="109">
        <v>0</v>
      </c>
      <c r="BT69" s="109">
        <v>0</v>
      </c>
      <c r="BU69" s="109">
        <v>0</v>
      </c>
      <c r="BV69" s="109">
        <v>0</v>
      </c>
      <c r="BW69" s="109">
        <v>0</v>
      </c>
      <c r="BX69" s="109">
        <v>250</v>
      </c>
      <c r="BY69" s="109">
        <v>0</v>
      </c>
      <c r="BZ69" s="109">
        <v>0</v>
      </c>
      <c r="CA69" s="109">
        <v>9.27</v>
      </c>
      <c r="CB69" s="109" t="s">
        <v>225</v>
      </c>
      <c r="CC69" s="109" t="s">
        <v>247</v>
      </c>
      <c r="CD69" s="109">
        <v>384.5</v>
      </c>
      <c r="CE69" s="109">
        <v>0</v>
      </c>
      <c r="CF69" s="109">
        <v>0</v>
      </c>
      <c r="CG69" s="109">
        <v>0</v>
      </c>
      <c r="CH69" s="109">
        <v>0</v>
      </c>
      <c r="CI69" s="109">
        <v>0</v>
      </c>
      <c r="CJ69" s="109">
        <v>0</v>
      </c>
      <c r="CK69" s="109">
        <v>0</v>
      </c>
      <c r="CL69" s="109"/>
      <c r="CM69" s="109"/>
      <c r="CN69" s="109">
        <v>0</v>
      </c>
      <c r="CO69" s="109">
        <v>0</v>
      </c>
      <c r="CP69" s="109">
        <v>0</v>
      </c>
      <c r="CQ69" s="109">
        <v>0</v>
      </c>
      <c r="CR69" s="109">
        <v>0</v>
      </c>
      <c r="CS69" s="109">
        <v>0</v>
      </c>
      <c r="CT69" s="109">
        <v>0</v>
      </c>
      <c r="CU69" s="109">
        <v>12.51</v>
      </c>
      <c r="CV69" s="109" t="s">
        <v>254</v>
      </c>
      <c r="CW69" s="109">
        <v>0</v>
      </c>
      <c r="CX69" s="109"/>
      <c r="CY69" s="109">
        <v>18</v>
      </c>
      <c r="CZ69" s="109" t="s">
        <v>235</v>
      </c>
      <c r="DA69" s="109">
        <v>0</v>
      </c>
      <c r="DB69" s="109"/>
      <c r="DE69" s="109">
        <v>0</v>
      </c>
      <c r="DF69" s="109" t="s">
        <v>236</v>
      </c>
      <c r="DG69" s="109" t="s">
        <v>221</v>
      </c>
      <c r="DH69" s="109" t="s">
        <v>220</v>
      </c>
      <c r="DI69" s="109">
        <v>9026067267</v>
      </c>
      <c r="DJ69" s="109" t="s">
        <v>222</v>
      </c>
      <c r="DK69" s="109">
        <v>0</v>
      </c>
      <c r="DL69" s="109" t="s">
        <v>226</v>
      </c>
      <c r="DM69" s="109">
        <v>54.4</v>
      </c>
    </row>
    <row r="70" ht="13.8" hidden="1" spans="1:117">
      <c r="A70" s="109">
        <v>2</v>
      </c>
      <c r="B70" s="109" t="s">
        <v>699</v>
      </c>
      <c r="C70" s="109" t="s">
        <v>203</v>
      </c>
      <c r="D70" s="109" t="s">
        <v>225</v>
      </c>
      <c r="E70" s="109" t="s">
        <v>226</v>
      </c>
      <c r="F70" s="110">
        <v>46245</v>
      </c>
      <c r="G70" s="109" t="s">
        <v>240</v>
      </c>
      <c r="H70" s="109" t="s">
        <v>700</v>
      </c>
      <c r="I70" s="109" t="s">
        <v>216</v>
      </c>
      <c r="J70" s="109" t="s">
        <v>217</v>
      </c>
      <c r="K70" s="109" t="s">
        <v>218</v>
      </c>
      <c r="L70" s="109" t="s">
        <v>219</v>
      </c>
      <c r="M70" s="207" t="s">
        <v>242</v>
      </c>
      <c r="N70" s="109" t="s">
        <v>220</v>
      </c>
      <c r="O70" s="109" t="s">
        <v>221</v>
      </c>
      <c r="P70" s="109" t="s">
        <v>243</v>
      </c>
      <c r="Q70" s="109" t="s">
        <v>216</v>
      </c>
      <c r="R70" s="109" t="s">
        <v>217</v>
      </c>
      <c r="S70" s="109" t="s">
        <v>220</v>
      </c>
      <c r="T70" s="109" t="s">
        <v>221</v>
      </c>
      <c r="U70" s="109" t="s">
        <v>216</v>
      </c>
      <c r="V70" s="109" t="s">
        <v>217</v>
      </c>
      <c r="W70" s="109" t="s">
        <v>218</v>
      </c>
      <c r="X70" s="109" t="s">
        <v>219</v>
      </c>
      <c r="Y70" s="109" t="s">
        <v>220</v>
      </c>
      <c r="Z70" s="109" t="s">
        <v>221</v>
      </c>
      <c r="AA70" s="109" t="s">
        <v>222</v>
      </c>
      <c r="AB70" s="109" t="s">
        <v>223</v>
      </c>
      <c r="AC70" s="109" t="s">
        <v>701</v>
      </c>
      <c r="AD70" s="109" t="s">
        <v>702</v>
      </c>
      <c r="AE70" s="109" t="s">
        <v>246</v>
      </c>
      <c r="AF70" s="109" t="s">
        <v>247</v>
      </c>
      <c r="AG70" s="109" t="s">
        <v>248</v>
      </c>
      <c r="AH70" s="109" t="s">
        <v>249</v>
      </c>
      <c r="AI70" s="109" t="s">
        <v>701</v>
      </c>
      <c r="AJ70" s="109" t="s">
        <v>702</v>
      </c>
      <c r="AK70" s="109" t="s">
        <v>248</v>
      </c>
      <c r="AL70" s="109" t="s">
        <v>249</v>
      </c>
      <c r="AM70" s="109" t="s">
        <v>250</v>
      </c>
      <c r="AN70" s="207" t="s">
        <v>703</v>
      </c>
      <c r="AO70" s="109">
        <v>606.721</v>
      </c>
      <c r="AP70" s="109">
        <v>0</v>
      </c>
      <c r="AQ70" s="109">
        <v>70</v>
      </c>
      <c r="AR70" s="109">
        <v>0</v>
      </c>
      <c r="AS70" s="109" t="s">
        <v>252</v>
      </c>
      <c r="AT70" s="109" t="s">
        <v>229</v>
      </c>
      <c r="AU70" s="110">
        <v>46260</v>
      </c>
      <c r="AV70" s="109">
        <v>795.67</v>
      </c>
      <c r="AW70" s="109" t="s">
        <v>230</v>
      </c>
      <c r="AX70" s="109" t="s">
        <v>231</v>
      </c>
      <c r="AY70" s="109">
        <v>17118.02</v>
      </c>
      <c r="AZ70" s="109" t="s">
        <v>232</v>
      </c>
      <c r="BA70" s="109" t="s">
        <v>253</v>
      </c>
      <c r="BB70" s="109">
        <v>795.67</v>
      </c>
      <c r="BC70" s="109">
        <v>700.19</v>
      </c>
      <c r="BD70" s="109">
        <v>795.67</v>
      </c>
      <c r="BE70" s="109">
        <v>95.48</v>
      </c>
      <c r="BF70" s="111">
        <v>0.12</v>
      </c>
      <c r="BG70" s="109">
        <v>0</v>
      </c>
      <c r="BH70" s="109">
        <v>606.721</v>
      </c>
      <c r="BI70" s="109">
        <v>546.11</v>
      </c>
      <c r="BJ70" s="109">
        <v>0</v>
      </c>
      <c r="BK70" s="109">
        <v>17</v>
      </c>
      <c r="BL70" s="109">
        <v>0</v>
      </c>
      <c r="BM70" s="109">
        <v>9.76</v>
      </c>
      <c r="BN70" s="109">
        <v>25.68</v>
      </c>
      <c r="BO70" s="109">
        <v>38.5</v>
      </c>
      <c r="BP70" s="109">
        <v>3.23</v>
      </c>
      <c r="BQ70" s="109">
        <v>0</v>
      </c>
      <c r="BR70" s="109">
        <v>0</v>
      </c>
      <c r="BS70" s="109">
        <v>0</v>
      </c>
      <c r="BT70" s="109">
        <v>0</v>
      </c>
      <c r="BU70" s="109">
        <v>0</v>
      </c>
      <c r="BV70" s="109">
        <v>0</v>
      </c>
      <c r="BW70" s="109">
        <v>0</v>
      </c>
      <c r="BX70" s="109">
        <v>0</v>
      </c>
      <c r="BY70" s="109">
        <v>0</v>
      </c>
      <c r="BZ70" s="109">
        <v>0</v>
      </c>
      <c r="CA70" s="109">
        <v>59.91</v>
      </c>
      <c r="CB70" s="109" t="s">
        <v>225</v>
      </c>
      <c r="CC70" s="109" t="s">
        <v>247</v>
      </c>
      <c r="CD70" s="109">
        <v>1996.16</v>
      </c>
      <c r="CE70" s="109">
        <v>0</v>
      </c>
      <c r="CF70" s="109">
        <v>0</v>
      </c>
      <c r="CG70" s="109">
        <v>0</v>
      </c>
      <c r="CH70" s="109">
        <v>0</v>
      </c>
      <c r="CI70" s="109">
        <v>0</v>
      </c>
      <c r="CJ70" s="109">
        <v>0</v>
      </c>
      <c r="CK70" s="109">
        <v>0</v>
      </c>
      <c r="CL70" s="109"/>
      <c r="CM70" s="109"/>
      <c r="CN70" s="109">
        <v>0</v>
      </c>
      <c r="CO70" s="109">
        <v>0</v>
      </c>
      <c r="CP70" s="109">
        <v>0</v>
      </c>
      <c r="CQ70" s="109">
        <v>0</v>
      </c>
      <c r="CR70" s="109">
        <v>0</v>
      </c>
      <c r="CS70" s="109">
        <v>0</v>
      </c>
      <c r="CT70" s="109">
        <v>0</v>
      </c>
      <c r="CU70" s="109">
        <v>91.01</v>
      </c>
      <c r="CV70" s="109" t="s">
        <v>254</v>
      </c>
      <c r="CW70" s="109">
        <v>0</v>
      </c>
      <c r="CX70" s="109"/>
      <c r="CY70" s="109">
        <v>109.21</v>
      </c>
      <c r="CZ70" s="109" t="s">
        <v>254</v>
      </c>
      <c r="DA70" s="109">
        <v>0</v>
      </c>
      <c r="DB70" s="109"/>
      <c r="DE70" s="109">
        <v>0</v>
      </c>
      <c r="DF70" s="109" t="s">
        <v>236</v>
      </c>
      <c r="DG70" s="109" t="s">
        <v>221</v>
      </c>
      <c r="DH70" s="109" t="s">
        <v>220</v>
      </c>
      <c r="DI70" s="109">
        <v>9026067267</v>
      </c>
      <c r="DJ70" s="109" t="s">
        <v>222</v>
      </c>
      <c r="DK70" s="109">
        <v>0</v>
      </c>
      <c r="DL70" s="109" t="s">
        <v>226</v>
      </c>
      <c r="DM70" s="109">
        <v>95.48</v>
      </c>
    </row>
    <row r="71" ht="13.8" hidden="1" spans="1:117">
      <c r="A71" s="109">
        <v>2</v>
      </c>
      <c r="B71" s="109" t="s">
        <v>704</v>
      </c>
      <c r="C71" s="109" t="s">
        <v>203</v>
      </c>
      <c r="D71" s="109" t="s">
        <v>225</v>
      </c>
      <c r="E71" s="109" t="s">
        <v>226</v>
      </c>
      <c r="F71" s="110">
        <v>46245</v>
      </c>
      <c r="G71" s="109" t="s">
        <v>240</v>
      </c>
      <c r="H71" s="109" t="s">
        <v>705</v>
      </c>
      <c r="I71" s="109" t="s">
        <v>216</v>
      </c>
      <c r="J71" s="109" t="s">
        <v>217</v>
      </c>
      <c r="K71" s="109" t="s">
        <v>218</v>
      </c>
      <c r="L71" s="109" t="s">
        <v>219</v>
      </c>
      <c r="M71" s="207" t="s">
        <v>242</v>
      </c>
      <c r="N71" s="109" t="s">
        <v>220</v>
      </c>
      <c r="O71" s="109" t="s">
        <v>221</v>
      </c>
      <c r="P71" s="109" t="s">
        <v>243</v>
      </c>
      <c r="Q71" s="109" t="s">
        <v>216</v>
      </c>
      <c r="R71" s="109" t="s">
        <v>217</v>
      </c>
      <c r="S71" s="109" t="s">
        <v>220</v>
      </c>
      <c r="T71" s="109" t="s">
        <v>221</v>
      </c>
      <c r="U71" s="109" t="s">
        <v>216</v>
      </c>
      <c r="V71" s="109" t="s">
        <v>217</v>
      </c>
      <c r="W71" s="109" t="s">
        <v>218</v>
      </c>
      <c r="X71" s="109" t="s">
        <v>219</v>
      </c>
      <c r="Y71" s="109" t="s">
        <v>220</v>
      </c>
      <c r="Z71" s="109" t="s">
        <v>221</v>
      </c>
      <c r="AA71" s="109" t="s">
        <v>222</v>
      </c>
      <c r="AB71" s="109" t="s">
        <v>223</v>
      </c>
      <c r="AC71" s="109" t="s">
        <v>706</v>
      </c>
      <c r="AD71" s="109" t="s">
        <v>707</v>
      </c>
      <c r="AE71" s="109">
        <v>272</v>
      </c>
      <c r="AF71" s="109" t="s">
        <v>352</v>
      </c>
      <c r="AG71" s="109" t="s">
        <v>708</v>
      </c>
      <c r="AH71" s="109" t="s">
        <v>249</v>
      </c>
      <c r="AI71" s="109" t="s">
        <v>706</v>
      </c>
      <c r="AJ71" s="109" t="s">
        <v>707</v>
      </c>
      <c r="AK71" s="109" t="s">
        <v>708</v>
      </c>
      <c r="AL71" s="109" t="s">
        <v>249</v>
      </c>
      <c r="AM71" s="109" t="s">
        <v>354</v>
      </c>
      <c r="AN71" s="207" t="s">
        <v>709</v>
      </c>
      <c r="AO71" s="109">
        <v>158.413</v>
      </c>
      <c r="AP71" s="109">
        <v>0</v>
      </c>
      <c r="AQ71" s="109">
        <v>22</v>
      </c>
      <c r="AR71" s="109">
        <v>0</v>
      </c>
      <c r="AS71" s="109" t="s">
        <v>252</v>
      </c>
      <c r="AT71" s="109" t="s">
        <v>229</v>
      </c>
      <c r="AU71" s="110">
        <v>46260</v>
      </c>
      <c r="AV71" s="109">
        <v>289.27</v>
      </c>
      <c r="AW71" s="109" t="s">
        <v>230</v>
      </c>
      <c r="AX71" s="109" t="s">
        <v>231</v>
      </c>
      <c r="AY71" s="109">
        <v>5645.07</v>
      </c>
      <c r="AZ71" s="109" t="s">
        <v>232</v>
      </c>
      <c r="BA71" s="109" t="s">
        <v>356</v>
      </c>
      <c r="BB71" s="109">
        <v>289.27</v>
      </c>
      <c r="BC71" s="109">
        <v>254.56</v>
      </c>
      <c r="BD71" s="109">
        <v>289.27</v>
      </c>
      <c r="BE71" s="109">
        <v>34.71</v>
      </c>
      <c r="BF71" s="111">
        <v>0.12</v>
      </c>
      <c r="BG71" s="109">
        <v>0</v>
      </c>
      <c r="BH71" s="109">
        <v>158.413</v>
      </c>
      <c r="BI71" s="109">
        <v>185.34</v>
      </c>
      <c r="BJ71" s="109">
        <v>0</v>
      </c>
      <c r="BK71" s="109">
        <v>17</v>
      </c>
      <c r="BL71" s="109">
        <v>0</v>
      </c>
      <c r="BM71" s="109">
        <v>9.76</v>
      </c>
      <c r="BN71" s="109">
        <v>8.47</v>
      </c>
      <c r="BO71" s="109">
        <v>11</v>
      </c>
      <c r="BP71" s="109">
        <v>3.23</v>
      </c>
      <c r="BQ71" s="109">
        <v>0</v>
      </c>
      <c r="BR71" s="109">
        <v>0</v>
      </c>
      <c r="BS71" s="109">
        <v>0</v>
      </c>
      <c r="BT71" s="109">
        <v>0</v>
      </c>
      <c r="BU71" s="109">
        <v>0</v>
      </c>
      <c r="BV71" s="109">
        <v>0</v>
      </c>
      <c r="BW71" s="109">
        <v>0</v>
      </c>
      <c r="BX71" s="109">
        <v>0</v>
      </c>
      <c r="BY71" s="109">
        <v>0</v>
      </c>
      <c r="BZ71" s="109">
        <v>0</v>
      </c>
      <c r="CA71" s="109">
        <v>19.76</v>
      </c>
      <c r="CB71" s="109" t="s">
        <v>225</v>
      </c>
      <c r="CC71" s="109" t="s">
        <v>357</v>
      </c>
      <c r="CD71" s="109">
        <v>423.4</v>
      </c>
      <c r="CE71" s="109">
        <v>0</v>
      </c>
      <c r="CF71" s="109">
        <v>0</v>
      </c>
      <c r="CG71" s="109">
        <v>0</v>
      </c>
      <c r="CH71" s="109">
        <v>0</v>
      </c>
      <c r="CI71" s="109">
        <v>0</v>
      </c>
      <c r="CJ71" s="109">
        <v>0</v>
      </c>
      <c r="CK71" s="109">
        <v>0</v>
      </c>
      <c r="CL71" s="109"/>
      <c r="CM71" s="109"/>
      <c r="CN71" s="109">
        <v>0</v>
      </c>
      <c r="CO71" s="109">
        <v>0</v>
      </c>
      <c r="CP71" s="109">
        <v>0</v>
      </c>
      <c r="CQ71" s="109">
        <v>0</v>
      </c>
      <c r="CR71" s="109">
        <v>0</v>
      </c>
      <c r="CS71" s="109">
        <v>0</v>
      </c>
      <c r="CT71" s="109">
        <v>0</v>
      </c>
      <c r="CU71" s="109">
        <v>23.76</v>
      </c>
      <c r="CV71" s="109" t="s">
        <v>254</v>
      </c>
      <c r="CW71" s="109">
        <v>0</v>
      </c>
      <c r="CX71" s="109"/>
      <c r="CY71" s="109">
        <v>95.1</v>
      </c>
      <c r="CZ71" s="109" t="s">
        <v>358</v>
      </c>
      <c r="DA71" s="109">
        <v>95.1</v>
      </c>
      <c r="DB71" s="207" t="s">
        <v>359</v>
      </c>
      <c r="DE71" s="109">
        <v>0</v>
      </c>
      <c r="DF71" s="109" t="s">
        <v>236</v>
      </c>
      <c r="DG71" s="109" t="s">
        <v>221</v>
      </c>
      <c r="DH71" s="109" t="s">
        <v>220</v>
      </c>
      <c r="DI71" s="109">
        <v>9026067267</v>
      </c>
      <c r="DJ71" s="109" t="s">
        <v>222</v>
      </c>
      <c r="DK71" s="109">
        <v>0</v>
      </c>
      <c r="DL71" s="109" t="s">
        <v>226</v>
      </c>
      <c r="DM71" s="109">
        <v>34.71</v>
      </c>
    </row>
    <row r="72" ht="13.8" hidden="1" spans="1:117">
      <c r="A72" s="109">
        <v>2</v>
      </c>
      <c r="B72" s="109" t="s">
        <v>710</v>
      </c>
      <c r="C72" s="109" t="s">
        <v>203</v>
      </c>
      <c r="D72" s="109" t="s">
        <v>225</v>
      </c>
      <c r="E72" s="109" t="s">
        <v>226</v>
      </c>
      <c r="F72" s="110">
        <v>46245</v>
      </c>
      <c r="G72" s="109" t="s">
        <v>240</v>
      </c>
      <c r="H72" s="109" t="s">
        <v>711</v>
      </c>
      <c r="I72" s="109" t="s">
        <v>216</v>
      </c>
      <c r="J72" s="109" t="s">
        <v>217</v>
      </c>
      <c r="K72" s="109" t="s">
        <v>218</v>
      </c>
      <c r="L72" s="109" t="s">
        <v>219</v>
      </c>
      <c r="M72" s="207" t="s">
        <v>242</v>
      </c>
      <c r="N72" s="109" t="s">
        <v>220</v>
      </c>
      <c r="O72" s="109" t="s">
        <v>221</v>
      </c>
      <c r="P72" s="109" t="s">
        <v>243</v>
      </c>
      <c r="Q72" s="109" t="s">
        <v>216</v>
      </c>
      <c r="R72" s="109" t="s">
        <v>217</v>
      </c>
      <c r="S72" s="109" t="s">
        <v>220</v>
      </c>
      <c r="T72" s="109" t="s">
        <v>221</v>
      </c>
      <c r="U72" s="109" t="s">
        <v>216</v>
      </c>
      <c r="V72" s="109" t="s">
        <v>217</v>
      </c>
      <c r="W72" s="109" t="s">
        <v>218</v>
      </c>
      <c r="X72" s="109" t="s">
        <v>219</v>
      </c>
      <c r="Y72" s="109" t="s">
        <v>220</v>
      </c>
      <c r="Z72" s="109" t="s">
        <v>221</v>
      </c>
      <c r="AA72" s="109" t="s">
        <v>222</v>
      </c>
      <c r="AB72" s="109" t="s">
        <v>223</v>
      </c>
      <c r="AC72" s="109" t="s">
        <v>712</v>
      </c>
      <c r="AD72" s="109" t="s">
        <v>713</v>
      </c>
      <c r="AE72" s="109">
        <v>144</v>
      </c>
      <c r="AF72" s="109" t="s">
        <v>714</v>
      </c>
      <c r="AG72" s="109" t="s">
        <v>715</v>
      </c>
      <c r="AH72" s="109" t="s">
        <v>297</v>
      </c>
      <c r="AI72" s="109" t="s">
        <v>712</v>
      </c>
      <c r="AJ72" s="109" t="s">
        <v>713</v>
      </c>
      <c r="AK72" s="109" t="s">
        <v>715</v>
      </c>
      <c r="AL72" s="109" t="s">
        <v>297</v>
      </c>
      <c r="AM72" s="109" t="s">
        <v>607</v>
      </c>
      <c r="AN72" s="207" t="s">
        <v>716</v>
      </c>
      <c r="AO72" s="109">
        <v>215.8</v>
      </c>
      <c r="AP72" s="109">
        <v>0</v>
      </c>
      <c r="AQ72" s="109">
        <v>13</v>
      </c>
      <c r="AR72" s="109">
        <v>0</v>
      </c>
      <c r="AS72" s="109" t="s">
        <v>252</v>
      </c>
      <c r="AT72" s="109" t="s">
        <v>229</v>
      </c>
      <c r="AU72" s="110">
        <v>46260</v>
      </c>
      <c r="AV72" s="109">
        <v>380.83</v>
      </c>
      <c r="AW72" s="109" t="s">
        <v>230</v>
      </c>
      <c r="AX72" s="109" t="s">
        <v>230</v>
      </c>
      <c r="AY72" s="109">
        <v>4640.43</v>
      </c>
      <c r="AZ72" s="109" t="s">
        <v>232</v>
      </c>
      <c r="BA72" s="109" t="s">
        <v>557</v>
      </c>
      <c r="BB72" s="109">
        <v>380.83</v>
      </c>
      <c r="BC72" s="109">
        <v>335.13</v>
      </c>
      <c r="BD72" s="109">
        <v>380.83</v>
      </c>
      <c r="BE72" s="109">
        <v>45.7</v>
      </c>
      <c r="BF72" s="111">
        <v>0.12</v>
      </c>
      <c r="BG72" s="109">
        <v>0</v>
      </c>
      <c r="BH72" s="109">
        <v>215.8</v>
      </c>
      <c r="BI72" s="109">
        <v>200.44</v>
      </c>
      <c r="BJ72" s="109">
        <v>0</v>
      </c>
      <c r="BK72" s="109">
        <v>17</v>
      </c>
      <c r="BL72" s="109">
        <v>0</v>
      </c>
      <c r="BM72" s="109">
        <v>9.76</v>
      </c>
      <c r="BN72" s="109">
        <v>6.96</v>
      </c>
      <c r="BO72" s="109">
        <v>16.5</v>
      </c>
      <c r="BP72" s="109">
        <v>3.23</v>
      </c>
      <c r="BQ72" s="109">
        <v>65</v>
      </c>
      <c r="BR72" s="109">
        <v>0</v>
      </c>
      <c r="BS72" s="109">
        <v>0</v>
      </c>
      <c r="BT72" s="109">
        <v>0</v>
      </c>
      <c r="BU72" s="109">
        <v>0</v>
      </c>
      <c r="BV72" s="109">
        <v>0</v>
      </c>
      <c r="BW72" s="109">
        <v>0</v>
      </c>
      <c r="BX72" s="109">
        <v>0</v>
      </c>
      <c r="BY72" s="109">
        <v>0</v>
      </c>
      <c r="BZ72" s="109">
        <v>0</v>
      </c>
      <c r="CA72" s="109">
        <v>16.24</v>
      </c>
      <c r="CB72" s="109" t="s">
        <v>225</v>
      </c>
      <c r="CC72" s="109" t="s">
        <v>558</v>
      </c>
      <c r="CD72" s="109">
        <v>465.62</v>
      </c>
      <c r="CE72" s="109">
        <v>0</v>
      </c>
      <c r="CF72" s="109">
        <v>0</v>
      </c>
      <c r="CG72" s="109">
        <v>0</v>
      </c>
      <c r="CH72" s="109">
        <v>0</v>
      </c>
      <c r="CI72" s="109">
        <v>0</v>
      </c>
      <c r="CJ72" s="109">
        <v>0</v>
      </c>
      <c r="CK72" s="109">
        <v>0</v>
      </c>
      <c r="CL72" s="109"/>
      <c r="CM72" s="109"/>
      <c r="CN72" s="109">
        <v>0</v>
      </c>
      <c r="CO72" s="109">
        <v>0</v>
      </c>
      <c r="CP72" s="109">
        <v>0</v>
      </c>
      <c r="CQ72" s="109">
        <v>0</v>
      </c>
      <c r="CR72" s="109">
        <v>0</v>
      </c>
      <c r="CS72" s="109">
        <v>0</v>
      </c>
      <c r="CT72" s="109">
        <v>0</v>
      </c>
      <c r="CU72" s="109">
        <v>32.37</v>
      </c>
      <c r="CV72" s="109" t="s">
        <v>254</v>
      </c>
      <c r="CW72" s="109">
        <v>0</v>
      </c>
      <c r="CX72" s="109"/>
      <c r="CY72" s="109">
        <v>110.01</v>
      </c>
      <c r="CZ72" s="109" t="s">
        <v>609</v>
      </c>
      <c r="DA72" s="109">
        <v>196.1</v>
      </c>
      <c r="DB72" s="109">
        <v>160426</v>
      </c>
      <c r="DE72" s="109">
        <v>0</v>
      </c>
      <c r="DF72" s="109" t="s">
        <v>236</v>
      </c>
      <c r="DG72" s="109" t="s">
        <v>221</v>
      </c>
      <c r="DH72" s="109" t="s">
        <v>220</v>
      </c>
      <c r="DI72" s="109">
        <v>9026067267</v>
      </c>
      <c r="DJ72" s="109" t="s">
        <v>222</v>
      </c>
      <c r="DK72" s="109">
        <v>0</v>
      </c>
      <c r="DL72" s="109" t="s">
        <v>226</v>
      </c>
      <c r="DM72" s="109">
        <v>45.7</v>
      </c>
    </row>
    <row r="73" ht="13.8" hidden="1" spans="1:117">
      <c r="A73" s="109">
        <v>2</v>
      </c>
      <c r="B73" s="109" t="s">
        <v>717</v>
      </c>
      <c r="C73" s="109" t="s">
        <v>203</v>
      </c>
      <c r="D73" s="109" t="s">
        <v>225</v>
      </c>
      <c r="E73" s="109" t="s">
        <v>226</v>
      </c>
      <c r="F73" s="110">
        <v>46245</v>
      </c>
      <c r="G73" s="109" t="s">
        <v>240</v>
      </c>
      <c r="H73" s="109" t="s">
        <v>718</v>
      </c>
      <c r="I73" s="109" t="s">
        <v>216</v>
      </c>
      <c r="J73" s="109" t="s">
        <v>217</v>
      </c>
      <c r="K73" s="109" t="s">
        <v>218</v>
      </c>
      <c r="L73" s="109" t="s">
        <v>219</v>
      </c>
      <c r="M73" s="207" t="s">
        <v>242</v>
      </c>
      <c r="N73" s="109" t="s">
        <v>220</v>
      </c>
      <c r="O73" s="109" t="s">
        <v>221</v>
      </c>
      <c r="P73" s="109" t="s">
        <v>243</v>
      </c>
      <c r="Q73" s="109" t="s">
        <v>216</v>
      </c>
      <c r="R73" s="109" t="s">
        <v>217</v>
      </c>
      <c r="S73" s="109" t="s">
        <v>220</v>
      </c>
      <c r="T73" s="109" t="s">
        <v>221</v>
      </c>
      <c r="U73" s="109" t="s">
        <v>216</v>
      </c>
      <c r="V73" s="109" t="s">
        <v>217</v>
      </c>
      <c r="W73" s="109" t="s">
        <v>218</v>
      </c>
      <c r="X73" s="109" t="s">
        <v>219</v>
      </c>
      <c r="Y73" s="109" t="s">
        <v>220</v>
      </c>
      <c r="Z73" s="109" t="s">
        <v>221</v>
      </c>
      <c r="AA73" s="109" t="s">
        <v>222</v>
      </c>
      <c r="AB73" s="109" t="s">
        <v>223</v>
      </c>
      <c r="AC73" s="109" t="s">
        <v>719</v>
      </c>
      <c r="AD73" s="109" t="s">
        <v>720</v>
      </c>
      <c r="AE73" s="109" t="s">
        <v>312</v>
      </c>
      <c r="AF73" s="109" t="s">
        <v>369</v>
      </c>
      <c r="AG73" s="109" t="s">
        <v>721</v>
      </c>
      <c r="AH73" s="109" t="s">
        <v>297</v>
      </c>
      <c r="AI73" s="109" t="s">
        <v>719</v>
      </c>
      <c r="AJ73" s="109" t="s">
        <v>720</v>
      </c>
      <c r="AK73" s="109" t="s">
        <v>721</v>
      </c>
      <c r="AL73" s="109" t="s">
        <v>297</v>
      </c>
      <c r="AM73" s="109" t="s">
        <v>298</v>
      </c>
      <c r="AN73" s="207" t="s">
        <v>722</v>
      </c>
      <c r="AO73" s="109">
        <v>59.5</v>
      </c>
      <c r="AP73" s="109">
        <v>0</v>
      </c>
      <c r="AQ73" s="109">
        <v>4</v>
      </c>
      <c r="AR73" s="109">
        <v>0</v>
      </c>
      <c r="AS73" s="109" t="s">
        <v>252</v>
      </c>
      <c r="AT73" s="109" t="s">
        <v>229</v>
      </c>
      <c r="AU73" s="110">
        <v>46260</v>
      </c>
      <c r="AV73" s="109">
        <v>238.76</v>
      </c>
      <c r="AW73" s="109" t="s">
        <v>230</v>
      </c>
      <c r="AX73" s="109" t="s">
        <v>230</v>
      </c>
      <c r="AY73" s="109">
        <v>7775.76</v>
      </c>
      <c r="AZ73" s="109" t="s">
        <v>232</v>
      </c>
      <c r="BA73" s="109" t="s">
        <v>368</v>
      </c>
      <c r="BB73" s="109">
        <v>238.76</v>
      </c>
      <c r="BC73" s="109">
        <v>210.11</v>
      </c>
      <c r="BD73" s="109">
        <v>238.76</v>
      </c>
      <c r="BE73" s="109">
        <v>28.65</v>
      </c>
      <c r="BF73" s="111">
        <v>0.12</v>
      </c>
      <c r="BG73" s="109">
        <v>0</v>
      </c>
      <c r="BH73" s="109">
        <v>59.5</v>
      </c>
      <c r="BI73" s="109">
        <v>135.74</v>
      </c>
      <c r="BJ73" s="109">
        <v>0</v>
      </c>
      <c r="BK73" s="109">
        <v>17</v>
      </c>
      <c r="BL73" s="109">
        <v>0</v>
      </c>
      <c r="BM73" s="109">
        <v>9.76</v>
      </c>
      <c r="BN73" s="109">
        <v>11.66</v>
      </c>
      <c r="BO73" s="109">
        <v>5.5</v>
      </c>
      <c r="BP73" s="109">
        <v>3.23</v>
      </c>
      <c r="BQ73" s="109">
        <v>0</v>
      </c>
      <c r="BR73" s="109">
        <v>0</v>
      </c>
      <c r="BS73" s="109">
        <v>0</v>
      </c>
      <c r="BT73" s="109">
        <v>0</v>
      </c>
      <c r="BU73" s="109">
        <v>0</v>
      </c>
      <c r="BV73" s="109">
        <v>0</v>
      </c>
      <c r="BW73" s="109">
        <v>0</v>
      </c>
      <c r="BX73" s="109">
        <v>0</v>
      </c>
      <c r="BY73" s="109">
        <v>0</v>
      </c>
      <c r="BZ73" s="109">
        <v>0</v>
      </c>
      <c r="CA73" s="109">
        <v>27.22</v>
      </c>
      <c r="CB73" s="109" t="s">
        <v>225</v>
      </c>
      <c r="CC73" s="109" t="s">
        <v>369</v>
      </c>
      <c r="CD73" s="109">
        <v>451.09</v>
      </c>
      <c r="CE73" s="109">
        <v>0</v>
      </c>
      <c r="CF73" s="109">
        <v>0</v>
      </c>
      <c r="CG73" s="109">
        <v>0</v>
      </c>
      <c r="CH73" s="109">
        <v>0</v>
      </c>
      <c r="CI73" s="109">
        <v>0</v>
      </c>
      <c r="CJ73" s="109">
        <v>0</v>
      </c>
      <c r="CK73" s="109">
        <v>0</v>
      </c>
      <c r="CL73" s="109"/>
      <c r="CM73" s="109"/>
      <c r="CN73" s="109">
        <v>0</v>
      </c>
      <c r="CO73" s="109">
        <v>0</v>
      </c>
      <c r="CP73" s="109">
        <v>0</v>
      </c>
      <c r="CQ73" s="109">
        <v>0</v>
      </c>
      <c r="CR73" s="109">
        <v>0</v>
      </c>
      <c r="CS73" s="109">
        <v>0</v>
      </c>
      <c r="CT73" s="109">
        <v>0</v>
      </c>
      <c r="CU73" s="109">
        <v>12</v>
      </c>
      <c r="CV73" s="109" t="s">
        <v>254</v>
      </c>
      <c r="CW73" s="109">
        <v>0</v>
      </c>
      <c r="CX73" s="109"/>
      <c r="CY73" s="109">
        <v>18</v>
      </c>
      <c r="CZ73" s="109" t="s">
        <v>254</v>
      </c>
      <c r="DA73" s="109">
        <v>0</v>
      </c>
      <c r="DB73" s="109"/>
      <c r="DE73" s="109">
        <v>0</v>
      </c>
      <c r="DF73" s="109" t="s">
        <v>236</v>
      </c>
      <c r="DG73" s="109" t="s">
        <v>221</v>
      </c>
      <c r="DH73" s="109" t="s">
        <v>220</v>
      </c>
      <c r="DI73" s="109">
        <v>9026067267</v>
      </c>
      <c r="DJ73" s="109" t="s">
        <v>222</v>
      </c>
      <c r="DK73" s="109">
        <v>0</v>
      </c>
      <c r="DL73" s="109" t="s">
        <v>226</v>
      </c>
      <c r="DM73" s="109">
        <v>28.65</v>
      </c>
    </row>
    <row r="74" ht="13.8" hidden="1" spans="1:117">
      <c r="A74" s="109">
        <v>2</v>
      </c>
      <c r="B74" s="109" t="s">
        <v>723</v>
      </c>
      <c r="C74" s="109" t="s">
        <v>203</v>
      </c>
      <c r="D74" s="109" t="s">
        <v>225</v>
      </c>
      <c r="E74" s="109" t="s">
        <v>226</v>
      </c>
      <c r="F74" s="110">
        <v>46245</v>
      </c>
      <c r="G74" s="109" t="s">
        <v>240</v>
      </c>
      <c r="H74" s="109" t="s">
        <v>724</v>
      </c>
      <c r="I74" s="109" t="s">
        <v>216</v>
      </c>
      <c r="J74" s="109" t="s">
        <v>217</v>
      </c>
      <c r="K74" s="109" t="s">
        <v>218</v>
      </c>
      <c r="L74" s="109" t="s">
        <v>219</v>
      </c>
      <c r="M74" s="207" t="s">
        <v>242</v>
      </c>
      <c r="N74" s="109" t="s">
        <v>220</v>
      </c>
      <c r="O74" s="109" t="s">
        <v>221</v>
      </c>
      <c r="P74" s="109" t="s">
        <v>243</v>
      </c>
      <c r="Q74" s="109" t="s">
        <v>216</v>
      </c>
      <c r="R74" s="109" t="s">
        <v>217</v>
      </c>
      <c r="S74" s="109" t="s">
        <v>220</v>
      </c>
      <c r="T74" s="109" t="s">
        <v>221</v>
      </c>
      <c r="U74" s="109" t="s">
        <v>216</v>
      </c>
      <c r="V74" s="109" t="s">
        <v>217</v>
      </c>
      <c r="W74" s="109" t="s">
        <v>218</v>
      </c>
      <c r="X74" s="109" t="s">
        <v>219</v>
      </c>
      <c r="Y74" s="109" t="s">
        <v>220</v>
      </c>
      <c r="Z74" s="109" t="s">
        <v>221</v>
      </c>
      <c r="AA74" s="109" t="s">
        <v>222</v>
      </c>
      <c r="AB74" s="109" t="s">
        <v>223</v>
      </c>
      <c r="AC74" s="109" t="s">
        <v>725</v>
      </c>
      <c r="AD74" s="109" t="s">
        <v>726</v>
      </c>
      <c r="AE74" s="109" t="s">
        <v>312</v>
      </c>
      <c r="AF74" s="109" t="s">
        <v>295</v>
      </c>
      <c r="AG74" s="109" t="s">
        <v>727</v>
      </c>
      <c r="AH74" s="109" t="s">
        <v>297</v>
      </c>
      <c r="AI74" s="109" t="s">
        <v>725</v>
      </c>
      <c r="AJ74" s="109" t="s">
        <v>726</v>
      </c>
      <c r="AK74" s="109" t="s">
        <v>727</v>
      </c>
      <c r="AL74" s="109" t="s">
        <v>297</v>
      </c>
      <c r="AM74" s="109" t="s">
        <v>298</v>
      </c>
      <c r="AN74" s="207" t="s">
        <v>728</v>
      </c>
      <c r="AO74" s="109">
        <v>1045.2</v>
      </c>
      <c r="AP74" s="109">
        <v>0</v>
      </c>
      <c r="AQ74" s="109">
        <v>80</v>
      </c>
      <c r="AR74" s="109">
        <v>0</v>
      </c>
      <c r="AS74" s="109" t="s">
        <v>252</v>
      </c>
      <c r="AT74" s="109" t="s">
        <v>229</v>
      </c>
      <c r="AU74" s="110">
        <v>46260</v>
      </c>
      <c r="AV74" s="109">
        <v>1411.06</v>
      </c>
      <c r="AW74" s="109" t="s">
        <v>230</v>
      </c>
      <c r="AX74" s="109" t="s">
        <v>230</v>
      </c>
      <c r="AY74" s="109">
        <v>44224</v>
      </c>
      <c r="AZ74" s="109" t="s">
        <v>232</v>
      </c>
      <c r="BA74" s="109" t="s">
        <v>300</v>
      </c>
      <c r="BB74" s="109">
        <v>1411.06</v>
      </c>
      <c r="BC74" s="109">
        <v>1241.73</v>
      </c>
      <c r="BD74" s="109">
        <v>1411.06</v>
      </c>
      <c r="BE74" s="109">
        <v>169.33</v>
      </c>
      <c r="BF74" s="111">
        <v>0.12</v>
      </c>
      <c r="BG74" s="109">
        <v>0</v>
      </c>
      <c r="BH74" s="109">
        <v>1045.2</v>
      </c>
      <c r="BI74" s="109">
        <v>930.12</v>
      </c>
      <c r="BJ74" s="109">
        <v>0</v>
      </c>
      <c r="BK74" s="109">
        <v>17</v>
      </c>
      <c r="BL74" s="109">
        <v>0</v>
      </c>
      <c r="BM74" s="109">
        <v>9.76</v>
      </c>
      <c r="BN74" s="109">
        <v>66.34</v>
      </c>
      <c r="BO74" s="109">
        <v>60.5</v>
      </c>
      <c r="BP74" s="109">
        <v>3.23</v>
      </c>
      <c r="BQ74" s="109">
        <v>0</v>
      </c>
      <c r="BR74" s="109">
        <v>0</v>
      </c>
      <c r="BS74" s="109">
        <v>0</v>
      </c>
      <c r="BT74" s="109">
        <v>0</v>
      </c>
      <c r="BU74" s="109">
        <v>0</v>
      </c>
      <c r="BV74" s="109">
        <v>0</v>
      </c>
      <c r="BW74" s="109">
        <v>0</v>
      </c>
      <c r="BX74" s="109">
        <v>0</v>
      </c>
      <c r="BY74" s="109">
        <v>0</v>
      </c>
      <c r="BZ74" s="109">
        <v>0</v>
      </c>
      <c r="CA74" s="109">
        <v>154.78</v>
      </c>
      <c r="CB74" s="109" t="s">
        <v>225</v>
      </c>
      <c r="CC74" s="109" t="s">
        <v>295</v>
      </c>
      <c r="CD74" s="109">
        <v>3882.94</v>
      </c>
      <c r="CE74" s="109">
        <v>0</v>
      </c>
      <c r="CF74" s="109">
        <v>0</v>
      </c>
      <c r="CG74" s="109">
        <v>0</v>
      </c>
      <c r="CH74" s="109">
        <v>0</v>
      </c>
      <c r="CI74" s="109">
        <v>0</v>
      </c>
      <c r="CJ74" s="109">
        <v>0</v>
      </c>
      <c r="CK74" s="109">
        <v>0</v>
      </c>
      <c r="CL74" s="109"/>
      <c r="CM74" s="109"/>
      <c r="CN74" s="109">
        <v>0</v>
      </c>
      <c r="CO74" s="109">
        <v>0</v>
      </c>
      <c r="CP74" s="109">
        <v>0</v>
      </c>
      <c r="CQ74" s="109">
        <v>0</v>
      </c>
      <c r="CR74" s="109">
        <v>0</v>
      </c>
      <c r="CS74" s="109">
        <v>0</v>
      </c>
      <c r="CT74" s="109">
        <v>0</v>
      </c>
      <c r="CU74" s="109">
        <v>156.78</v>
      </c>
      <c r="CV74" s="109" t="s">
        <v>254</v>
      </c>
      <c r="CW74" s="109">
        <v>0</v>
      </c>
      <c r="CX74" s="109"/>
      <c r="CY74" s="109">
        <v>188.14</v>
      </c>
      <c r="CZ74" s="109" t="s">
        <v>254</v>
      </c>
      <c r="DA74" s="109">
        <v>0</v>
      </c>
      <c r="DB74" s="109"/>
      <c r="DE74" s="109">
        <v>0</v>
      </c>
      <c r="DF74" s="109" t="s">
        <v>236</v>
      </c>
      <c r="DG74" s="109" t="s">
        <v>221</v>
      </c>
      <c r="DH74" s="109" t="s">
        <v>220</v>
      </c>
      <c r="DI74" s="109">
        <v>9026067267</v>
      </c>
      <c r="DJ74" s="109" t="s">
        <v>222</v>
      </c>
      <c r="DK74" s="109">
        <v>0</v>
      </c>
      <c r="DL74" s="109" t="s">
        <v>226</v>
      </c>
      <c r="DM74" s="109">
        <v>169.33</v>
      </c>
    </row>
    <row r="75" ht="13.8" hidden="1" spans="1:117">
      <c r="A75" s="109">
        <v>2</v>
      </c>
      <c r="B75" s="109" t="s">
        <v>729</v>
      </c>
      <c r="C75" s="109" t="s">
        <v>203</v>
      </c>
      <c r="D75" s="109" t="s">
        <v>225</v>
      </c>
      <c r="E75" s="109" t="s">
        <v>226</v>
      </c>
      <c r="F75" s="110">
        <v>46245</v>
      </c>
      <c r="G75" s="109" t="s">
        <v>240</v>
      </c>
      <c r="H75" s="109" t="s">
        <v>730</v>
      </c>
      <c r="I75" s="109" t="s">
        <v>216</v>
      </c>
      <c r="J75" s="109" t="s">
        <v>217</v>
      </c>
      <c r="K75" s="109" t="s">
        <v>218</v>
      </c>
      <c r="L75" s="109" t="s">
        <v>219</v>
      </c>
      <c r="M75" s="207" t="s">
        <v>242</v>
      </c>
      <c r="N75" s="109" t="s">
        <v>220</v>
      </c>
      <c r="O75" s="109" t="s">
        <v>221</v>
      </c>
      <c r="P75" s="109" t="s">
        <v>243</v>
      </c>
      <c r="Q75" s="109" t="s">
        <v>216</v>
      </c>
      <c r="R75" s="109" t="s">
        <v>217</v>
      </c>
      <c r="S75" s="109" t="s">
        <v>220</v>
      </c>
      <c r="T75" s="109" t="s">
        <v>221</v>
      </c>
      <c r="U75" s="109" t="s">
        <v>216</v>
      </c>
      <c r="V75" s="109" t="s">
        <v>217</v>
      </c>
      <c r="W75" s="109" t="s">
        <v>218</v>
      </c>
      <c r="X75" s="109" t="s">
        <v>219</v>
      </c>
      <c r="Y75" s="109" t="s">
        <v>220</v>
      </c>
      <c r="Z75" s="109" t="s">
        <v>221</v>
      </c>
      <c r="AA75" s="109" t="s">
        <v>222</v>
      </c>
      <c r="AB75" s="109" t="s">
        <v>223</v>
      </c>
      <c r="AC75" s="109" t="s">
        <v>731</v>
      </c>
      <c r="AD75" s="109" t="s">
        <v>732</v>
      </c>
      <c r="AE75" s="109" t="s">
        <v>312</v>
      </c>
      <c r="AF75" s="109" t="s">
        <v>369</v>
      </c>
      <c r="AG75" s="109" t="s">
        <v>721</v>
      </c>
      <c r="AH75" s="109" t="s">
        <v>297</v>
      </c>
      <c r="AI75" s="109" t="s">
        <v>731</v>
      </c>
      <c r="AJ75" s="109" t="s">
        <v>732</v>
      </c>
      <c r="AK75" s="109" t="s">
        <v>721</v>
      </c>
      <c r="AL75" s="109" t="s">
        <v>297</v>
      </c>
      <c r="AM75" s="109" t="s">
        <v>298</v>
      </c>
      <c r="AN75" s="207" t="s">
        <v>733</v>
      </c>
      <c r="AO75" s="109">
        <v>130.05</v>
      </c>
      <c r="AP75" s="109">
        <v>0</v>
      </c>
      <c r="AQ75" s="109">
        <v>12</v>
      </c>
      <c r="AR75" s="109">
        <v>0</v>
      </c>
      <c r="AS75" s="109" t="s">
        <v>252</v>
      </c>
      <c r="AT75" s="109" t="s">
        <v>229</v>
      </c>
      <c r="AU75" s="110">
        <v>46260</v>
      </c>
      <c r="AV75" s="109">
        <v>279.39</v>
      </c>
      <c r="AW75" s="109" t="s">
        <v>230</v>
      </c>
      <c r="AX75" s="109" t="s">
        <v>230</v>
      </c>
      <c r="AY75" s="109">
        <v>10258.19</v>
      </c>
      <c r="AZ75" s="109" t="s">
        <v>232</v>
      </c>
      <c r="BA75" s="109" t="s">
        <v>368</v>
      </c>
      <c r="BB75" s="109">
        <v>279.39</v>
      </c>
      <c r="BC75" s="109">
        <v>245.86</v>
      </c>
      <c r="BD75" s="109">
        <v>279.39</v>
      </c>
      <c r="BE75" s="109">
        <v>33.53</v>
      </c>
      <c r="BF75" s="111">
        <v>0.12</v>
      </c>
      <c r="BG75" s="109">
        <v>0</v>
      </c>
      <c r="BH75" s="109">
        <v>130.05</v>
      </c>
      <c r="BI75" s="109">
        <v>153.58</v>
      </c>
      <c r="BJ75" s="109">
        <v>0</v>
      </c>
      <c r="BK75" s="109">
        <v>17</v>
      </c>
      <c r="BL75" s="109">
        <v>0</v>
      </c>
      <c r="BM75" s="109">
        <v>9.76</v>
      </c>
      <c r="BN75" s="109">
        <v>15.39</v>
      </c>
      <c r="BO75" s="109">
        <v>11</v>
      </c>
      <c r="BP75" s="109">
        <v>3.23</v>
      </c>
      <c r="BQ75" s="109">
        <v>0</v>
      </c>
      <c r="BR75" s="109">
        <v>0</v>
      </c>
      <c r="BS75" s="109">
        <v>0</v>
      </c>
      <c r="BT75" s="109">
        <v>0</v>
      </c>
      <c r="BU75" s="109">
        <v>0</v>
      </c>
      <c r="BV75" s="109">
        <v>0</v>
      </c>
      <c r="BW75" s="109">
        <v>0</v>
      </c>
      <c r="BX75" s="109">
        <v>0</v>
      </c>
      <c r="BY75" s="109">
        <v>0</v>
      </c>
      <c r="BZ75" s="109">
        <v>0</v>
      </c>
      <c r="CA75" s="109">
        <v>35.9</v>
      </c>
      <c r="CB75" s="109" t="s">
        <v>225</v>
      </c>
      <c r="CC75" s="109" t="s">
        <v>369</v>
      </c>
      <c r="CD75" s="109">
        <v>483.37</v>
      </c>
      <c r="CE75" s="109">
        <v>0</v>
      </c>
      <c r="CF75" s="109">
        <v>0</v>
      </c>
      <c r="CG75" s="109">
        <v>0</v>
      </c>
      <c r="CH75" s="109">
        <v>0</v>
      </c>
      <c r="CI75" s="109">
        <v>0</v>
      </c>
      <c r="CJ75" s="109">
        <v>0</v>
      </c>
      <c r="CK75" s="109">
        <v>0</v>
      </c>
      <c r="CL75" s="109"/>
      <c r="CM75" s="109"/>
      <c r="CN75" s="109">
        <v>0</v>
      </c>
      <c r="CO75" s="109">
        <v>0</v>
      </c>
      <c r="CP75" s="109">
        <v>0</v>
      </c>
      <c r="CQ75" s="109">
        <v>0</v>
      </c>
      <c r="CR75" s="109">
        <v>0</v>
      </c>
      <c r="CS75" s="109">
        <v>0</v>
      </c>
      <c r="CT75" s="109">
        <v>0</v>
      </c>
      <c r="CU75" s="109">
        <v>19.51</v>
      </c>
      <c r="CV75" s="109" t="s">
        <v>254</v>
      </c>
      <c r="CW75" s="109">
        <v>0</v>
      </c>
      <c r="CX75" s="109"/>
      <c r="CY75" s="109">
        <v>23.41</v>
      </c>
      <c r="CZ75" s="109" t="s">
        <v>254</v>
      </c>
      <c r="DA75" s="109">
        <v>0</v>
      </c>
      <c r="DB75" s="109"/>
      <c r="DE75" s="109">
        <v>0</v>
      </c>
      <c r="DF75" s="109" t="s">
        <v>236</v>
      </c>
      <c r="DG75" s="109" t="s">
        <v>221</v>
      </c>
      <c r="DH75" s="109" t="s">
        <v>220</v>
      </c>
      <c r="DI75" s="109">
        <v>9026067267</v>
      </c>
      <c r="DJ75" s="109" t="s">
        <v>222</v>
      </c>
      <c r="DK75" s="109">
        <v>0</v>
      </c>
      <c r="DL75" s="109" t="s">
        <v>226</v>
      </c>
      <c r="DM75" s="109">
        <v>33.53</v>
      </c>
    </row>
    <row r="76" ht="13.8" hidden="1" spans="1:117">
      <c r="A76" s="109">
        <v>2</v>
      </c>
      <c r="B76" s="109" t="s">
        <v>734</v>
      </c>
      <c r="C76" s="109" t="s">
        <v>203</v>
      </c>
      <c r="D76" s="109" t="s">
        <v>225</v>
      </c>
      <c r="E76" s="109" t="s">
        <v>226</v>
      </c>
      <c r="F76" s="110">
        <v>46245</v>
      </c>
      <c r="G76" s="109" t="s">
        <v>240</v>
      </c>
      <c r="H76" s="109" t="s">
        <v>735</v>
      </c>
      <c r="I76" s="109" t="s">
        <v>216</v>
      </c>
      <c r="J76" s="109" t="s">
        <v>217</v>
      </c>
      <c r="K76" s="109" t="s">
        <v>218</v>
      </c>
      <c r="L76" s="109" t="s">
        <v>219</v>
      </c>
      <c r="M76" s="207" t="s">
        <v>242</v>
      </c>
      <c r="N76" s="109" t="s">
        <v>220</v>
      </c>
      <c r="O76" s="109" t="s">
        <v>221</v>
      </c>
      <c r="P76" s="109" t="s">
        <v>243</v>
      </c>
      <c r="Q76" s="109" t="s">
        <v>216</v>
      </c>
      <c r="R76" s="109" t="s">
        <v>217</v>
      </c>
      <c r="S76" s="109" t="s">
        <v>220</v>
      </c>
      <c r="T76" s="109" t="s">
        <v>221</v>
      </c>
      <c r="U76" s="109" t="s">
        <v>216</v>
      </c>
      <c r="V76" s="109" t="s">
        <v>217</v>
      </c>
      <c r="W76" s="109" t="s">
        <v>218</v>
      </c>
      <c r="X76" s="109" t="s">
        <v>219</v>
      </c>
      <c r="Y76" s="109" t="s">
        <v>220</v>
      </c>
      <c r="Z76" s="109" t="s">
        <v>221</v>
      </c>
      <c r="AA76" s="109" t="s">
        <v>222</v>
      </c>
      <c r="AB76" s="109" t="s">
        <v>223</v>
      </c>
      <c r="AC76" s="109" t="s">
        <v>736</v>
      </c>
      <c r="AD76" s="109" t="s">
        <v>737</v>
      </c>
      <c r="AE76" s="109" t="s">
        <v>403</v>
      </c>
      <c r="AF76" s="109" t="s">
        <v>295</v>
      </c>
      <c r="AG76" s="109" t="s">
        <v>404</v>
      </c>
      <c r="AH76" s="109" t="s">
        <v>297</v>
      </c>
      <c r="AI76" s="109" t="s">
        <v>736</v>
      </c>
      <c r="AJ76" s="109" t="s">
        <v>737</v>
      </c>
      <c r="AK76" s="109" t="s">
        <v>404</v>
      </c>
      <c r="AL76" s="109" t="s">
        <v>297</v>
      </c>
      <c r="AM76" s="109" t="s">
        <v>298</v>
      </c>
      <c r="AN76" s="207" t="s">
        <v>738</v>
      </c>
      <c r="AO76" s="109">
        <v>33.62</v>
      </c>
      <c r="AP76" s="109">
        <v>0</v>
      </c>
      <c r="AQ76" s="109">
        <v>3</v>
      </c>
      <c r="AR76" s="109">
        <v>0</v>
      </c>
      <c r="AS76" s="109" t="s">
        <v>252</v>
      </c>
      <c r="AT76" s="109" t="s">
        <v>229</v>
      </c>
      <c r="AU76" s="110">
        <v>46260</v>
      </c>
      <c r="AV76" s="109">
        <v>113.56</v>
      </c>
      <c r="AW76" s="109" t="s">
        <v>230</v>
      </c>
      <c r="AX76" s="109" t="s">
        <v>230</v>
      </c>
      <c r="AY76" s="109">
        <v>1528.28</v>
      </c>
      <c r="AZ76" s="109" t="s">
        <v>232</v>
      </c>
      <c r="BA76" s="109" t="s">
        <v>300</v>
      </c>
      <c r="BB76" s="109">
        <v>113.56</v>
      </c>
      <c r="BC76" s="109">
        <v>99.93</v>
      </c>
      <c r="BD76" s="109">
        <v>113.56</v>
      </c>
      <c r="BE76" s="109">
        <v>13.63</v>
      </c>
      <c r="BF76" s="111">
        <v>0.12</v>
      </c>
      <c r="BG76" s="109">
        <v>0</v>
      </c>
      <c r="BH76" s="109">
        <v>33.62</v>
      </c>
      <c r="BI76" s="109">
        <v>56.8</v>
      </c>
      <c r="BJ76" s="109">
        <v>0</v>
      </c>
      <c r="BK76" s="109">
        <v>17</v>
      </c>
      <c r="BL76" s="109">
        <v>0</v>
      </c>
      <c r="BM76" s="109">
        <v>9.76</v>
      </c>
      <c r="BN76" s="109">
        <v>2.29</v>
      </c>
      <c r="BO76" s="109">
        <v>5.5</v>
      </c>
      <c r="BP76" s="109">
        <v>3.23</v>
      </c>
      <c r="BQ76" s="109">
        <v>0</v>
      </c>
      <c r="BR76" s="109">
        <v>0</v>
      </c>
      <c r="BS76" s="109">
        <v>0</v>
      </c>
      <c r="BT76" s="109">
        <v>0</v>
      </c>
      <c r="BU76" s="109">
        <v>0</v>
      </c>
      <c r="BV76" s="109">
        <v>0</v>
      </c>
      <c r="BW76" s="109">
        <v>0</v>
      </c>
      <c r="BX76" s="109">
        <v>0</v>
      </c>
      <c r="BY76" s="109">
        <v>0</v>
      </c>
      <c r="BZ76" s="109">
        <v>0</v>
      </c>
      <c r="CA76" s="109">
        <v>5.35</v>
      </c>
      <c r="CB76" s="109" t="s">
        <v>225</v>
      </c>
      <c r="CC76" s="109" t="s">
        <v>295</v>
      </c>
      <c r="CD76" s="109">
        <v>373.31</v>
      </c>
      <c r="CE76" s="109">
        <v>0</v>
      </c>
      <c r="CF76" s="109">
        <v>0</v>
      </c>
      <c r="CG76" s="109">
        <v>0</v>
      </c>
      <c r="CH76" s="109">
        <v>0</v>
      </c>
      <c r="CI76" s="109">
        <v>0</v>
      </c>
      <c r="CJ76" s="109">
        <v>0</v>
      </c>
      <c r="CK76" s="109">
        <v>0</v>
      </c>
      <c r="CL76" s="109"/>
      <c r="CM76" s="109"/>
      <c r="CN76" s="109">
        <v>0</v>
      </c>
      <c r="CO76" s="109">
        <v>0</v>
      </c>
      <c r="CP76" s="109">
        <v>0</v>
      </c>
      <c r="CQ76" s="109">
        <v>0</v>
      </c>
      <c r="CR76" s="109">
        <v>0</v>
      </c>
      <c r="CS76" s="109">
        <v>0</v>
      </c>
      <c r="CT76" s="109">
        <v>0</v>
      </c>
      <c r="CU76" s="109">
        <v>12</v>
      </c>
      <c r="CV76" s="109" t="s">
        <v>254</v>
      </c>
      <c r="CW76" s="109">
        <v>0</v>
      </c>
      <c r="CX76" s="109"/>
      <c r="CY76" s="109">
        <v>18</v>
      </c>
      <c r="CZ76" s="109" t="s">
        <v>254</v>
      </c>
      <c r="DA76" s="109">
        <v>0</v>
      </c>
      <c r="DB76" s="109"/>
      <c r="DE76" s="109">
        <v>0</v>
      </c>
      <c r="DF76" s="109" t="s">
        <v>236</v>
      </c>
      <c r="DG76" s="109" t="s">
        <v>221</v>
      </c>
      <c r="DH76" s="109" t="s">
        <v>220</v>
      </c>
      <c r="DI76" s="109">
        <v>9026067267</v>
      </c>
      <c r="DJ76" s="109" t="s">
        <v>222</v>
      </c>
      <c r="DK76" s="109">
        <v>0</v>
      </c>
      <c r="DL76" s="109" t="s">
        <v>226</v>
      </c>
      <c r="DM76" s="109">
        <v>13.63</v>
      </c>
    </row>
    <row r="77" ht="13.8" hidden="1" spans="1:117">
      <c r="A77" s="109">
        <v>2</v>
      </c>
      <c r="B77" s="109" t="s">
        <v>739</v>
      </c>
      <c r="C77" s="109" t="s">
        <v>203</v>
      </c>
      <c r="D77" s="109" t="s">
        <v>225</v>
      </c>
      <c r="E77" s="109" t="s">
        <v>226</v>
      </c>
      <c r="F77" s="110">
        <v>46245</v>
      </c>
      <c r="G77" s="109" t="s">
        <v>240</v>
      </c>
      <c r="H77" s="109" t="s">
        <v>740</v>
      </c>
      <c r="I77" s="109" t="s">
        <v>216</v>
      </c>
      <c r="J77" s="109" t="s">
        <v>217</v>
      </c>
      <c r="K77" s="109" t="s">
        <v>218</v>
      </c>
      <c r="L77" s="109" t="s">
        <v>219</v>
      </c>
      <c r="M77" s="207" t="s">
        <v>242</v>
      </c>
      <c r="N77" s="109" t="s">
        <v>220</v>
      </c>
      <c r="O77" s="109" t="s">
        <v>221</v>
      </c>
      <c r="P77" s="109" t="s">
        <v>243</v>
      </c>
      <c r="Q77" s="109" t="s">
        <v>216</v>
      </c>
      <c r="R77" s="109" t="s">
        <v>217</v>
      </c>
      <c r="S77" s="109" t="s">
        <v>220</v>
      </c>
      <c r="T77" s="109" t="s">
        <v>221</v>
      </c>
      <c r="U77" s="109" t="s">
        <v>216</v>
      </c>
      <c r="V77" s="109" t="s">
        <v>217</v>
      </c>
      <c r="W77" s="109" t="s">
        <v>218</v>
      </c>
      <c r="X77" s="109" t="s">
        <v>219</v>
      </c>
      <c r="Y77" s="109" t="s">
        <v>220</v>
      </c>
      <c r="Z77" s="109" t="s">
        <v>221</v>
      </c>
      <c r="AA77" s="109" t="s">
        <v>222</v>
      </c>
      <c r="AB77" s="109" t="s">
        <v>223</v>
      </c>
      <c r="AC77" s="109" t="s">
        <v>741</v>
      </c>
      <c r="AD77" s="109" t="s">
        <v>742</v>
      </c>
      <c r="AE77" s="109" t="s">
        <v>294</v>
      </c>
      <c r="AF77" s="109" t="s">
        <v>295</v>
      </c>
      <c r="AG77" s="109" t="s">
        <v>296</v>
      </c>
      <c r="AH77" s="109" t="s">
        <v>297</v>
      </c>
      <c r="AI77" s="109" t="s">
        <v>741</v>
      </c>
      <c r="AJ77" s="109" t="s">
        <v>742</v>
      </c>
      <c r="AK77" s="109" t="s">
        <v>296</v>
      </c>
      <c r="AL77" s="109" t="s">
        <v>297</v>
      </c>
      <c r="AM77" s="109" t="s">
        <v>298</v>
      </c>
      <c r="AN77" s="207" t="s">
        <v>743</v>
      </c>
      <c r="AO77" s="109">
        <v>40.3</v>
      </c>
      <c r="AP77" s="109">
        <v>0</v>
      </c>
      <c r="AQ77" s="109">
        <v>6</v>
      </c>
      <c r="AR77" s="109">
        <v>0</v>
      </c>
      <c r="AS77" s="109" t="s">
        <v>252</v>
      </c>
      <c r="AT77" s="109" t="s">
        <v>229</v>
      </c>
      <c r="AU77" s="110">
        <v>46260</v>
      </c>
      <c r="AV77" s="109">
        <v>113.42</v>
      </c>
      <c r="AW77" s="109" t="s">
        <v>230</v>
      </c>
      <c r="AX77" s="109" t="s">
        <v>230</v>
      </c>
      <c r="AY77" s="109">
        <v>1503.59</v>
      </c>
      <c r="AZ77" s="109" t="s">
        <v>232</v>
      </c>
      <c r="BA77" s="109" t="s">
        <v>300</v>
      </c>
      <c r="BB77" s="109">
        <v>113.42</v>
      </c>
      <c r="BC77" s="109">
        <v>99.81</v>
      </c>
      <c r="BD77" s="109">
        <v>113.42</v>
      </c>
      <c r="BE77" s="109">
        <v>13.61</v>
      </c>
      <c r="BF77" s="111">
        <v>0.12</v>
      </c>
      <c r="BG77" s="109">
        <v>0</v>
      </c>
      <c r="BH77" s="109">
        <v>40.3</v>
      </c>
      <c r="BI77" s="109">
        <v>56.8</v>
      </c>
      <c r="BJ77" s="109">
        <v>0</v>
      </c>
      <c r="BK77" s="109">
        <v>17</v>
      </c>
      <c r="BL77" s="109">
        <v>0</v>
      </c>
      <c r="BM77" s="109">
        <v>9.76</v>
      </c>
      <c r="BN77" s="109">
        <v>2.26</v>
      </c>
      <c r="BO77" s="109">
        <v>5.5</v>
      </c>
      <c r="BP77" s="109">
        <v>3.23</v>
      </c>
      <c r="BQ77" s="109">
        <v>0</v>
      </c>
      <c r="BR77" s="109">
        <v>0</v>
      </c>
      <c r="BS77" s="109">
        <v>0</v>
      </c>
      <c r="BT77" s="109">
        <v>0</v>
      </c>
      <c r="BU77" s="109">
        <v>0</v>
      </c>
      <c r="BV77" s="109">
        <v>0</v>
      </c>
      <c r="BW77" s="109">
        <v>0</v>
      </c>
      <c r="BX77" s="109">
        <v>0</v>
      </c>
      <c r="BY77" s="109">
        <v>0</v>
      </c>
      <c r="BZ77" s="109">
        <v>0</v>
      </c>
      <c r="CA77" s="109">
        <v>5.26</v>
      </c>
      <c r="CB77" s="109" t="s">
        <v>225</v>
      </c>
      <c r="CC77" s="109" t="s">
        <v>295</v>
      </c>
      <c r="CD77" s="109">
        <v>373.09</v>
      </c>
      <c r="CE77" s="109">
        <v>0</v>
      </c>
      <c r="CF77" s="109">
        <v>0</v>
      </c>
      <c r="CG77" s="109">
        <v>0</v>
      </c>
      <c r="CH77" s="109">
        <v>0</v>
      </c>
      <c r="CI77" s="109">
        <v>0</v>
      </c>
      <c r="CJ77" s="109">
        <v>0</v>
      </c>
      <c r="CK77" s="109">
        <v>0</v>
      </c>
      <c r="CL77" s="109"/>
      <c r="CM77" s="109"/>
      <c r="CN77" s="109">
        <v>0</v>
      </c>
      <c r="CO77" s="109">
        <v>0</v>
      </c>
      <c r="CP77" s="109">
        <v>0</v>
      </c>
      <c r="CQ77" s="109">
        <v>0</v>
      </c>
      <c r="CR77" s="109">
        <v>0</v>
      </c>
      <c r="CS77" s="109">
        <v>0</v>
      </c>
      <c r="CT77" s="109">
        <v>0</v>
      </c>
      <c r="CU77" s="109">
        <v>12</v>
      </c>
      <c r="CV77" s="109" t="s">
        <v>254</v>
      </c>
      <c r="CW77" s="109">
        <v>0</v>
      </c>
      <c r="CX77" s="109"/>
      <c r="CY77" s="109">
        <v>18</v>
      </c>
      <c r="CZ77" s="109" t="s">
        <v>254</v>
      </c>
      <c r="DA77" s="109">
        <v>0</v>
      </c>
      <c r="DB77" s="109"/>
      <c r="DE77" s="109">
        <v>0</v>
      </c>
      <c r="DF77" s="109" t="s">
        <v>236</v>
      </c>
      <c r="DG77" s="109" t="s">
        <v>221</v>
      </c>
      <c r="DH77" s="109" t="s">
        <v>220</v>
      </c>
      <c r="DI77" s="109">
        <v>9026067267</v>
      </c>
      <c r="DJ77" s="109" t="s">
        <v>222</v>
      </c>
      <c r="DK77" s="109">
        <v>0</v>
      </c>
      <c r="DL77" s="109" t="s">
        <v>226</v>
      </c>
      <c r="DM77" s="109">
        <v>13.61</v>
      </c>
    </row>
    <row r="78" ht="13.8" hidden="1" spans="1:117">
      <c r="A78" s="109">
        <v>2</v>
      </c>
      <c r="B78" s="109" t="s">
        <v>744</v>
      </c>
      <c r="C78" s="109" t="s">
        <v>203</v>
      </c>
      <c r="D78" s="109" t="s">
        <v>225</v>
      </c>
      <c r="E78" s="109" t="s">
        <v>226</v>
      </c>
      <c r="F78" s="110">
        <v>46246</v>
      </c>
      <c r="G78" s="109" t="s">
        <v>240</v>
      </c>
      <c r="H78" s="109" t="s">
        <v>745</v>
      </c>
      <c r="I78" s="109" t="s">
        <v>216</v>
      </c>
      <c r="J78" s="109" t="s">
        <v>217</v>
      </c>
      <c r="K78" s="109" t="s">
        <v>218</v>
      </c>
      <c r="L78" s="109" t="s">
        <v>219</v>
      </c>
      <c r="M78" s="207" t="s">
        <v>242</v>
      </c>
      <c r="N78" s="109" t="s">
        <v>220</v>
      </c>
      <c r="O78" s="109" t="s">
        <v>221</v>
      </c>
      <c r="P78" s="109" t="s">
        <v>243</v>
      </c>
      <c r="Q78" s="109" t="s">
        <v>216</v>
      </c>
      <c r="R78" s="109" t="s">
        <v>217</v>
      </c>
      <c r="S78" s="109" t="s">
        <v>220</v>
      </c>
      <c r="T78" s="109" t="s">
        <v>221</v>
      </c>
      <c r="U78" s="109" t="s">
        <v>216</v>
      </c>
      <c r="V78" s="109" t="s">
        <v>217</v>
      </c>
      <c r="W78" s="109" t="s">
        <v>218</v>
      </c>
      <c r="X78" s="109" t="s">
        <v>219</v>
      </c>
      <c r="Y78" s="109" t="s">
        <v>220</v>
      </c>
      <c r="Z78" s="109" t="s">
        <v>221</v>
      </c>
      <c r="AA78" s="109" t="s">
        <v>222</v>
      </c>
      <c r="AB78" s="109" t="s">
        <v>223</v>
      </c>
      <c r="AC78" s="109" t="s">
        <v>746</v>
      </c>
      <c r="AD78" s="109" t="s">
        <v>747</v>
      </c>
      <c r="AE78" s="109">
        <v>133</v>
      </c>
      <c r="AF78" s="109" t="s">
        <v>364</v>
      </c>
      <c r="AG78" s="109" t="s">
        <v>748</v>
      </c>
      <c r="AH78" s="109" t="s">
        <v>297</v>
      </c>
      <c r="AI78" s="109" t="s">
        <v>746</v>
      </c>
      <c r="AJ78" s="109" t="s">
        <v>747</v>
      </c>
      <c r="AK78" s="109" t="s">
        <v>748</v>
      </c>
      <c r="AL78" s="109" t="s">
        <v>297</v>
      </c>
      <c r="AM78" s="109" t="s">
        <v>366</v>
      </c>
      <c r="AN78" s="207" t="s">
        <v>749</v>
      </c>
      <c r="AO78" s="109">
        <v>1188.4</v>
      </c>
      <c r="AP78" s="109">
        <v>0</v>
      </c>
      <c r="AQ78" s="109">
        <v>118</v>
      </c>
      <c r="AR78" s="109">
        <v>0</v>
      </c>
      <c r="AS78" s="109" t="s">
        <v>252</v>
      </c>
      <c r="AT78" s="109" t="s">
        <v>229</v>
      </c>
      <c r="AU78" s="110">
        <v>46260</v>
      </c>
      <c r="AV78" s="109">
        <v>1537.01</v>
      </c>
      <c r="AW78" s="109" t="s">
        <v>230</v>
      </c>
      <c r="AX78" s="109" t="s">
        <v>230</v>
      </c>
      <c r="AY78" s="109">
        <v>30557.03</v>
      </c>
      <c r="AZ78" s="109" t="s">
        <v>232</v>
      </c>
      <c r="BA78" s="109" t="s">
        <v>557</v>
      </c>
      <c r="BB78" s="109">
        <v>1537.01</v>
      </c>
      <c r="BC78" s="109">
        <v>1352.57</v>
      </c>
      <c r="BD78" s="109">
        <v>1537.01</v>
      </c>
      <c r="BE78" s="109">
        <v>184.44</v>
      </c>
      <c r="BF78" s="111">
        <v>0.12</v>
      </c>
      <c r="BG78" s="109">
        <v>0</v>
      </c>
      <c r="BH78" s="109">
        <v>1188.4</v>
      </c>
      <c r="BI78" s="109">
        <v>1103.79</v>
      </c>
      <c r="BJ78" s="109">
        <v>0</v>
      </c>
      <c r="BK78" s="109">
        <v>17</v>
      </c>
      <c r="BL78" s="109">
        <v>0</v>
      </c>
      <c r="BM78" s="109">
        <v>9.76</v>
      </c>
      <c r="BN78" s="109">
        <v>45.84</v>
      </c>
      <c r="BO78" s="109">
        <v>66</v>
      </c>
      <c r="BP78" s="109">
        <v>3.23</v>
      </c>
      <c r="BQ78" s="109">
        <v>0</v>
      </c>
      <c r="BR78" s="109">
        <v>0</v>
      </c>
      <c r="BS78" s="109">
        <v>0</v>
      </c>
      <c r="BT78" s="109">
        <v>0</v>
      </c>
      <c r="BU78" s="109">
        <v>0</v>
      </c>
      <c r="BV78" s="109">
        <v>0</v>
      </c>
      <c r="BW78" s="109">
        <v>0</v>
      </c>
      <c r="BX78" s="109">
        <v>0</v>
      </c>
      <c r="BY78" s="109">
        <v>0</v>
      </c>
      <c r="BZ78" s="109">
        <v>0</v>
      </c>
      <c r="CA78" s="109">
        <v>106.95</v>
      </c>
      <c r="CB78" s="109" t="s">
        <v>225</v>
      </c>
      <c r="CC78" s="109" t="s">
        <v>558</v>
      </c>
      <c r="CD78" s="109">
        <v>4206.38</v>
      </c>
      <c r="CE78" s="109">
        <v>0</v>
      </c>
      <c r="CF78" s="109">
        <v>0</v>
      </c>
      <c r="CG78" s="109">
        <v>0</v>
      </c>
      <c r="CH78" s="109">
        <v>0</v>
      </c>
      <c r="CI78" s="109">
        <v>0</v>
      </c>
      <c r="CJ78" s="109">
        <v>0</v>
      </c>
      <c r="CK78" s="109">
        <v>0</v>
      </c>
      <c r="CL78" s="109"/>
      <c r="CM78" s="109"/>
      <c r="CN78" s="109">
        <v>0</v>
      </c>
      <c r="CO78" s="109">
        <v>0</v>
      </c>
      <c r="CP78" s="109">
        <v>0</v>
      </c>
      <c r="CQ78" s="109">
        <v>0</v>
      </c>
      <c r="CR78" s="109">
        <v>0</v>
      </c>
      <c r="CS78" s="109">
        <v>0</v>
      </c>
      <c r="CT78" s="109">
        <v>0</v>
      </c>
      <c r="CU78" s="109">
        <v>178.26</v>
      </c>
      <c r="CV78" s="109" t="s">
        <v>254</v>
      </c>
      <c r="CW78" s="109">
        <v>0</v>
      </c>
      <c r="CX78" s="109"/>
      <c r="CY78" s="109">
        <v>501.36</v>
      </c>
      <c r="CZ78" s="109" t="s">
        <v>235</v>
      </c>
      <c r="DA78" s="109">
        <f>CY78</f>
        <v>501.36</v>
      </c>
      <c r="DB78" s="109"/>
      <c r="DE78" s="109">
        <v>0</v>
      </c>
      <c r="DF78" s="109" t="s">
        <v>236</v>
      </c>
      <c r="DG78" s="109" t="s">
        <v>221</v>
      </c>
      <c r="DH78" s="109" t="s">
        <v>220</v>
      </c>
      <c r="DI78" s="109">
        <v>9026067267</v>
      </c>
      <c r="DJ78" s="109" t="s">
        <v>222</v>
      </c>
      <c r="DK78" s="109">
        <v>0</v>
      </c>
      <c r="DL78" s="109" t="s">
        <v>226</v>
      </c>
      <c r="DM78" s="109">
        <v>31.37</v>
      </c>
    </row>
    <row r="79" ht="13.8" hidden="1" spans="1:117">
      <c r="A79" s="109">
        <v>2</v>
      </c>
      <c r="B79" s="109" t="s">
        <v>750</v>
      </c>
      <c r="C79" s="109" t="s">
        <v>203</v>
      </c>
      <c r="D79" s="109" t="s">
        <v>225</v>
      </c>
      <c r="E79" s="109" t="s">
        <v>226</v>
      </c>
      <c r="F79" s="110">
        <v>46246</v>
      </c>
      <c r="G79" s="109" t="s">
        <v>240</v>
      </c>
      <c r="H79" s="109" t="s">
        <v>751</v>
      </c>
      <c r="I79" s="109" t="s">
        <v>216</v>
      </c>
      <c r="J79" s="109" t="s">
        <v>217</v>
      </c>
      <c r="K79" s="109" t="s">
        <v>218</v>
      </c>
      <c r="L79" s="109" t="s">
        <v>219</v>
      </c>
      <c r="M79" s="207" t="s">
        <v>242</v>
      </c>
      <c r="N79" s="109" t="s">
        <v>220</v>
      </c>
      <c r="O79" s="109" t="s">
        <v>221</v>
      </c>
      <c r="P79" s="109" t="s">
        <v>243</v>
      </c>
      <c r="Q79" s="109" t="s">
        <v>216</v>
      </c>
      <c r="R79" s="109" t="s">
        <v>217</v>
      </c>
      <c r="S79" s="109" t="s">
        <v>220</v>
      </c>
      <c r="T79" s="109" t="s">
        <v>221</v>
      </c>
      <c r="U79" s="109" t="s">
        <v>216</v>
      </c>
      <c r="V79" s="109" t="s">
        <v>217</v>
      </c>
      <c r="W79" s="109" t="s">
        <v>218</v>
      </c>
      <c r="X79" s="109" t="s">
        <v>219</v>
      </c>
      <c r="Y79" s="109" t="s">
        <v>220</v>
      </c>
      <c r="Z79" s="109" t="s">
        <v>221</v>
      </c>
      <c r="AA79" s="109" t="s">
        <v>222</v>
      </c>
      <c r="AB79" s="109" t="s">
        <v>223</v>
      </c>
      <c r="AC79" s="109" t="s">
        <v>752</v>
      </c>
      <c r="AD79" s="109" t="s">
        <v>753</v>
      </c>
      <c r="AE79" s="109" t="s">
        <v>319</v>
      </c>
      <c r="AF79" s="109" t="s">
        <v>247</v>
      </c>
      <c r="AG79" s="109" t="s">
        <v>320</v>
      </c>
      <c r="AH79" s="109" t="s">
        <v>249</v>
      </c>
      <c r="AI79" s="109" t="s">
        <v>752</v>
      </c>
      <c r="AJ79" s="109" t="s">
        <v>753</v>
      </c>
      <c r="AK79" s="109" t="s">
        <v>320</v>
      </c>
      <c r="AL79" s="109" t="s">
        <v>249</v>
      </c>
      <c r="AM79" s="109" t="s">
        <v>250</v>
      </c>
      <c r="AN79" s="207" t="s">
        <v>754</v>
      </c>
      <c r="AO79" s="109">
        <v>56.3</v>
      </c>
      <c r="AP79" s="109">
        <v>0</v>
      </c>
      <c r="AQ79" s="109">
        <v>5</v>
      </c>
      <c r="AR79" s="109">
        <v>0</v>
      </c>
      <c r="AS79" s="109" t="s">
        <v>252</v>
      </c>
      <c r="AT79" s="109" t="s">
        <v>229</v>
      </c>
      <c r="AU79" s="110">
        <v>46260</v>
      </c>
      <c r="AV79" s="109">
        <v>143.43</v>
      </c>
      <c r="AW79" s="109" t="s">
        <v>230</v>
      </c>
      <c r="AX79" s="109" t="s">
        <v>230</v>
      </c>
      <c r="AY79" s="109">
        <v>1625.98</v>
      </c>
      <c r="AZ79" s="109" t="s">
        <v>232</v>
      </c>
      <c r="BA79" s="109" t="s">
        <v>253</v>
      </c>
      <c r="BB79" s="109">
        <v>143.43</v>
      </c>
      <c r="BC79" s="109">
        <v>126.22</v>
      </c>
      <c r="BD79" s="109">
        <v>143.43</v>
      </c>
      <c r="BE79" s="109">
        <v>17.21</v>
      </c>
      <c r="BF79" s="111">
        <v>0.12</v>
      </c>
      <c r="BG79" s="109">
        <v>0</v>
      </c>
      <c r="BH79" s="109">
        <v>56.3</v>
      </c>
      <c r="BI79" s="109">
        <v>82.6</v>
      </c>
      <c r="BJ79" s="109">
        <v>0</v>
      </c>
      <c r="BK79" s="109">
        <v>17</v>
      </c>
      <c r="BL79" s="109">
        <v>0</v>
      </c>
      <c r="BM79" s="109">
        <v>9.76</v>
      </c>
      <c r="BN79" s="109">
        <v>2.44</v>
      </c>
      <c r="BO79" s="109">
        <v>5.5</v>
      </c>
      <c r="BP79" s="109">
        <v>3.23</v>
      </c>
      <c r="BQ79" s="109">
        <v>0</v>
      </c>
      <c r="BR79" s="109">
        <v>0</v>
      </c>
      <c r="BS79" s="109">
        <v>0</v>
      </c>
      <c r="BT79" s="109">
        <v>0</v>
      </c>
      <c r="BU79" s="109">
        <v>0</v>
      </c>
      <c r="BV79" s="109">
        <v>0</v>
      </c>
      <c r="BW79" s="109">
        <v>0</v>
      </c>
      <c r="BX79" s="109">
        <v>0</v>
      </c>
      <c r="BY79" s="109">
        <v>0</v>
      </c>
      <c r="BZ79" s="109">
        <v>0</v>
      </c>
      <c r="CA79" s="109">
        <v>5.69</v>
      </c>
      <c r="CB79" s="109" t="s">
        <v>225</v>
      </c>
      <c r="CC79" s="109" t="s">
        <v>247</v>
      </c>
      <c r="CD79" s="109">
        <v>374.3</v>
      </c>
      <c r="CE79" s="109">
        <v>0</v>
      </c>
      <c r="CF79" s="109">
        <v>0</v>
      </c>
      <c r="CG79" s="109">
        <v>0</v>
      </c>
      <c r="CH79" s="109">
        <v>0</v>
      </c>
      <c r="CI79" s="109">
        <v>0</v>
      </c>
      <c r="CJ79" s="109">
        <v>0</v>
      </c>
      <c r="CK79" s="109">
        <v>0</v>
      </c>
      <c r="CL79" s="109"/>
      <c r="CM79" s="109"/>
      <c r="CN79" s="109">
        <v>0</v>
      </c>
      <c r="CO79" s="109">
        <v>0</v>
      </c>
      <c r="CP79" s="109">
        <v>0</v>
      </c>
      <c r="CQ79" s="109">
        <v>0</v>
      </c>
      <c r="CR79" s="109">
        <v>0</v>
      </c>
      <c r="CS79" s="109">
        <v>0</v>
      </c>
      <c r="CT79" s="109">
        <v>0</v>
      </c>
      <c r="CU79" s="109">
        <v>12</v>
      </c>
      <c r="CV79" s="109" t="s">
        <v>254</v>
      </c>
      <c r="CW79" s="109">
        <v>0</v>
      </c>
      <c r="CX79" s="109"/>
      <c r="CY79" s="109">
        <v>18</v>
      </c>
      <c r="CZ79" s="109" t="s">
        <v>254</v>
      </c>
      <c r="DA79" s="109">
        <v>0</v>
      </c>
      <c r="DB79" s="109"/>
      <c r="DE79" s="109">
        <v>0</v>
      </c>
      <c r="DF79" s="109" t="s">
        <v>236</v>
      </c>
      <c r="DG79" s="109" t="s">
        <v>221</v>
      </c>
      <c r="DH79" s="109" t="s">
        <v>220</v>
      </c>
      <c r="DI79" s="109">
        <v>9026067267</v>
      </c>
      <c r="DJ79" s="109" t="s">
        <v>222</v>
      </c>
      <c r="DK79" s="109">
        <v>0</v>
      </c>
      <c r="DL79" s="109" t="s">
        <v>226</v>
      </c>
      <c r="DM79" s="109">
        <v>17.21</v>
      </c>
    </row>
    <row r="80" ht="13.8" hidden="1" spans="1:117">
      <c r="A80" s="109">
        <v>2</v>
      </c>
      <c r="B80" s="109" t="s">
        <v>755</v>
      </c>
      <c r="C80" s="109" t="s">
        <v>203</v>
      </c>
      <c r="D80" s="109" t="s">
        <v>225</v>
      </c>
      <c r="E80" s="109" t="s">
        <v>226</v>
      </c>
      <c r="F80" s="110">
        <v>46251</v>
      </c>
      <c r="G80" s="109" t="s">
        <v>240</v>
      </c>
      <c r="H80" s="109" t="s">
        <v>756</v>
      </c>
      <c r="I80" s="109" t="s">
        <v>216</v>
      </c>
      <c r="J80" s="109" t="s">
        <v>217</v>
      </c>
      <c r="K80" s="109" t="s">
        <v>218</v>
      </c>
      <c r="L80" s="109" t="s">
        <v>219</v>
      </c>
      <c r="M80" s="207" t="s">
        <v>242</v>
      </c>
      <c r="N80" s="109" t="s">
        <v>220</v>
      </c>
      <c r="O80" s="109" t="s">
        <v>221</v>
      </c>
      <c r="P80" s="109" t="s">
        <v>243</v>
      </c>
      <c r="Q80" s="109" t="s">
        <v>216</v>
      </c>
      <c r="R80" s="109" t="s">
        <v>217</v>
      </c>
      <c r="S80" s="109" t="s">
        <v>220</v>
      </c>
      <c r="T80" s="109" t="s">
        <v>221</v>
      </c>
      <c r="U80" s="109" t="s">
        <v>216</v>
      </c>
      <c r="V80" s="109" t="s">
        <v>217</v>
      </c>
      <c r="W80" s="109" t="s">
        <v>218</v>
      </c>
      <c r="X80" s="109" t="s">
        <v>219</v>
      </c>
      <c r="Y80" s="109" t="s">
        <v>220</v>
      </c>
      <c r="Z80" s="109" t="s">
        <v>221</v>
      </c>
      <c r="AA80" s="109" t="s">
        <v>222</v>
      </c>
      <c r="AB80" s="109" t="s">
        <v>223</v>
      </c>
      <c r="AC80" s="109" t="s">
        <v>645</v>
      </c>
      <c r="AD80" s="109" t="s">
        <v>416</v>
      </c>
      <c r="AE80" s="109">
        <v>134</v>
      </c>
      <c r="AF80" s="109" t="s">
        <v>364</v>
      </c>
      <c r="AG80" s="109" t="s">
        <v>646</v>
      </c>
      <c r="AH80" s="109" t="s">
        <v>297</v>
      </c>
      <c r="AI80" s="109" t="s">
        <v>645</v>
      </c>
      <c r="AJ80" s="109" t="s">
        <v>416</v>
      </c>
      <c r="AK80" s="109" t="s">
        <v>646</v>
      </c>
      <c r="AL80" s="109" t="s">
        <v>297</v>
      </c>
      <c r="AM80" s="109" t="s">
        <v>366</v>
      </c>
      <c r="AN80" s="207" t="s">
        <v>757</v>
      </c>
      <c r="AO80" s="109">
        <v>98.675</v>
      </c>
      <c r="AP80" s="109">
        <v>0</v>
      </c>
      <c r="AQ80" s="109">
        <v>8</v>
      </c>
      <c r="AR80" s="109">
        <v>0</v>
      </c>
      <c r="AS80" s="109" t="s">
        <v>252</v>
      </c>
      <c r="AT80" s="109" t="s">
        <v>229</v>
      </c>
      <c r="AU80" s="110">
        <v>46267</v>
      </c>
      <c r="AV80" s="109">
        <v>495.59</v>
      </c>
      <c r="AW80" s="109" t="s">
        <v>230</v>
      </c>
      <c r="AX80" s="109" t="s">
        <v>231</v>
      </c>
      <c r="AY80" s="109">
        <v>3306.35</v>
      </c>
      <c r="AZ80" s="109" t="s">
        <v>232</v>
      </c>
      <c r="BA80" s="109" t="s">
        <v>557</v>
      </c>
      <c r="BB80" s="109">
        <v>495.59</v>
      </c>
      <c r="BC80" s="109">
        <v>436.12</v>
      </c>
      <c r="BD80" s="109">
        <v>495.59</v>
      </c>
      <c r="BE80" s="109">
        <v>59.47</v>
      </c>
      <c r="BF80" s="111">
        <v>0.12</v>
      </c>
      <c r="BG80" s="109">
        <v>0</v>
      </c>
      <c r="BH80" s="109">
        <v>98.675</v>
      </c>
      <c r="BI80" s="109">
        <v>134.1</v>
      </c>
      <c r="BJ80" s="109">
        <v>0</v>
      </c>
      <c r="BK80" s="109">
        <v>17</v>
      </c>
      <c r="BL80" s="109">
        <v>0</v>
      </c>
      <c r="BM80" s="109">
        <v>9.76</v>
      </c>
      <c r="BN80" s="109">
        <v>4.96</v>
      </c>
      <c r="BO80" s="109">
        <v>5.5</v>
      </c>
      <c r="BP80" s="109">
        <v>3.23</v>
      </c>
      <c r="BQ80" s="109">
        <v>0</v>
      </c>
      <c r="BR80" s="109">
        <v>0</v>
      </c>
      <c r="BS80" s="109">
        <v>0</v>
      </c>
      <c r="BT80" s="109">
        <v>0</v>
      </c>
      <c r="BU80" s="109">
        <v>0</v>
      </c>
      <c r="BV80" s="109">
        <v>0</v>
      </c>
      <c r="BW80" s="109">
        <v>0</v>
      </c>
      <c r="BX80" s="109">
        <v>250</v>
      </c>
      <c r="BY80" s="109">
        <v>0</v>
      </c>
      <c r="BZ80" s="109">
        <v>0</v>
      </c>
      <c r="CA80" s="109">
        <v>11.57</v>
      </c>
      <c r="CB80" s="109" t="s">
        <v>225</v>
      </c>
      <c r="CC80" s="109" t="s">
        <v>558</v>
      </c>
      <c r="CD80" s="109">
        <v>407.69</v>
      </c>
      <c r="CE80" s="109">
        <v>0</v>
      </c>
      <c r="CF80" s="109">
        <v>0</v>
      </c>
      <c r="CG80" s="109">
        <v>0</v>
      </c>
      <c r="CH80" s="109">
        <v>0</v>
      </c>
      <c r="CI80" s="109">
        <v>0</v>
      </c>
      <c r="CJ80" s="109">
        <v>0</v>
      </c>
      <c r="CK80" s="109">
        <v>0</v>
      </c>
      <c r="CL80" s="109"/>
      <c r="CM80" s="109"/>
      <c r="CN80" s="109">
        <v>0</v>
      </c>
      <c r="CO80" s="109">
        <v>0</v>
      </c>
      <c r="CP80" s="109">
        <v>0</v>
      </c>
      <c r="CQ80" s="109">
        <v>0</v>
      </c>
      <c r="CR80" s="109">
        <v>0</v>
      </c>
      <c r="CS80" s="109">
        <v>0</v>
      </c>
      <c r="CT80" s="109">
        <v>0</v>
      </c>
      <c r="CU80" s="109">
        <v>14.8</v>
      </c>
      <c r="CV80" s="109" t="s">
        <v>235</v>
      </c>
      <c r="CW80" s="109">
        <v>0</v>
      </c>
      <c r="CX80" s="109"/>
      <c r="CY80" s="109">
        <v>231</v>
      </c>
      <c r="CZ80" s="109" t="s">
        <v>235</v>
      </c>
      <c r="DA80" s="109">
        <f>CY80</f>
        <v>231</v>
      </c>
      <c r="DB80" s="109"/>
      <c r="DE80" s="109">
        <v>0</v>
      </c>
      <c r="DF80" s="109" t="s">
        <v>236</v>
      </c>
      <c r="DG80" s="109" t="s">
        <v>221</v>
      </c>
      <c r="DH80" s="109" t="s">
        <v>220</v>
      </c>
      <c r="DI80" s="109">
        <v>9026067267</v>
      </c>
      <c r="DJ80" s="109" t="s">
        <v>222</v>
      </c>
      <c r="DK80" s="109">
        <v>0</v>
      </c>
      <c r="DL80" s="109" t="s">
        <v>226</v>
      </c>
      <c r="DM80" s="109">
        <v>184.44</v>
      </c>
    </row>
    <row r="81" ht="13.8" hidden="1" spans="1:117">
      <c r="A81" s="109">
        <v>2</v>
      </c>
      <c r="B81" s="109" t="s">
        <v>758</v>
      </c>
      <c r="C81" s="109" t="s">
        <v>203</v>
      </c>
      <c r="D81" s="109" t="s">
        <v>225</v>
      </c>
      <c r="E81" s="109" t="s">
        <v>226</v>
      </c>
      <c r="F81" s="110">
        <v>46246</v>
      </c>
      <c r="G81" s="109" t="s">
        <v>240</v>
      </c>
      <c r="H81" s="109" t="s">
        <v>759</v>
      </c>
      <c r="I81" s="109" t="s">
        <v>216</v>
      </c>
      <c r="J81" s="109" t="s">
        <v>217</v>
      </c>
      <c r="K81" s="109" t="s">
        <v>218</v>
      </c>
      <c r="L81" s="109" t="s">
        <v>219</v>
      </c>
      <c r="M81" s="207" t="s">
        <v>242</v>
      </c>
      <c r="N81" s="109" t="s">
        <v>220</v>
      </c>
      <c r="O81" s="109" t="s">
        <v>221</v>
      </c>
      <c r="P81" s="109" t="s">
        <v>243</v>
      </c>
      <c r="Q81" s="109" t="s">
        <v>216</v>
      </c>
      <c r="R81" s="109" t="s">
        <v>217</v>
      </c>
      <c r="S81" s="109" t="s">
        <v>220</v>
      </c>
      <c r="T81" s="109" t="s">
        <v>221</v>
      </c>
      <c r="U81" s="109" t="s">
        <v>216</v>
      </c>
      <c r="V81" s="109" t="s">
        <v>217</v>
      </c>
      <c r="W81" s="109" t="s">
        <v>218</v>
      </c>
      <c r="X81" s="109" t="s">
        <v>219</v>
      </c>
      <c r="Y81" s="109" t="s">
        <v>220</v>
      </c>
      <c r="Z81" s="109" t="s">
        <v>221</v>
      </c>
      <c r="AA81" s="109" t="s">
        <v>222</v>
      </c>
      <c r="AB81" s="109" t="s">
        <v>223</v>
      </c>
      <c r="AC81" s="109" t="s">
        <v>760</v>
      </c>
      <c r="AD81" s="109" t="s">
        <v>761</v>
      </c>
      <c r="AE81" s="109" t="s">
        <v>417</v>
      </c>
      <c r="AF81" s="109" t="s">
        <v>295</v>
      </c>
      <c r="AG81" s="109" t="s">
        <v>296</v>
      </c>
      <c r="AH81" s="109" t="s">
        <v>297</v>
      </c>
      <c r="AI81" s="109" t="s">
        <v>760</v>
      </c>
      <c r="AJ81" s="109" t="s">
        <v>761</v>
      </c>
      <c r="AK81" s="109" t="s">
        <v>296</v>
      </c>
      <c r="AL81" s="109" t="s">
        <v>297</v>
      </c>
      <c r="AM81" s="109" t="s">
        <v>298</v>
      </c>
      <c r="AN81" s="207" t="s">
        <v>762</v>
      </c>
      <c r="AO81" s="109">
        <v>35.68</v>
      </c>
      <c r="AP81" s="109">
        <v>0</v>
      </c>
      <c r="AQ81" s="109">
        <v>4</v>
      </c>
      <c r="AR81" s="109">
        <v>0</v>
      </c>
      <c r="AS81" s="109" t="s">
        <v>252</v>
      </c>
      <c r="AT81" s="109" t="s">
        <v>229</v>
      </c>
      <c r="AU81" s="110">
        <v>46260</v>
      </c>
      <c r="AV81" s="109">
        <v>113.82</v>
      </c>
      <c r="AW81" s="109" t="s">
        <v>230</v>
      </c>
      <c r="AX81" s="109" t="s">
        <v>230</v>
      </c>
      <c r="AY81" s="109">
        <v>1575.11</v>
      </c>
      <c r="AZ81" s="109" t="s">
        <v>232</v>
      </c>
      <c r="BA81" s="109" t="s">
        <v>300</v>
      </c>
      <c r="BB81" s="109">
        <v>113.82</v>
      </c>
      <c r="BC81" s="109">
        <v>100.16</v>
      </c>
      <c r="BD81" s="109">
        <v>113.82</v>
      </c>
      <c r="BE81" s="109">
        <v>13.66</v>
      </c>
      <c r="BF81" s="111">
        <v>0.12</v>
      </c>
      <c r="BG81" s="109">
        <v>0</v>
      </c>
      <c r="BH81" s="109">
        <v>35.68</v>
      </c>
      <c r="BI81" s="109">
        <v>56.8</v>
      </c>
      <c r="BJ81" s="109">
        <v>0</v>
      </c>
      <c r="BK81" s="109">
        <v>17</v>
      </c>
      <c r="BL81" s="109">
        <v>0</v>
      </c>
      <c r="BM81" s="109">
        <v>9.76</v>
      </c>
      <c r="BN81" s="109">
        <v>2.36</v>
      </c>
      <c r="BO81" s="109">
        <v>5.5</v>
      </c>
      <c r="BP81" s="109">
        <v>3.23</v>
      </c>
      <c r="BQ81" s="109">
        <v>0</v>
      </c>
      <c r="BR81" s="109">
        <v>0</v>
      </c>
      <c r="BS81" s="109">
        <v>0</v>
      </c>
      <c r="BT81" s="109">
        <v>0</v>
      </c>
      <c r="BU81" s="109">
        <v>0</v>
      </c>
      <c r="BV81" s="109">
        <v>0</v>
      </c>
      <c r="BW81" s="109">
        <v>0</v>
      </c>
      <c r="BX81" s="109">
        <v>0</v>
      </c>
      <c r="BY81" s="109">
        <v>0</v>
      </c>
      <c r="BZ81" s="109">
        <v>0</v>
      </c>
      <c r="CA81" s="109">
        <v>5.51</v>
      </c>
      <c r="CB81" s="109" t="s">
        <v>225</v>
      </c>
      <c r="CC81" s="109" t="s">
        <v>295</v>
      </c>
      <c r="CD81" s="109">
        <v>373.79</v>
      </c>
      <c r="CE81" s="109">
        <v>0</v>
      </c>
      <c r="CF81" s="109">
        <v>0</v>
      </c>
      <c r="CG81" s="109">
        <v>0</v>
      </c>
      <c r="CH81" s="109">
        <v>0</v>
      </c>
      <c r="CI81" s="109">
        <v>0</v>
      </c>
      <c r="CJ81" s="109">
        <v>0</v>
      </c>
      <c r="CK81" s="109">
        <v>0</v>
      </c>
      <c r="CL81" s="109"/>
      <c r="CM81" s="109"/>
      <c r="CN81" s="109">
        <v>0</v>
      </c>
      <c r="CO81" s="109">
        <v>0</v>
      </c>
      <c r="CP81" s="109">
        <v>0</v>
      </c>
      <c r="CQ81" s="109">
        <v>0</v>
      </c>
      <c r="CR81" s="109">
        <v>0</v>
      </c>
      <c r="CS81" s="109">
        <v>0</v>
      </c>
      <c r="CT81" s="109">
        <v>0</v>
      </c>
      <c r="CU81" s="109">
        <v>12</v>
      </c>
      <c r="CV81" s="109" t="s">
        <v>254</v>
      </c>
      <c r="CW81" s="109">
        <v>0</v>
      </c>
      <c r="CX81" s="109"/>
      <c r="CY81" s="109">
        <v>18</v>
      </c>
      <c r="CZ81" s="109" t="s">
        <v>254</v>
      </c>
      <c r="DA81" s="109">
        <v>0</v>
      </c>
      <c r="DB81" s="109"/>
      <c r="DE81" s="109">
        <v>0</v>
      </c>
      <c r="DF81" s="109" t="s">
        <v>236</v>
      </c>
      <c r="DG81" s="109" t="s">
        <v>221</v>
      </c>
      <c r="DH81" s="109" t="s">
        <v>220</v>
      </c>
      <c r="DI81" s="109">
        <v>9026067267</v>
      </c>
      <c r="DJ81" s="109" t="s">
        <v>222</v>
      </c>
      <c r="DK81" s="109">
        <v>0</v>
      </c>
      <c r="DL81" s="109" t="s">
        <v>226</v>
      </c>
      <c r="DM81" s="109">
        <v>13.66</v>
      </c>
    </row>
    <row r="82" ht="13.8" hidden="1" spans="1:117">
      <c r="A82" s="109">
        <v>2</v>
      </c>
      <c r="B82" s="109" t="s">
        <v>763</v>
      </c>
      <c r="C82" s="109" t="s">
        <v>203</v>
      </c>
      <c r="D82" s="109" t="s">
        <v>225</v>
      </c>
      <c r="E82" s="109" t="s">
        <v>226</v>
      </c>
      <c r="F82" s="110">
        <v>46246</v>
      </c>
      <c r="G82" s="109" t="s">
        <v>240</v>
      </c>
      <c r="H82" s="109" t="s">
        <v>764</v>
      </c>
      <c r="I82" s="109" t="s">
        <v>216</v>
      </c>
      <c r="J82" s="109" t="s">
        <v>217</v>
      </c>
      <c r="K82" s="109" t="s">
        <v>218</v>
      </c>
      <c r="L82" s="109" t="s">
        <v>219</v>
      </c>
      <c r="M82" s="207" t="s">
        <v>242</v>
      </c>
      <c r="N82" s="109" t="s">
        <v>220</v>
      </c>
      <c r="O82" s="109" t="s">
        <v>221</v>
      </c>
      <c r="P82" s="109" t="s">
        <v>243</v>
      </c>
      <c r="Q82" s="109" t="s">
        <v>216</v>
      </c>
      <c r="R82" s="109" t="s">
        <v>217</v>
      </c>
      <c r="S82" s="109" t="s">
        <v>220</v>
      </c>
      <c r="T82" s="109" t="s">
        <v>221</v>
      </c>
      <c r="U82" s="109" t="s">
        <v>216</v>
      </c>
      <c r="V82" s="109" t="s">
        <v>217</v>
      </c>
      <c r="W82" s="109" t="s">
        <v>218</v>
      </c>
      <c r="X82" s="109" t="s">
        <v>219</v>
      </c>
      <c r="Y82" s="109" t="s">
        <v>220</v>
      </c>
      <c r="Z82" s="109" t="s">
        <v>221</v>
      </c>
      <c r="AA82" s="109" t="s">
        <v>222</v>
      </c>
      <c r="AB82" s="109" t="s">
        <v>223</v>
      </c>
      <c r="AC82" s="109" t="s">
        <v>765</v>
      </c>
      <c r="AD82" s="109" t="s">
        <v>766</v>
      </c>
      <c r="AE82" s="109" t="s">
        <v>246</v>
      </c>
      <c r="AF82" s="109" t="s">
        <v>247</v>
      </c>
      <c r="AG82" s="109" t="s">
        <v>248</v>
      </c>
      <c r="AH82" s="109" t="s">
        <v>249</v>
      </c>
      <c r="AI82" s="109" t="s">
        <v>765</v>
      </c>
      <c r="AJ82" s="109" t="s">
        <v>766</v>
      </c>
      <c r="AK82" s="109" t="s">
        <v>248</v>
      </c>
      <c r="AL82" s="109" t="s">
        <v>249</v>
      </c>
      <c r="AM82" s="109" t="s">
        <v>250</v>
      </c>
      <c r="AN82" s="207" t="s">
        <v>767</v>
      </c>
      <c r="AO82" s="109">
        <v>808.331</v>
      </c>
      <c r="AP82" s="109">
        <v>0</v>
      </c>
      <c r="AQ82" s="109">
        <v>75</v>
      </c>
      <c r="AR82" s="109">
        <v>0</v>
      </c>
      <c r="AS82" s="109" t="s">
        <v>252</v>
      </c>
      <c r="AT82" s="109" t="s">
        <v>229</v>
      </c>
      <c r="AU82" s="110">
        <v>46260</v>
      </c>
      <c r="AV82" s="109">
        <v>1328.17</v>
      </c>
      <c r="AW82" s="109" t="s">
        <v>230</v>
      </c>
      <c r="AX82" s="109" t="s">
        <v>231</v>
      </c>
      <c r="AY82" s="109">
        <v>22343.36</v>
      </c>
      <c r="AZ82" s="109" t="s">
        <v>232</v>
      </c>
      <c r="BA82" s="109" t="s">
        <v>253</v>
      </c>
      <c r="BB82" s="109">
        <v>1328.17</v>
      </c>
      <c r="BC82" s="109">
        <v>1168.79</v>
      </c>
      <c r="BD82" s="109">
        <v>1328.17</v>
      </c>
      <c r="BE82" s="109">
        <v>159.38</v>
      </c>
      <c r="BF82" s="111">
        <v>0.12</v>
      </c>
      <c r="BG82" s="109">
        <v>0</v>
      </c>
      <c r="BH82" s="109">
        <v>808.331</v>
      </c>
      <c r="BI82" s="109">
        <v>727.58</v>
      </c>
      <c r="BJ82" s="109">
        <v>0</v>
      </c>
      <c r="BK82" s="109">
        <v>17</v>
      </c>
      <c r="BL82" s="109">
        <v>0</v>
      </c>
      <c r="BM82" s="109">
        <v>9.76</v>
      </c>
      <c r="BN82" s="109">
        <v>33.52</v>
      </c>
      <c r="BO82" s="109">
        <v>49.5</v>
      </c>
      <c r="BP82" s="109">
        <v>3.23</v>
      </c>
      <c r="BQ82" s="109">
        <v>0</v>
      </c>
      <c r="BR82" s="109">
        <v>0</v>
      </c>
      <c r="BS82" s="109">
        <v>0</v>
      </c>
      <c r="BT82" s="109">
        <v>0</v>
      </c>
      <c r="BU82" s="109">
        <v>0</v>
      </c>
      <c r="BV82" s="109">
        <v>0</v>
      </c>
      <c r="BW82" s="109">
        <v>0</v>
      </c>
      <c r="BX82" s="109">
        <v>250</v>
      </c>
      <c r="BY82" s="109">
        <v>0</v>
      </c>
      <c r="BZ82" s="109">
        <v>0</v>
      </c>
      <c r="CA82" s="109">
        <v>78.2</v>
      </c>
      <c r="CB82" s="109" t="s">
        <v>225</v>
      </c>
      <c r="CC82" s="109" t="s">
        <v>247</v>
      </c>
      <c r="CD82" s="109">
        <v>2769.91</v>
      </c>
      <c r="CE82" s="109">
        <v>0</v>
      </c>
      <c r="CF82" s="109">
        <v>0</v>
      </c>
      <c r="CG82" s="109">
        <v>0</v>
      </c>
      <c r="CH82" s="109">
        <v>0</v>
      </c>
      <c r="CI82" s="109">
        <v>0</v>
      </c>
      <c r="CJ82" s="109">
        <v>0</v>
      </c>
      <c r="CK82" s="109">
        <v>0</v>
      </c>
      <c r="CL82" s="109"/>
      <c r="CM82" s="109"/>
      <c r="CN82" s="109">
        <v>0</v>
      </c>
      <c r="CO82" s="109">
        <v>0</v>
      </c>
      <c r="CP82" s="109">
        <v>0</v>
      </c>
      <c r="CQ82" s="109">
        <v>0</v>
      </c>
      <c r="CR82" s="109">
        <v>0</v>
      </c>
      <c r="CS82" s="109">
        <v>0</v>
      </c>
      <c r="CT82" s="109">
        <v>0</v>
      </c>
      <c r="CU82" s="109">
        <v>121.25</v>
      </c>
      <c r="CV82" s="109" t="s">
        <v>254</v>
      </c>
      <c r="CW82" s="109">
        <v>0</v>
      </c>
      <c r="CX82" s="109"/>
      <c r="CY82" s="109">
        <v>145.5</v>
      </c>
      <c r="CZ82" s="109" t="s">
        <v>235</v>
      </c>
      <c r="DA82" s="109">
        <v>0</v>
      </c>
      <c r="DB82" s="109"/>
      <c r="DE82" s="109">
        <v>0</v>
      </c>
      <c r="DF82" s="109" t="s">
        <v>236</v>
      </c>
      <c r="DG82" s="109" t="s">
        <v>221</v>
      </c>
      <c r="DH82" s="109" t="s">
        <v>220</v>
      </c>
      <c r="DI82" s="109">
        <v>9026067267</v>
      </c>
      <c r="DJ82" s="109" t="s">
        <v>222</v>
      </c>
      <c r="DK82" s="109">
        <v>0</v>
      </c>
      <c r="DL82" s="109" t="s">
        <v>226</v>
      </c>
      <c r="DM82" s="109">
        <v>159.38</v>
      </c>
    </row>
    <row r="83" ht="13.8" hidden="1" spans="1:117">
      <c r="A83" s="109">
        <v>2</v>
      </c>
      <c r="B83" s="109" t="s">
        <v>768</v>
      </c>
      <c r="C83" s="109" t="s">
        <v>203</v>
      </c>
      <c r="D83" s="109" t="s">
        <v>225</v>
      </c>
      <c r="E83" s="109" t="s">
        <v>226</v>
      </c>
      <c r="F83" s="110">
        <v>46246</v>
      </c>
      <c r="G83" s="109" t="s">
        <v>240</v>
      </c>
      <c r="H83" s="109" t="s">
        <v>769</v>
      </c>
      <c r="I83" s="109" t="s">
        <v>216</v>
      </c>
      <c r="J83" s="109" t="s">
        <v>217</v>
      </c>
      <c r="K83" s="109" t="s">
        <v>218</v>
      </c>
      <c r="L83" s="109" t="s">
        <v>219</v>
      </c>
      <c r="M83" s="207" t="s">
        <v>242</v>
      </c>
      <c r="N83" s="109" t="s">
        <v>220</v>
      </c>
      <c r="O83" s="109" t="s">
        <v>221</v>
      </c>
      <c r="P83" s="109" t="s">
        <v>243</v>
      </c>
      <c r="Q83" s="109" t="s">
        <v>216</v>
      </c>
      <c r="R83" s="109" t="s">
        <v>217</v>
      </c>
      <c r="S83" s="109" t="s">
        <v>220</v>
      </c>
      <c r="T83" s="109" t="s">
        <v>221</v>
      </c>
      <c r="U83" s="109" t="s">
        <v>216</v>
      </c>
      <c r="V83" s="109" t="s">
        <v>217</v>
      </c>
      <c r="W83" s="109" t="s">
        <v>218</v>
      </c>
      <c r="X83" s="109" t="s">
        <v>219</v>
      </c>
      <c r="Y83" s="109" t="s">
        <v>220</v>
      </c>
      <c r="Z83" s="109" t="s">
        <v>221</v>
      </c>
      <c r="AA83" s="109" t="s">
        <v>222</v>
      </c>
      <c r="AB83" s="109" t="s">
        <v>223</v>
      </c>
      <c r="AC83" s="109" t="s">
        <v>770</v>
      </c>
      <c r="AD83" s="109" t="s">
        <v>771</v>
      </c>
      <c r="AE83" s="109" t="s">
        <v>246</v>
      </c>
      <c r="AF83" s="109" t="s">
        <v>247</v>
      </c>
      <c r="AG83" s="109" t="s">
        <v>248</v>
      </c>
      <c r="AH83" s="109" t="s">
        <v>249</v>
      </c>
      <c r="AI83" s="109" t="s">
        <v>770</v>
      </c>
      <c r="AJ83" s="109" t="s">
        <v>771</v>
      </c>
      <c r="AK83" s="109" t="s">
        <v>248</v>
      </c>
      <c r="AL83" s="109" t="s">
        <v>249</v>
      </c>
      <c r="AM83" s="109" t="s">
        <v>250</v>
      </c>
      <c r="AN83" s="207" t="s">
        <v>772</v>
      </c>
      <c r="AO83" s="109">
        <v>930.236</v>
      </c>
      <c r="AP83" s="109">
        <v>0</v>
      </c>
      <c r="AQ83" s="109">
        <v>80</v>
      </c>
      <c r="AR83" s="109">
        <v>0</v>
      </c>
      <c r="AS83" s="109" t="s">
        <v>252</v>
      </c>
      <c r="AT83" s="109" t="s">
        <v>229</v>
      </c>
      <c r="AU83" s="110">
        <v>46260</v>
      </c>
      <c r="AV83" s="109">
        <v>1467.95</v>
      </c>
      <c r="AW83" s="109" t="s">
        <v>230</v>
      </c>
      <c r="AX83" s="109" t="s">
        <v>231</v>
      </c>
      <c r="AY83" s="109">
        <v>23899.67</v>
      </c>
      <c r="AZ83" s="109" t="s">
        <v>232</v>
      </c>
      <c r="BA83" s="109" t="s">
        <v>253</v>
      </c>
      <c r="BB83" s="109">
        <v>1467.95</v>
      </c>
      <c r="BC83" s="109">
        <v>1291.8</v>
      </c>
      <c r="BD83" s="109">
        <v>1467.95</v>
      </c>
      <c r="BE83" s="109">
        <v>176.15</v>
      </c>
      <c r="BF83" s="111">
        <v>0.12</v>
      </c>
      <c r="BG83" s="109">
        <v>0</v>
      </c>
      <c r="BH83" s="109">
        <v>930.236</v>
      </c>
      <c r="BI83" s="109">
        <v>837.31</v>
      </c>
      <c r="BJ83" s="109">
        <v>0</v>
      </c>
      <c r="BK83" s="109">
        <v>17</v>
      </c>
      <c r="BL83" s="109">
        <v>0</v>
      </c>
      <c r="BM83" s="109">
        <v>9.76</v>
      </c>
      <c r="BN83" s="109">
        <v>35.85</v>
      </c>
      <c r="BO83" s="109">
        <v>55</v>
      </c>
      <c r="BP83" s="109">
        <v>3.23</v>
      </c>
      <c r="BQ83" s="109">
        <v>0</v>
      </c>
      <c r="BR83" s="109">
        <v>0</v>
      </c>
      <c r="BS83" s="109">
        <v>0</v>
      </c>
      <c r="BT83" s="109">
        <v>0</v>
      </c>
      <c r="BU83" s="109">
        <v>0</v>
      </c>
      <c r="BV83" s="109">
        <v>0</v>
      </c>
      <c r="BW83" s="109">
        <v>0</v>
      </c>
      <c r="BX83" s="109">
        <v>250</v>
      </c>
      <c r="BY83" s="109">
        <v>0</v>
      </c>
      <c r="BZ83" s="109">
        <v>0</v>
      </c>
      <c r="CA83" s="109">
        <v>83.65</v>
      </c>
      <c r="CB83" s="109" t="s">
        <v>225</v>
      </c>
      <c r="CC83" s="109" t="s">
        <v>247</v>
      </c>
      <c r="CD83" s="109">
        <v>3216.37</v>
      </c>
      <c r="CE83" s="109">
        <v>0</v>
      </c>
      <c r="CF83" s="109">
        <v>0</v>
      </c>
      <c r="CG83" s="109">
        <v>0</v>
      </c>
      <c r="CH83" s="109">
        <v>0</v>
      </c>
      <c r="CI83" s="109">
        <v>0</v>
      </c>
      <c r="CJ83" s="109">
        <v>0</v>
      </c>
      <c r="CK83" s="109">
        <v>0</v>
      </c>
      <c r="CL83" s="109"/>
      <c r="CM83" s="109"/>
      <c r="CN83" s="109">
        <v>0</v>
      </c>
      <c r="CO83" s="109">
        <v>0</v>
      </c>
      <c r="CP83" s="109">
        <v>0</v>
      </c>
      <c r="CQ83" s="109">
        <v>0</v>
      </c>
      <c r="CR83" s="109">
        <v>0</v>
      </c>
      <c r="CS83" s="109">
        <v>0</v>
      </c>
      <c r="CT83" s="109">
        <v>0</v>
      </c>
      <c r="CU83" s="109">
        <v>139.54</v>
      </c>
      <c r="CV83" s="109" t="s">
        <v>254</v>
      </c>
      <c r="CW83" s="109">
        <v>0</v>
      </c>
      <c r="CX83" s="109"/>
      <c r="CY83" s="109">
        <v>167.44</v>
      </c>
      <c r="CZ83" s="109" t="s">
        <v>235</v>
      </c>
      <c r="DA83" s="109">
        <v>0</v>
      </c>
      <c r="DB83" s="109"/>
      <c r="DE83" s="109">
        <v>0</v>
      </c>
      <c r="DF83" s="109" t="s">
        <v>236</v>
      </c>
      <c r="DG83" s="109" t="s">
        <v>221</v>
      </c>
      <c r="DH83" s="109" t="s">
        <v>220</v>
      </c>
      <c r="DI83" s="109">
        <v>9026067267</v>
      </c>
      <c r="DJ83" s="109" t="s">
        <v>222</v>
      </c>
      <c r="DK83" s="109">
        <v>0</v>
      </c>
      <c r="DL83" s="109" t="s">
        <v>226</v>
      </c>
      <c r="DM83" s="109">
        <v>176.15</v>
      </c>
    </row>
    <row r="84" ht="13.8" hidden="1" spans="1:117">
      <c r="A84" s="109">
        <v>2</v>
      </c>
      <c r="B84" s="109" t="s">
        <v>773</v>
      </c>
      <c r="C84" s="109" t="s">
        <v>203</v>
      </c>
      <c r="D84" s="109" t="s">
        <v>225</v>
      </c>
      <c r="E84" s="109" t="s">
        <v>226</v>
      </c>
      <c r="F84" s="110">
        <v>46246</v>
      </c>
      <c r="G84" s="109" t="s">
        <v>240</v>
      </c>
      <c r="H84" s="109" t="s">
        <v>774</v>
      </c>
      <c r="I84" s="109" t="s">
        <v>216</v>
      </c>
      <c r="J84" s="109" t="s">
        <v>217</v>
      </c>
      <c r="K84" s="109" t="s">
        <v>218</v>
      </c>
      <c r="L84" s="109" t="s">
        <v>219</v>
      </c>
      <c r="M84" s="207" t="s">
        <v>242</v>
      </c>
      <c r="N84" s="109" t="s">
        <v>220</v>
      </c>
      <c r="O84" s="109" t="s">
        <v>221</v>
      </c>
      <c r="P84" s="109" t="s">
        <v>243</v>
      </c>
      <c r="Q84" s="109" t="s">
        <v>216</v>
      </c>
      <c r="R84" s="109" t="s">
        <v>217</v>
      </c>
      <c r="S84" s="109" t="s">
        <v>220</v>
      </c>
      <c r="T84" s="109" t="s">
        <v>221</v>
      </c>
      <c r="U84" s="109" t="s">
        <v>216</v>
      </c>
      <c r="V84" s="109" t="s">
        <v>217</v>
      </c>
      <c r="W84" s="109" t="s">
        <v>218</v>
      </c>
      <c r="X84" s="109" t="s">
        <v>219</v>
      </c>
      <c r="Y84" s="109" t="s">
        <v>220</v>
      </c>
      <c r="Z84" s="109" t="s">
        <v>221</v>
      </c>
      <c r="AA84" s="109" t="s">
        <v>222</v>
      </c>
      <c r="AB84" s="109" t="s">
        <v>223</v>
      </c>
      <c r="AC84" s="109" t="s">
        <v>775</v>
      </c>
      <c r="AD84" s="109" t="s">
        <v>776</v>
      </c>
      <c r="AE84" s="109">
        <v>122</v>
      </c>
      <c r="AF84" s="109" t="s">
        <v>777</v>
      </c>
      <c r="AG84" s="109" t="s">
        <v>778</v>
      </c>
      <c r="AH84" s="109" t="s">
        <v>297</v>
      </c>
      <c r="AI84" s="109" t="s">
        <v>775</v>
      </c>
      <c r="AJ84" s="109" t="s">
        <v>776</v>
      </c>
      <c r="AK84" s="109" t="s">
        <v>778</v>
      </c>
      <c r="AL84" s="109" t="s">
        <v>297</v>
      </c>
      <c r="AM84" s="109" t="s">
        <v>779</v>
      </c>
      <c r="AN84" s="207" t="s">
        <v>780</v>
      </c>
      <c r="AO84" s="109">
        <v>105.7</v>
      </c>
      <c r="AP84" s="109">
        <v>0</v>
      </c>
      <c r="AQ84" s="109">
        <v>8</v>
      </c>
      <c r="AR84" s="109">
        <v>0</v>
      </c>
      <c r="AS84" s="109" t="s">
        <v>252</v>
      </c>
      <c r="AT84" s="109" t="s">
        <v>229</v>
      </c>
      <c r="AU84" s="110">
        <v>46260</v>
      </c>
      <c r="AV84" s="109">
        <v>515.1</v>
      </c>
      <c r="AW84" s="109" t="s">
        <v>230</v>
      </c>
      <c r="AX84" s="109" t="s">
        <v>230</v>
      </c>
      <c r="AY84" s="109">
        <v>12824.89</v>
      </c>
      <c r="AZ84" s="109" t="s">
        <v>232</v>
      </c>
      <c r="BA84" s="109" t="s">
        <v>557</v>
      </c>
      <c r="BB84" s="109">
        <v>515.1</v>
      </c>
      <c r="BC84" s="109">
        <v>453.29</v>
      </c>
      <c r="BD84" s="109">
        <v>515.1</v>
      </c>
      <c r="BE84" s="109">
        <v>61.81</v>
      </c>
      <c r="BF84" s="111">
        <v>0.12</v>
      </c>
      <c r="BG84" s="109">
        <v>0</v>
      </c>
      <c r="BH84" s="109">
        <v>105.7</v>
      </c>
      <c r="BI84" s="109">
        <v>98.17</v>
      </c>
      <c r="BJ84" s="109">
        <v>0</v>
      </c>
      <c r="BK84" s="109">
        <v>17</v>
      </c>
      <c r="BL84" s="109">
        <v>0</v>
      </c>
      <c r="BM84" s="109">
        <v>9.76</v>
      </c>
      <c r="BN84" s="109">
        <v>19.24</v>
      </c>
      <c r="BO84" s="109">
        <v>11</v>
      </c>
      <c r="BP84" s="109">
        <v>3.23</v>
      </c>
      <c r="BQ84" s="109">
        <v>0</v>
      </c>
      <c r="BR84" s="109">
        <v>0</v>
      </c>
      <c r="BS84" s="109">
        <v>0</v>
      </c>
      <c r="BT84" s="109">
        <v>0</v>
      </c>
      <c r="BU84" s="109">
        <v>0</v>
      </c>
      <c r="BV84" s="109">
        <v>0</v>
      </c>
      <c r="BW84" s="109">
        <v>0</v>
      </c>
      <c r="BX84" s="109">
        <v>250</v>
      </c>
      <c r="BY84" s="109">
        <v>0</v>
      </c>
      <c r="BZ84" s="109">
        <v>0</v>
      </c>
      <c r="CA84" s="109">
        <v>44.89</v>
      </c>
      <c r="CB84" s="109" t="s">
        <v>225</v>
      </c>
      <c r="CC84" s="109" t="s">
        <v>558</v>
      </c>
      <c r="CD84" s="109">
        <v>516.7</v>
      </c>
      <c r="CE84" s="109">
        <v>0</v>
      </c>
      <c r="CF84" s="109">
        <v>0</v>
      </c>
      <c r="CG84" s="109">
        <v>0</v>
      </c>
      <c r="CH84" s="109">
        <v>0</v>
      </c>
      <c r="CI84" s="109">
        <v>0</v>
      </c>
      <c r="CJ84" s="109">
        <v>0</v>
      </c>
      <c r="CK84" s="109">
        <v>0</v>
      </c>
      <c r="CL84" s="109"/>
      <c r="CM84" s="109"/>
      <c r="CN84" s="109">
        <v>0</v>
      </c>
      <c r="CO84" s="109">
        <v>0</v>
      </c>
      <c r="CP84" s="109">
        <v>0</v>
      </c>
      <c r="CQ84" s="109">
        <v>0</v>
      </c>
      <c r="CR84" s="109">
        <v>0</v>
      </c>
      <c r="CS84" s="109">
        <v>0</v>
      </c>
      <c r="CT84" s="109">
        <v>0</v>
      </c>
      <c r="CU84" s="109">
        <v>15.86</v>
      </c>
      <c r="CV84" s="109" t="s">
        <v>254</v>
      </c>
      <c r="CW84" s="109">
        <v>0</v>
      </c>
      <c r="CX84" s="109"/>
      <c r="CY84" s="109">
        <v>200.82</v>
      </c>
      <c r="CZ84" s="109" t="s">
        <v>781</v>
      </c>
      <c r="DA84" s="109">
        <v>200.82</v>
      </c>
      <c r="DB84" s="207" t="s">
        <v>782</v>
      </c>
      <c r="DE84" s="109">
        <v>0</v>
      </c>
      <c r="DF84" s="109" t="s">
        <v>236</v>
      </c>
      <c r="DG84" s="109" t="s">
        <v>221</v>
      </c>
      <c r="DH84" s="109" t="s">
        <v>220</v>
      </c>
      <c r="DI84" s="109">
        <v>9026067267</v>
      </c>
      <c r="DJ84" s="109" t="s">
        <v>222</v>
      </c>
      <c r="DK84" s="109">
        <v>0</v>
      </c>
      <c r="DL84" s="109" t="s">
        <v>226</v>
      </c>
      <c r="DM84" s="109">
        <v>61.81</v>
      </c>
    </row>
    <row r="85" ht="13.8" hidden="1" spans="1:117">
      <c r="A85" s="109">
        <v>2</v>
      </c>
      <c r="B85" s="109" t="s">
        <v>783</v>
      </c>
      <c r="C85" s="109" t="s">
        <v>203</v>
      </c>
      <c r="D85" s="109" t="s">
        <v>225</v>
      </c>
      <c r="E85" s="109" t="s">
        <v>226</v>
      </c>
      <c r="F85" s="110">
        <v>46246</v>
      </c>
      <c r="G85" s="109" t="s">
        <v>240</v>
      </c>
      <c r="H85" s="109" t="s">
        <v>784</v>
      </c>
      <c r="I85" s="109" t="s">
        <v>216</v>
      </c>
      <c r="J85" s="109" t="s">
        <v>217</v>
      </c>
      <c r="K85" s="109" t="s">
        <v>218</v>
      </c>
      <c r="L85" s="109" t="s">
        <v>219</v>
      </c>
      <c r="M85" s="207" t="s">
        <v>242</v>
      </c>
      <c r="N85" s="109" t="s">
        <v>220</v>
      </c>
      <c r="O85" s="109" t="s">
        <v>221</v>
      </c>
      <c r="P85" s="109" t="s">
        <v>243</v>
      </c>
      <c r="Q85" s="109" t="s">
        <v>216</v>
      </c>
      <c r="R85" s="109" t="s">
        <v>217</v>
      </c>
      <c r="S85" s="109" t="s">
        <v>220</v>
      </c>
      <c r="T85" s="109" t="s">
        <v>221</v>
      </c>
      <c r="U85" s="109" t="s">
        <v>216</v>
      </c>
      <c r="V85" s="109" t="s">
        <v>217</v>
      </c>
      <c r="W85" s="109" t="s">
        <v>218</v>
      </c>
      <c r="X85" s="109" t="s">
        <v>219</v>
      </c>
      <c r="Y85" s="109" t="s">
        <v>220</v>
      </c>
      <c r="Z85" s="109" t="s">
        <v>221</v>
      </c>
      <c r="AA85" s="109" t="s">
        <v>222</v>
      </c>
      <c r="AB85" s="109" t="s">
        <v>223</v>
      </c>
      <c r="AC85" s="109" t="s">
        <v>785</v>
      </c>
      <c r="AD85" s="109" t="s">
        <v>786</v>
      </c>
      <c r="AE85" s="109" t="s">
        <v>787</v>
      </c>
      <c r="AF85" s="109" t="s">
        <v>295</v>
      </c>
      <c r="AG85" s="109" t="s">
        <v>547</v>
      </c>
      <c r="AH85" s="109" t="s">
        <v>297</v>
      </c>
      <c r="AI85" s="109" t="s">
        <v>785</v>
      </c>
      <c r="AJ85" s="109" t="s">
        <v>786</v>
      </c>
      <c r="AK85" s="109" t="s">
        <v>547</v>
      </c>
      <c r="AL85" s="109" t="s">
        <v>297</v>
      </c>
      <c r="AM85" s="109" t="s">
        <v>298</v>
      </c>
      <c r="AN85" s="207" t="s">
        <v>788</v>
      </c>
      <c r="AO85" s="109">
        <v>33.264</v>
      </c>
      <c r="AP85" s="109">
        <v>0</v>
      </c>
      <c r="AQ85" s="109">
        <v>4</v>
      </c>
      <c r="AR85" s="109">
        <v>0</v>
      </c>
      <c r="AS85" s="109" t="s">
        <v>252</v>
      </c>
      <c r="AT85" s="109" t="s">
        <v>229</v>
      </c>
      <c r="AU85" s="110">
        <v>46260</v>
      </c>
      <c r="AV85" s="109">
        <v>117.78</v>
      </c>
      <c r="AW85" s="109" t="s">
        <v>230</v>
      </c>
      <c r="AX85" s="109" t="s">
        <v>230</v>
      </c>
      <c r="AY85" s="109">
        <v>2271.66</v>
      </c>
      <c r="AZ85" s="109" t="s">
        <v>232</v>
      </c>
      <c r="BA85" s="109" t="s">
        <v>300</v>
      </c>
      <c r="BB85" s="109">
        <v>117.78</v>
      </c>
      <c r="BC85" s="109">
        <v>103.65</v>
      </c>
      <c r="BD85" s="109">
        <v>117.78</v>
      </c>
      <c r="BE85" s="109">
        <v>14.13</v>
      </c>
      <c r="BF85" s="111">
        <v>0.12</v>
      </c>
      <c r="BG85" s="109">
        <v>0</v>
      </c>
      <c r="BH85" s="109">
        <v>33.264</v>
      </c>
      <c r="BI85" s="109">
        <v>56.8</v>
      </c>
      <c r="BJ85" s="109">
        <v>0</v>
      </c>
      <c r="BK85" s="109">
        <v>17</v>
      </c>
      <c r="BL85" s="109">
        <v>0</v>
      </c>
      <c r="BM85" s="109">
        <v>9.76</v>
      </c>
      <c r="BN85" s="109">
        <v>3.41</v>
      </c>
      <c r="BO85" s="109">
        <v>5.5</v>
      </c>
      <c r="BP85" s="109">
        <v>3.23</v>
      </c>
      <c r="BQ85" s="109">
        <v>0</v>
      </c>
      <c r="BR85" s="109">
        <v>0</v>
      </c>
      <c r="BS85" s="109">
        <v>0</v>
      </c>
      <c r="BT85" s="109">
        <v>0</v>
      </c>
      <c r="BU85" s="109">
        <v>0</v>
      </c>
      <c r="BV85" s="109">
        <v>0</v>
      </c>
      <c r="BW85" s="109">
        <v>0</v>
      </c>
      <c r="BX85" s="109">
        <v>0</v>
      </c>
      <c r="BY85" s="109">
        <v>0</v>
      </c>
      <c r="BZ85" s="109">
        <v>0</v>
      </c>
      <c r="CA85" s="109">
        <v>7.95</v>
      </c>
      <c r="CB85" s="109" t="s">
        <v>225</v>
      </c>
      <c r="CC85" s="109" t="s">
        <v>295</v>
      </c>
      <c r="CD85" s="109">
        <v>380.67</v>
      </c>
      <c r="CE85" s="109">
        <v>0</v>
      </c>
      <c r="CF85" s="109">
        <v>0</v>
      </c>
      <c r="CG85" s="109">
        <v>0</v>
      </c>
      <c r="CH85" s="109">
        <v>0</v>
      </c>
      <c r="CI85" s="109">
        <v>0</v>
      </c>
      <c r="CJ85" s="109">
        <v>0</v>
      </c>
      <c r="CK85" s="109">
        <v>0</v>
      </c>
      <c r="CL85" s="109"/>
      <c r="CM85" s="109"/>
      <c r="CN85" s="109">
        <v>0</v>
      </c>
      <c r="CO85" s="109">
        <v>0</v>
      </c>
      <c r="CP85" s="109">
        <v>0</v>
      </c>
      <c r="CQ85" s="109">
        <v>0</v>
      </c>
      <c r="CR85" s="109">
        <v>0</v>
      </c>
      <c r="CS85" s="109">
        <v>0</v>
      </c>
      <c r="CT85" s="109">
        <v>0</v>
      </c>
      <c r="CU85" s="109">
        <v>12</v>
      </c>
      <c r="CV85" s="109" t="s">
        <v>254</v>
      </c>
      <c r="CW85" s="109">
        <v>0</v>
      </c>
      <c r="CX85" s="109"/>
      <c r="CY85" s="109">
        <v>18</v>
      </c>
      <c r="CZ85" s="109" t="s">
        <v>254</v>
      </c>
      <c r="DA85" s="109">
        <v>0</v>
      </c>
      <c r="DB85" s="109"/>
      <c r="DE85" s="109">
        <v>0</v>
      </c>
      <c r="DF85" s="109" t="s">
        <v>236</v>
      </c>
      <c r="DG85" s="109" t="s">
        <v>221</v>
      </c>
      <c r="DH85" s="109" t="s">
        <v>220</v>
      </c>
      <c r="DI85" s="109">
        <v>9026067267</v>
      </c>
      <c r="DJ85" s="109" t="s">
        <v>222</v>
      </c>
      <c r="DK85" s="109">
        <v>0</v>
      </c>
      <c r="DL85" s="109" t="s">
        <v>226</v>
      </c>
      <c r="DM85" s="109">
        <v>14.13</v>
      </c>
    </row>
    <row r="86" ht="13.8" hidden="1" spans="1:117">
      <c r="A86" s="109">
        <v>2</v>
      </c>
      <c r="B86" s="109" t="s">
        <v>789</v>
      </c>
      <c r="C86" s="109" t="s">
        <v>203</v>
      </c>
      <c r="D86" s="109" t="s">
        <v>225</v>
      </c>
      <c r="E86" s="109" t="s">
        <v>226</v>
      </c>
      <c r="F86" s="110">
        <v>46246</v>
      </c>
      <c r="G86" s="109" t="s">
        <v>240</v>
      </c>
      <c r="H86" s="109" t="s">
        <v>790</v>
      </c>
      <c r="I86" s="109" t="s">
        <v>216</v>
      </c>
      <c r="J86" s="109" t="s">
        <v>217</v>
      </c>
      <c r="K86" s="109" t="s">
        <v>218</v>
      </c>
      <c r="L86" s="109" t="s">
        <v>219</v>
      </c>
      <c r="M86" s="207" t="s">
        <v>242</v>
      </c>
      <c r="N86" s="109" t="s">
        <v>220</v>
      </c>
      <c r="O86" s="109" t="s">
        <v>221</v>
      </c>
      <c r="P86" s="109" t="s">
        <v>243</v>
      </c>
      <c r="Q86" s="109" t="s">
        <v>216</v>
      </c>
      <c r="R86" s="109" t="s">
        <v>217</v>
      </c>
      <c r="S86" s="109" t="s">
        <v>220</v>
      </c>
      <c r="T86" s="109" t="s">
        <v>221</v>
      </c>
      <c r="U86" s="109" t="s">
        <v>216</v>
      </c>
      <c r="V86" s="109" t="s">
        <v>217</v>
      </c>
      <c r="W86" s="109" t="s">
        <v>218</v>
      </c>
      <c r="X86" s="109" t="s">
        <v>219</v>
      </c>
      <c r="Y86" s="109" t="s">
        <v>220</v>
      </c>
      <c r="Z86" s="109" t="s">
        <v>221</v>
      </c>
      <c r="AA86" s="109" t="s">
        <v>222</v>
      </c>
      <c r="AB86" s="109" t="s">
        <v>223</v>
      </c>
      <c r="AC86" s="109" t="s">
        <v>791</v>
      </c>
      <c r="AD86" s="109" t="s">
        <v>792</v>
      </c>
      <c r="AE86" s="109" t="s">
        <v>793</v>
      </c>
      <c r="AF86" s="109" t="s">
        <v>777</v>
      </c>
      <c r="AG86" s="109" t="s">
        <v>794</v>
      </c>
      <c r="AH86" s="109" t="s">
        <v>297</v>
      </c>
      <c r="AI86" s="109" t="s">
        <v>791</v>
      </c>
      <c r="AJ86" s="109" t="s">
        <v>792</v>
      </c>
      <c r="AK86" s="109" t="s">
        <v>794</v>
      </c>
      <c r="AL86" s="109" t="s">
        <v>297</v>
      </c>
      <c r="AM86" s="109" t="s">
        <v>779</v>
      </c>
      <c r="AN86" s="207" t="s">
        <v>795</v>
      </c>
      <c r="AO86" s="109">
        <v>105.7</v>
      </c>
      <c r="AP86" s="109">
        <v>0</v>
      </c>
      <c r="AQ86" s="109">
        <v>8</v>
      </c>
      <c r="AR86" s="109">
        <v>0</v>
      </c>
      <c r="AS86" s="109" t="s">
        <v>252</v>
      </c>
      <c r="AT86" s="109" t="s">
        <v>229</v>
      </c>
      <c r="AU86" s="110">
        <v>46260</v>
      </c>
      <c r="AV86" s="109">
        <v>231.01</v>
      </c>
      <c r="AW86" s="109" t="s">
        <v>230</v>
      </c>
      <c r="AX86" s="109" t="s">
        <v>230</v>
      </c>
      <c r="AY86" s="109">
        <v>12824.89</v>
      </c>
      <c r="AZ86" s="109" t="s">
        <v>232</v>
      </c>
      <c r="BA86" s="109" t="s">
        <v>557</v>
      </c>
      <c r="BB86" s="109">
        <v>231.01</v>
      </c>
      <c r="BC86" s="109">
        <v>203.29</v>
      </c>
      <c r="BD86" s="109">
        <v>231.01</v>
      </c>
      <c r="BE86" s="109">
        <v>27.72</v>
      </c>
      <c r="BF86" s="111">
        <v>0.12</v>
      </c>
      <c r="BG86" s="109">
        <v>0</v>
      </c>
      <c r="BH86" s="109">
        <v>105.7</v>
      </c>
      <c r="BI86" s="109">
        <v>98.17</v>
      </c>
      <c r="BJ86" s="109">
        <v>0</v>
      </c>
      <c r="BK86" s="109">
        <v>17</v>
      </c>
      <c r="BL86" s="109">
        <v>0</v>
      </c>
      <c r="BM86" s="109">
        <v>9.76</v>
      </c>
      <c r="BN86" s="109">
        <v>19.24</v>
      </c>
      <c r="BO86" s="109">
        <v>11</v>
      </c>
      <c r="BP86" s="109">
        <v>3.23</v>
      </c>
      <c r="BQ86" s="109">
        <v>0</v>
      </c>
      <c r="BR86" s="109">
        <v>0</v>
      </c>
      <c r="BS86" s="109">
        <v>0</v>
      </c>
      <c r="BT86" s="109">
        <v>0</v>
      </c>
      <c r="BU86" s="109">
        <v>0</v>
      </c>
      <c r="BV86" s="109">
        <v>0</v>
      </c>
      <c r="BW86" s="109">
        <v>0</v>
      </c>
      <c r="BX86" s="109">
        <v>0</v>
      </c>
      <c r="BY86" s="109">
        <v>0</v>
      </c>
      <c r="BZ86" s="109">
        <v>0</v>
      </c>
      <c r="CA86" s="109">
        <v>44.89</v>
      </c>
      <c r="CB86" s="109" t="s">
        <v>225</v>
      </c>
      <c r="CC86" s="109" t="s">
        <v>558</v>
      </c>
      <c r="CD86" s="109">
        <v>516.69</v>
      </c>
      <c r="CE86" s="109">
        <v>0</v>
      </c>
      <c r="CF86" s="109">
        <v>0</v>
      </c>
      <c r="CG86" s="109">
        <v>0</v>
      </c>
      <c r="CH86" s="109">
        <v>0</v>
      </c>
      <c r="CI86" s="109">
        <v>0</v>
      </c>
      <c r="CJ86" s="109">
        <v>0</v>
      </c>
      <c r="CK86" s="109">
        <v>0</v>
      </c>
      <c r="CL86" s="109"/>
      <c r="CM86" s="109"/>
      <c r="CN86" s="109">
        <v>0</v>
      </c>
      <c r="CO86" s="109">
        <v>0</v>
      </c>
      <c r="CP86" s="109">
        <v>0</v>
      </c>
      <c r="CQ86" s="109">
        <v>0</v>
      </c>
      <c r="CR86" s="109">
        <v>0</v>
      </c>
      <c r="CS86" s="109">
        <v>0</v>
      </c>
      <c r="CT86" s="109">
        <v>0</v>
      </c>
      <c r="CU86" s="109">
        <v>15.86</v>
      </c>
      <c r="CV86" s="109" t="s">
        <v>254</v>
      </c>
      <c r="CW86" s="109">
        <v>0</v>
      </c>
      <c r="CX86" s="109"/>
      <c r="CY86" s="109">
        <v>50.82</v>
      </c>
      <c r="CZ86" s="109" t="s">
        <v>781</v>
      </c>
      <c r="DA86" s="109">
        <v>50.82</v>
      </c>
      <c r="DB86" s="207" t="s">
        <v>782</v>
      </c>
      <c r="DE86" s="109">
        <v>0</v>
      </c>
      <c r="DF86" s="109" t="s">
        <v>236</v>
      </c>
      <c r="DG86" s="109" t="s">
        <v>221</v>
      </c>
      <c r="DH86" s="109" t="s">
        <v>220</v>
      </c>
      <c r="DI86" s="109">
        <v>9026067267</v>
      </c>
      <c r="DJ86" s="109" t="s">
        <v>222</v>
      </c>
      <c r="DK86" s="109">
        <v>0</v>
      </c>
      <c r="DL86" s="109" t="s">
        <v>226</v>
      </c>
      <c r="DM86" s="109">
        <v>27.72</v>
      </c>
    </row>
    <row r="87" ht="13.8" hidden="1" spans="1:117">
      <c r="A87" s="109">
        <v>2</v>
      </c>
      <c r="B87" s="109" t="s">
        <v>796</v>
      </c>
      <c r="C87" s="109" t="s">
        <v>203</v>
      </c>
      <c r="D87" s="109" t="s">
        <v>225</v>
      </c>
      <c r="E87" s="109" t="s">
        <v>226</v>
      </c>
      <c r="F87" s="110">
        <v>46247</v>
      </c>
      <c r="G87" s="109" t="s">
        <v>797</v>
      </c>
      <c r="H87" s="109" t="s">
        <v>798</v>
      </c>
      <c r="I87" s="109" t="s">
        <v>216</v>
      </c>
      <c r="J87" s="109" t="s">
        <v>217</v>
      </c>
      <c r="K87" s="109" t="s">
        <v>218</v>
      </c>
      <c r="L87" s="109" t="s">
        <v>219</v>
      </c>
      <c r="M87" s="207" t="s">
        <v>242</v>
      </c>
      <c r="N87" s="109" t="s">
        <v>220</v>
      </c>
      <c r="O87" s="109" t="s">
        <v>221</v>
      </c>
      <c r="P87" s="109" t="s">
        <v>243</v>
      </c>
      <c r="Q87" s="109" t="s">
        <v>216</v>
      </c>
      <c r="R87" s="109" t="s">
        <v>217</v>
      </c>
      <c r="S87" s="109" t="s">
        <v>220</v>
      </c>
      <c r="T87" s="109" t="s">
        <v>221</v>
      </c>
      <c r="U87" s="109" t="s">
        <v>216</v>
      </c>
      <c r="V87" s="109" t="s">
        <v>217</v>
      </c>
      <c r="W87" s="109" t="s">
        <v>218</v>
      </c>
      <c r="X87" s="109" t="s">
        <v>219</v>
      </c>
      <c r="Y87" s="109" t="s">
        <v>220</v>
      </c>
      <c r="Z87" s="109" t="s">
        <v>221</v>
      </c>
      <c r="AA87" s="109" t="s">
        <v>222</v>
      </c>
      <c r="AB87" s="109" t="s">
        <v>223</v>
      </c>
      <c r="AC87" s="109" t="s">
        <v>391</v>
      </c>
      <c r="AD87" s="109" t="s">
        <v>258</v>
      </c>
      <c r="AE87" s="109" t="s">
        <v>246</v>
      </c>
      <c r="AF87" s="109" t="s">
        <v>247</v>
      </c>
      <c r="AG87" s="109" t="s">
        <v>248</v>
      </c>
      <c r="AH87" s="109" t="s">
        <v>249</v>
      </c>
      <c r="AI87" s="109" t="s">
        <v>391</v>
      </c>
      <c r="AJ87" s="109" t="s">
        <v>258</v>
      </c>
      <c r="AK87" s="109" t="s">
        <v>248</v>
      </c>
      <c r="AL87" s="109" t="s">
        <v>249</v>
      </c>
      <c r="AM87" s="109" t="s">
        <v>250</v>
      </c>
      <c r="AN87" s="207" t="s">
        <v>799</v>
      </c>
      <c r="AO87" s="109">
        <v>79.925</v>
      </c>
      <c r="AP87" s="109">
        <v>0</v>
      </c>
      <c r="AQ87" s="109">
        <v>8</v>
      </c>
      <c r="AR87" s="109">
        <v>0</v>
      </c>
      <c r="AS87" s="109" t="s">
        <v>252</v>
      </c>
      <c r="AT87" s="109" t="s">
        <v>229</v>
      </c>
      <c r="AU87" s="110">
        <v>46260</v>
      </c>
      <c r="AV87" s="109">
        <v>452.25</v>
      </c>
      <c r="AW87" s="109" t="s">
        <v>230</v>
      </c>
      <c r="AX87" s="109" t="s">
        <v>231</v>
      </c>
      <c r="AY87" s="109">
        <v>2457.42</v>
      </c>
      <c r="AZ87" s="109" t="s">
        <v>232</v>
      </c>
      <c r="BA87" s="109" t="s">
        <v>253</v>
      </c>
      <c r="BB87" s="109">
        <v>452.25</v>
      </c>
      <c r="BC87" s="109">
        <v>397.98</v>
      </c>
      <c r="BD87" s="109">
        <v>452.25</v>
      </c>
      <c r="BE87" s="109">
        <v>54.27</v>
      </c>
      <c r="BF87" s="111">
        <v>0.12</v>
      </c>
      <c r="BG87" s="109">
        <v>0</v>
      </c>
      <c r="BH87" s="109">
        <v>79.925</v>
      </c>
      <c r="BI87" s="109">
        <v>100.2</v>
      </c>
      <c r="BJ87" s="109">
        <v>0</v>
      </c>
      <c r="BK87" s="109">
        <v>17</v>
      </c>
      <c r="BL87" s="109">
        <v>0</v>
      </c>
      <c r="BM87" s="109">
        <v>9.76</v>
      </c>
      <c r="BN87" s="109">
        <v>3.69</v>
      </c>
      <c r="BO87" s="109">
        <v>5.5</v>
      </c>
      <c r="BP87" s="109">
        <v>3.23</v>
      </c>
      <c r="BQ87" s="109">
        <v>0</v>
      </c>
      <c r="BR87" s="109">
        <v>0</v>
      </c>
      <c r="BS87" s="109">
        <v>0</v>
      </c>
      <c r="BT87" s="109">
        <v>0</v>
      </c>
      <c r="BU87" s="109">
        <v>0</v>
      </c>
      <c r="BV87" s="109">
        <v>0</v>
      </c>
      <c r="BW87" s="109">
        <v>0</v>
      </c>
      <c r="BX87" s="109">
        <v>250</v>
      </c>
      <c r="BY87" s="109">
        <v>0</v>
      </c>
      <c r="BZ87" s="109">
        <v>0</v>
      </c>
      <c r="CA87" s="109">
        <v>8.6</v>
      </c>
      <c r="CB87" s="109" t="s">
        <v>225</v>
      </c>
      <c r="CC87" s="109" t="s">
        <v>247</v>
      </c>
      <c r="CD87" s="109">
        <v>395.39</v>
      </c>
      <c r="CE87" s="109">
        <v>0</v>
      </c>
      <c r="CF87" s="109">
        <v>0</v>
      </c>
      <c r="CG87" s="109">
        <v>0</v>
      </c>
      <c r="CH87" s="109">
        <v>0</v>
      </c>
      <c r="CI87" s="109">
        <v>0</v>
      </c>
      <c r="CJ87" s="109">
        <v>0</v>
      </c>
      <c r="CK87" s="109">
        <v>0</v>
      </c>
      <c r="CL87" s="109"/>
      <c r="CM87" s="109"/>
      <c r="CN87" s="109">
        <v>0</v>
      </c>
      <c r="CO87" s="109">
        <v>0</v>
      </c>
      <c r="CP87" s="109">
        <v>0</v>
      </c>
      <c r="CQ87" s="109">
        <v>0</v>
      </c>
      <c r="CR87" s="109">
        <v>0</v>
      </c>
      <c r="CS87" s="109">
        <v>0</v>
      </c>
      <c r="CT87" s="109">
        <v>0</v>
      </c>
      <c r="CU87" s="109">
        <v>12</v>
      </c>
      <c r="CV87" s="109" t="s">
        <v>254</v>
      </c>
      <c r="CW87" s="109">
        <v>0</v>
      </c>
      <c r="CX87" s="109"/>
      <c r="CY87" s="109">
        <v>18</v>
      </c>
      <c r="CZ87" s="109" t="s">
        <v>235</v>
      </c>
      <c r="DA87" s="109">
        <v>0</v>
      </c>
      <c r="DB87" s="109"/>
      <c r="DE87" s="109">
        <v>0</v>
      </c>
      <c r="DF87" s="109" t="s">
        <v>236</v>
      </c>
      <c r="DG87" s="109" t="s">
        <v>221</v>
      </c>
      <c r="DH87" s="109" t="s">
        <v>220</v>
      </c>
      <c r="DI87" s="109">
        <v>9026067267</v>
      </c>
      <c r="DJ87" s="109" t="s">
        <v>222</v>
      </c>
      <c r="DK87" s="109">
        <v>0</v>
      </c>
      <c r="DL87" s="109" t="s">
        <v>226</v>
      </c>
      <c r="DM87" s="109">
        <v>54.27</v>
      </c>
    </row>
    <row r="88" ht="13.8" hidden="1" spans="1:117">
      <c r="A88" s="109">
        <v>2</v>
      </c>
      <c r="B88" s="109" t="s">
        <v>800</v>
      </c>
      <c r="C88" s="109" t="s">
        <v>203</v>
      </c>
      <c r="D88" s="109" t="s">
        <v>225</v>
      </c>
      <c r="E88" s="109" t="s">
        <v>226</v>
      </c>
      <c r="F88" s="110">
        <v>46247</v>
      </c>
      <c r="G88" s="109" t="s">
        <v>797</v>
      </c>
      <c r="H88" s="109" t="s">
        <v>801</v>
      </c>
      <c r="I88" s="109" t="s">
        <v>216</v>
      </c>
      <c r="J88" s="109" t="s">
        <v>217</v>
      </c>
      <c r="K88" s="109" t="s">
        <v>218</v>
      </c>
      <c r="L88" s="109" t="s">
        <v>219</v>
      </c>
      <c r="M88" s="207" t="s">
        <v>242</v>
      </c>
      <c r="N88" s="109" t="s">
        <v>220</v>
      </c>
      <c r="O88" s="109" t="s">
        <v>221</v>
      </c>
      <c r="P88" s="109" t="s">
        <v>243</v>
      </c>
      <c r="Q88" s="109" t="s">
        <v>216</v>
      </c>
      <c r="R88" s="109" t="s">
        <v>217</v>
      </c>
      <c r="S88" s="109" t="s">
        <v>220</v>
      </c>
      <c r="T88" s="109" t="s">
        <v>221</v>
      </c>
      <c r="U88" s="109" t="s">
        <v>216</v>
      </c>
      <c r="V88" s="109" t="s">
        <v>217</v>
      </c>
      <c r="W88" s="109" t="s">
        <v>218</v>
      </c>
      <c r="X88" s="109" t="s">
        <v>219</v>
      </c>
      <c r="Y88" s="109" t="s">
        <v>220</v>
      </c>
      <c r="Z88" s="109" t="s">
        <v>221</v>
      </c>
      <c r="AA88" s="109" t="s">
        <v>222</v>
      </c>
      <c r="AB88" s="109" t="s">
        <v>223</v>
      </c>
      <c r="AC88" s="109" t="s">
        <v>802</v>
      </c>
      <c r="AD88" s="109" t="s">
        <v>803</v>
      </c>
      <c r="AE88" s="109">
        <v>148</v>
      </c>
      <c r="AF88" s="109" t="s">
        <v>804</v>
      </c>
      <c r="AG88" s="109" t="s">
        <v>805</v>
      </c>
      <c r="AH88" s="109" t="s">
        <v>297</v>
      </c>
      <c r="AI88" s="109" t="s">
        <v>802</v>
      </c>
      <c r="AJ88" s="109" t="s">
        <v>803</v>
      </c>
      <c r="AK88" s="109" t="s">
        <v>805</v>
      </c>
      <c r="AL88" s="109" t="s">
        <v>297</v>
      </c>
      <c r="AM88" s="109" t="s">
        <v>806</v>
      </c>
      <c r="AN88" s="207" t="s">
        <v>807</v>
      </c>
      <c r="AO88" s="109">
        <v>107.18</v>
      </c>
      <c r="AP88" s="109">
        <v>0</v>
      </c>
      <c r="AQ88" s="109">
        <v>8</v>
      </c>
      <c r="AR88" s="109">
        <v>0</v>
      </c>
      <c r="AS88" s="109" t="s">
        <v>252</v>
      </c>
      <c r="AT88" s="109" t="s">
        <v>229</v>
      </c>
      <c r="AU88" s="110">
        <v>46260</v>
      </c>
      <c r="AV88" s="109">
        <v>204.28</v>
      </c>
      <c r="AW88" s="109" t="s">
        <v>230</v>
      </c>
      <c r="AX88" s="109" t="s">
        <v>230</v>
      </c>
      <c r="AY88" s="109">
        <v>7846.14</v>
      </c>
      <c r="AZ88" s="109" t="s">
        <v>232</v>
      </c>
      <c r="BA88" s="109" t="s">
        <v>557</v>
      </c>
      <c r="BB88" s="109">
        <v>204.28</v>
      </c>
      <c r="BC88" s="109">
        <v>179.77</v>
      </c>
      <c r="BD88" s="109">
        <v>204.28</v>
      </c>
      <c r="BE88" s="109">
        <v>24.51</v>
      </c>
      <c r="BF88" s="111">
        <v>0.12</v>
      </c>
      <c r="BG88" s="109">
        <v>0</v>
      </c>
      <c r="BH88" s="109">
        <v>107.18</v>
      </c>
      <c r="BI88" s="109">
        <v>99.55</v>
      </c>
      <c r="BJ88" s="109">
        <v>0</v>
      </c>
      <c r="BK88" s="109">
        <v>17</v>
      </c>
      <c r="BL88" s="109">
        <v>0</v>
      </c>
      <c r="BM88" s="109">
        <v>9.76</v>
      </c>
      <c r="BN88" s="109">
        <v>11.77</v>
      </c>
      <c r="BO88" s="109">
        <v>11</v>
      </c>
      <c r="BP88" s="109">
        <v>3.23</v>
      </c>
      <c r="BQ88" s="109">
        <v>0</v>
      </c>
      <c r="BR88" s="109">
        <v>0</v>
      </c>
      <c r="BS88" s="109">
        <v>0</v>
      </c>
      <c r="BT88" s="109">
        <v>0</v>
      </c>
      <c r="BU88" s="109">
        <v>0</v>
      </c>
      <c r="BV88" s="109">
        <v>0</v>
      </c>
      <c r="BW88" s="109">
        <v>0</v>
      </c>
      <c r="BX88" s="109">
        <v>0</v>
      </c>
      <c r="BY88" s="109">
        <v>0</v>
      </c>
      <c r="BZ88" s="109">
        <v>0</v>
      </c>
      <c r="CA88" s="109">
        <v>27.46</v>
      </c>
      <c r="CB88" s="109" t="s">
        <v>225</v>
      </c>
      <c r="CC88" s="109" t="s">
        <v>558</v>
      </c>
      <c r="CD88" s="109">
        <v>473.53</v>
      </c>
      <c r="CE88" s="109">
        <v>0</v>
      </c>
      <c r="CF88" s="109">
        <v>0</v>
      </c>
      <c r="CG88" s="109">
        <v>0</v>
      </c>
      <c r="CH88" s="109">
        <v>0</v>
      </c>
      <c r="CI88" s="109">
        <v>0</v>
      </c>
      <c r="CJ88" s="109">
        <v>0</v>
      </c>
      <c r="CK88" s="109">
        <v>0</v>
      </c>
      <c r="CL88" s="109"/>
      <c r="CM88" s="109"/>
      <c r="CN88" s="109">
        <v>0</v>
      </c>
      <c r="CO88" s="109">
        <v>0</v>
      </c>
      <c r="CP88" s="109">
        <v>0</v>
      </c>
      <c r="CQ88" s="109">
        <v>0</v>
      </c>
      <c r="CR88" s="109">
        <v>0</v>
      </c>
      <c r="CS88" s="109">
        <v>0</v>
      </c>
      <c r="CT88" s="109">
        <v>0</v>
      </c>
      <c r="CU88" s="109">
        <v>16.08</v>
      </c>
      <c r="CV88" s="109" t="s">
        <v>254</v>
      </c>
      <c r="CW88" s="109">
        <v>0</v>
      </c>
      <c r="CX88" s="109"/>
      <c r="CY88" s="109">
        <v>75.6</v>
      </c>
      <c r="CZ88" s="109" t="s">
        <v>808</v>
      </c>
      <c r="DA88" s="109">
        <v>99.07</v>
      </c>
      <c r="DB88" s="109">
        <v>326288</v>
      </c>
      <c r="DE88" s="109">
        <v>0</v>
      </c>
      <c r="DF88" s="109" t="s">
        <v>236</v>
      </c>
      <c r="DG88" s="109" t="s">
        <v>221</v>
      </c>
      <c r="DH88" s="109" t="s">
        <v>220</v>
      </c>
      <c r="DI88" s="109">
        <v>9026067267</v>
      </c>
      <c r="DJ88" s="109" t="s">
        <v>222</v>
      </c>
      <c r="DK88" s="109">
        <v>0</v>
      </c>
      <c r="DL88" s="109" t="s">
        <v>226</v>
      </c>
      <c r="DM88" s="109">
        <v>24.51</v>
      </c>
    </row>
    <row r="89" ht="13.8" hidden="1" spans="1:117">
      <c r="A89" s="109">
        <v>2</v>
      </c>
      <c r="B89" s="109" t="s">
        <v>809</v>
      </c>
      <c r="C89" s="109" t="s">
        <v>203</v>
      </c>
      <c r="D89" s="109" t="s">
        <v>225</v>
      </c>
      <c r="E89" s="109" t="s">
        <v>226</v>
      </c>
      <c r="F89" s="110">
        <v>46247</v>
      </c>
      <c r="G89" s="109" t="s">
        <v>797</v>
      </c>
      <c r="H89" s="109" t="s">
        <v>810</v>
      </c>
      <c r="I89" s="109" t="s">
        <v>216</v>
      </c>
      <c r="J89" s="109" t="s">
        <v>217</v>
      </c>
      <c r="K89" s="109" t="s">
        <v>218</v>
      </c>
      <c r="L89" s="109" t="s">
        <v>219</v>
      </c>
      <c r="M89" s="207" t="s">
        <v>242</v>
      </c>
      <c r="N89" s="109" t="s">
        <v>220</v>
      </c>
      <c r="O89" s="109" t="s">
        <v>221</v>
      </c>
      <c r="P89" s="109" t="s">
        <v>243</v>
      </c>
      <c r="Q89" s="109" t="s">
        <v>216</v>
      </c>
      <c r="R89" s="109" t="s">
        <v>217</v>
      </c>
      <c r="S89" s="109" t="s">
        <v>220</v>
      </c>
      <c r="T89" s="109" t="s">
        <v>221</v>
      </c>
      <c r="U89" s="109" t="s">
        <v>216</v>
      </c>
      <c r="V89" s="109" t="s">
        <v>217</v>
      </c>
      <c r="W89" s="109" t="s">
        <v>218</v>
      </c>
      <c r="X89" s="109" t="s">
        <v>219</v>
      </c>
      <c r="Y89" s="109" t="s">
        <v>220</v>
      </c>
      <c r="Z89" s="109" t="s">
        <v>221</v>
      </c>
      <c r="AA89" s="109" t="s">
        <v>222</v>
      </c>
      <c r="AB89" s="109" t="s">
        <v>223</v>
      </c>
      <c r="AC89" s="109" t="s">
        <v>811</v>
      </c>
      <c r="AD89" s="109" t="s">
        <v>812</v>
      </c>
      <c r="AE89" s="109" t="s">
        <v>403</v>
      </c>
      <c r="AF89" s="109" t="s">
        <v>295</v>
      </c>
      <c r="AG89" s="109" t="s">
        <v>813</v>
      </c>
      <c r="AH89" s="109" t="s">
        <v>297</v>
      </c>
      <c r="AI89" s="109" t="s">
        <v>811</v>
      </c>
      <c r="AJ89" s="109" t="s">
        <v>812</v>
      </c>
      <c r="AK89" s="109" t="s">
        <v>813</v>
      </c>
      <c r="AL89" s="109" t="s">
        <v>297</v>
      </c>
      <c r="AM89" s="109" t="s">
        <v>298</v>
      </c>
      <c r="AN89" s="207" t="s">
        <v>814</v>
      </c>
      <c r="AO89" s="109">
        <v>9.84</v>
      </c>
      <c r="AP89" s="109">
        <v>0</v>
      </c>
      <c r="AQ89" s="109">
        <v>1</v>
      </c>
      <c r="AR89" s="109">
        <v>0</v>
      </c>
      <c r="AS89" s="109" t="s">
        <v>252</v>
      </c>
      <c r="AT89" s="109" t="s">
        <v>229</v>
      </c>
      <c r="AU89" s="110">
        <v>46260</v>
      </c>
      <c r="AV89" s="109">
        <v>200.4</v>
      </c>
      <c r="AW89" s="109" t="s">
        <v>230</v>
      </c>
      <c r="AX89" s="109" t="s">
        <v>230</v>
      </c>
      <c r="AY89" s="109">
        <v>1373.89</v>
      </c>
      <c r="AZ89" s="109" t="s">
        <v>232</v>
      </c>
      <c r="BA89" s="109" t="s">
        <v>557</v>
      </c>
      <c r="BB89" s="109">
        <v>200.4</v>
      </c>
      <c r="BC89" s="109">
        <v>176.35</v>
      </c>
      <c r="BD89" s="109">
        <v>200.4</v>
      </c>
      <c r="BE89" s="109">
        <v>24.05</v>
      </c>
      <c r="BF89" s="111">
        <v>0.12</v>
      </c>
      <c r="BG89" s="109">
        <v>0</v>
      </c>
      <c r="BH89" s="109">
        <v>9.84</v>
      </c>
      <c r="BI89" s="109">
        <v>38.8</v>
      </c>
      <c r="BJ89" s="109">
        <v>0</v>
      </c>
      <c r="BK89" s="109">
        <v>17</v>
      </c>
      <c r="BL89" s="109">
        <v>0</v>
      </c>
      <c r="BM89" s="109">
        <v>9.76</v>
      </c>
      <c r="BN89" s="109">
        <v>2.25</v>
      </c>
      <c r="BO89" s="109">
        <v>5.5</v>
      </c>
      <c r="BP89" s="109">
        <v>3.23</v>
      </c>
      <c r="BQ89" s="109">
        <v>95</v>
      </c>
      <c r="BR89" s="109">
        <v>0</v>
      </c>
      <c r="BS89" s="109">
        <v>0</v>
      </c>
      <c r="BT89" s="109">
        <v>0</v>
      </c>
      <c r="BU89" s="109">
        <v>0</v>
      </c>
      <c r="BV89" s="109">
        <v>0</v>
      </c>
      <c r="BW89" s="109">
        <v>0</v>
      </c>
      <c r="BX89" s="109">
        <v>0</v>
      </c>
      <c r="BY89" s="109">
        <v>0</v>
      </c>
      <c r="BZ89" s="109">
        <v>0</v>
      </c>
      <c r="CA89" s="109">
        <v>4.81</v>
      </c>
      <c r="CB89" s="109" t="s">
        <v>225</v>
      </c>
      <c r="CC89" s="109" t="s">
        <v>558</v>
      </c>
      <c r="CD89" s="109">
        <v>381.5</v>
      </c>
      <c r="CE89" s="109">
        <v>0</v>
      </c>
      <c r="CF89" s="109">
        <v>0</v>
      </c>
      <c r="CG89" s="109">
        <v>0</v>
      </c>
      <c r="CH89" s="109">
        <v>0</v>
      </c>
      <c r="CI89" s="109">
        <v>0</v>
      </c>
      <c r="CJ89" s="109">
        <v>0</v>
      </c>
      <c r="CK89" s="109">
        <v>0</v>
      </c>
      <c r="CL89" s="109"/>
      <c r="CM89" s="109"/>
      <c r="CN89" s="109">
        <v>0</v>
      </c>
      <c r="CO89" s="109">
        <v>0</v>
      </c>
      <c r="CP89" s="109">
        <v>0</v>
      </c>
      <c r="CQ89" s="109">
        <v>0</v>
      </c>
      <c r="CR89" s="109">
        <v>0</v>
      </c>
      <c r="CS89" s="109">
        <v>0</v>
      </c>
      <c r="CT89" s="109">
        <v>0</v>
      </c>
      <c r="CU89" s="109">
        <v>12</v>
      </c>
      <c r="CV89" s="109" t="s">
        <v>254</v>
      </c>
      <c r="CW89" s="109">
        <v>0</v>
      </c>
      <c r="CX89" s="109"/>
      <c r="CY89" s="109">
        <v>18</v>
      </c>
      <c r="CZ89" s="109" t="s">
        <v>235</v>
      </c>
      <c r="DA89" s="109">
        <v>0</v>
      </c>
      <c r="DB89" s="109"/>
      <c r="DE89" s="109">
        <v>0</v>
      </c>
      <c r="DF89" s="109" t="s">
        <v>236</v>
      </c>
      <c r="DG89" s="109" t="s">
        <v>221</v>
      </c>
      <c r="DH89" s="109" t="s">
        <v>220</v>
      </c>
      <c r="DI89" s="109">
        <v>9026067267</v>
      </c>
      <c r="DJ89" s="109" t="s">
        <v>222</v>
      </c>
      <c r="DK89" s="109">
        <v>0</v>
      </c>
      <c r="DL89" s="109" t="s">
        <v>226</v>
      </c>
      <c r="DM89" s="109">
        <v>24.05</v>
      </c>
    </row>
    <row r="90" ht="13.8" hidden="1" spans="1:117">
      <c r="A90" s="109">
        <v>2</v>
      </c>
      <c r="B90" s="109" t="s">
        <v>815</v>
      </c>
      <c r="C90" s="109" t="s">
        <v>203</v>
      </c>
      <c r="D90" s="109" t="s">
        <v>225</v>
      </c>
      <c r="E90" s="109" t="s">
        <v>226</v>
      </c>
      <c r="F90" s="110">
        <v>46247</v>
      </c>
      <c r="G90" s="109" t="s">
        <v>797</v>
      </c>
      <c r="H90" s="109" t="s">
        <v>816</v>
      </c>
      <c r="I90" s="109" t="s">
        <v>216</v>
      </c>
      <c r="J90" s="109" t="s">
        <v>217</v>
      </c>
      <c r="K90" s="109" t="s">
        <v>218</v>
      </c>
      <c r="L90" s="109" t="s">
        <v>219</v>
      </c>
      <c r="M90" s="207" t="s">
        <v>242</v>
      </c>
      <c r="N90" s="109" t="s">
        <v>220</v>
      </c>
      <c r="O90" s="109" t="s">
        <v>221</v>
      </c>
      <c r="P90" s="109" t="s">
        <v>243</v>
      </c>
      <c r="Q90" s="109" t="s">
        <v>216</v>
      </c>
      <c r="R90" s="109" t="s">
        <v>217</v>
      </c>
      <c r="S90" s="109" t="s">
        <v>220</v>
      </c>
      <c r="T90" s="109" t="s">
        <v>221</v>
      </c>
      <c r="U90" s="109" t="s">
        <v>216</v>
      </c>
      <c r="V90" s="109" t="s">
        <v>217</v>
      </c>
      <c r="W90" s="109" t="s">
        <v>218</v>
      </c>
      <c r="X90" s="109" t="s">
        <v>219</v>
      </c>
      <c r="Y90" s="109" t="s">
        <v>220</v>
      </c>
      <c r="Z90" s="109" t="s">
        <v>221</v>
      </c>
      <c r="AA90" s="109" t="s">
        <v>222</v>
      </c>
      <c r="AB90" s="109" t="s">
        <v>223</v>
      </c>
      <c r="AC90" s="109" t="s">
        <v>817</v>
      </c>
      <c r="AD90" s="109" t="s">
        <v>818</v>
      </c>
      <c r="AE90" s="109" t="s">
        <v>246</v>
      </c>
      <c r="AF90" s="109" t="s">
        <v>247</v>
      </c>
      <c r="AG90" s="109" t="s">
        <v>248</v>
      </c>
      <c r="AH90" s="109" t="s">
        <v>249</v>
      </c>
      <c r="AI90" s="109" t="s">
        <v>817</v>
      </c>
      <c r="AJ90" s="109" t="s">
        <v>818</v>
      </c>
      <c r="AK90" s="109" t="s">
        <v>248</v>
      </c>
      <c r="AL90" s="109" t="s">
        <v>249</v>
      </c>
      <c r="AM90" s="109" t="s">
        <v>250</v>
      </c>
      <c r="AN90" s="207" t="s">
        <v>819</v>
      </c>
      <c r="AO90" s="109">
        <v>131.4</v>
      </c>
      <c r="AP90" s="109">
        <v>0</v>
      </c>
      <c r="AQ90" s="109">
        <v>24</v>
      </c>
      <c r="AR90" s="109">
        <v>0</v>
      </c>
      <c r="AS90" s="109" t="s">
        <v>252</v>
      </c>
      <c r="AT90" s="109" t="s">
        <v>229</v>
      </c>
      <c r="AU90" s="110">
        <v>46260</v>
      </c>
      <c r="AV90" s="109">
        <v>207.55</v>
      </c>
      <c r="AW90" s="109" t="s">
        <v>230</v>
      </c>
      <c r="AX90" s="109" t="s">
        <v>230</v>
      </c>
      <c r="AY90" s="109">
        <v>4675.98</v>
      </c>
      <c r="AZ90" s="109" t="s">
        <v>232</v>
      </c>
      <c r="BA90" s="109" t="s">
        <v>253</v>
      </c>
      <c r="BB90" s="109">
        <v>207.55</v>
      </c>
      <c r="BC90" s="109">
        <v>182.64</v>
      </c>
      <c r="BD90" s="109">
        <v>207.55</v>
      </c>
      <c r="BE90" s="109">
        <v>24.91</v>
      </c>
      <c r="BF90" s="111">
        <v>0.12</v>
      </c>
      <c r="BG90" s="109">
        <v>0</v>
      </c>
      <c r="BH90" s="109">
        <v>131.4</v>
      </c>
      <c r="BI90" s="109">
        <v>118.27</v>
      </c>
      <c r="BJ90" s="109">
        <v>0</v>
      </c>
      <c r="BK90" s="109">
        <v>17</v>
      </c>
      <c r="BL90" s="109">
        <v>0</v>
      </c>
      <c r="BM90" s="109">
        <v>9.76</v>
      </c>
      <c r="BN90" s="109">
        <v>7.01</v>
      </c>
      <c r="BO90" s="109">
        <v>11</v>
      </c>
      <c r="BP90" s="109">
        <v>3.23</v>
      </c>
      <c r="BQ90" s="109">
        <v>0</v>
      </c>
      <c r="BR90" s="109">
        <v>0</v>
      </c>
      <c r="BS90" s="109">
        <v>0</v>
      </c>
      <c r="BT90" s="109">
        <v>0</v>
      </c>
      <c r="BU90" s="109">
        <v>0</v>
      </c>
      <c r="BV90" s="109">
        <v>0</v>
      </c>
      <c r="BW90" s="109">
        <v>0</v>
      </c>
      <c r="BX90" s="109">
        <v>0</v>
      </c>
      <c r="BY90" s="109">
        <v>0</v>
      </c>
      <c r="BZ90" s="109">
        <v>0</v>
      </c>
      <c r="CA90" s="109">
        <v>16.37</v>
      </c>
      <c r="CB90" s="109" t="s">
        <v>225</v>
      </c>
      <c r="CC90" s="109" t="s">
        <v>247</v>
      </c>
      <c r="CD90" s="109">
        <v>427.59</v>
      </c>
      <c r="CE90" s="109">
        <v>0</v>
      </c>
      <c r="CF90" s="109">
        <v>0</v>
      </c>
      <c r="CG90" s="109">
        <v>0</v>
      </c>
      <c r="CH90" s="109">
        <v>0</v>
      </c>
      <c r="CI90" s="109">
        <v>0</v>
      </c>
      <c r="CJ90" s="109">
        <v>0</v>
      </c>
      <c r="CK90" s="109">
        <v>0</v>
      </c>
      <c r="CL90" s="109"/>
      <c r="CM90" s="109"/>
      <c r="CN90" s="109">
        <v>0</v>
      </c>
      <c r="CO90" s="109">
        <v>0</v>
      </c>
      <c r="CP90" s="109">
        <v>0</v>
      </c>
      <c r="CQ90" s="109">
        <v>0</v>
      </c>
      <c r="CR90" s="109">
        <v>0</v>
      </c>
      <c r="CS90" s="109">
        <v>0</v>
      </c>
      <c r="CT90" s="109">
        <v>0</v>
      </c>
      <c r="CU90" s="109">
        <v>19.71</v>
      </c>
      <c r="CV90" s="109" t="s">
        <v>254</v>
      </c>
      <c r="CW90" s="109">
        <v>0</v>
      </c>
      <c r="CX90" s="109"/>
      <c r="CY90" s="109">
        <v>23.65</v>
      </c>
      <c r="CZ90" s="109" t="s">
        <v>235</v>
      </c>
      <c r="DA90" s="109">
        <v>0</v>
      </c>
      <c r="DB90" s="109"/>
      <c r="DE90" s="109">
        <v>0</v>
      </c>
      <c r="DF90" s="109" t="s">
        <v>236</v>
      </c>
      <c r="DG90" s="109" t="s">
        <v>221</v>
      </c>
      <c r="DH90" s="109" t="s">
        <v>220</v>
      </c>
      <c r="DI90" s="109">
        <v>9026067267</v>
      </c>
      <c r="DJ90" s="109" t="s">
        <v>222</v>
      </c>
      <c r="DK90" s="109">
        <v>0</v>
      </c>
      <c r="DL90" s="109" t="s">
        <v>226</v>
      </c>
      <c r="DM90" s="109">
        <v>24.91</v>
      </c>
    </row>
    <row r="91" ht="13.8" hidden="1" spans="1:117">
      <c r="A91" s="109">
        <v>2</v>
      </c>
      <c r="B91" s="109" t="s">
        <v>820</v>
      </c>
      <c r="C91" s="109" t="s">
        <v>203</v>
      </c>
      <c r="D91" s="109" t="s">
        <v>225</v>
      </c>
      <c r="E91" s="109" t="s">
        <v>226</v>
      </c>
      <c r="F91" s="110">
        <v>46251</v>
      </c>
      <c r="G91" s="109" t="s">
        <v>240</v>
      </c>
      <c r="H91" s="109" t="s">
        <v>821</v>
      </c>
      <c r="I91" s="109" t="s">
        <v>216</v>
      </c>
      <c r="J91" s="109" t="s">
        <v>217</v>
      </c>
      <c r="K91" s="109" t="s">
        <v>218</v>
      </c>
      <c r="L91" s="109" t="s">
        <v>219</v>
      </c>
      <c r="M91" s="207" t="s">
        <v>242</v>
      </c>
      <c r="N91" s="109" t="s">
        <v>220</v>
      </c>
      <c r="O91" s="109" t="s">
        <v>221</v>
      </c>
      <c r="P91" s="109" t="s">
        <v>243</v>
      </c>
      <c r="Q91" s="109" t="s">
        <v>216</v>
      </c>
      <c r="R91" s="109" t="s">
        <v>217</v>
      </c>
      <c r="S91" s="109" t="s">
        <v>220</v>
      </c>
      <c r="T91" s="109" t="s">
        <v>221</v>
      </c>
      <c r="U91" s="109" t="s">
        <v>216</v>
      </c>
      <c r="V91" s="109" t="s">
        <v>217</v>
      </c>
      <c r="W91" s="109" t="s">
        <v>218</v>
      </c>
      <c r="X91" s="109" t="s">
        <v>219</v>
      </c>
      <c r="Y91" s="109" t="s">
        <v>220</v>
      </c>
      <c r="Z91" s="109" t="s">
        <v>221</v>
      </c>
      <c r="AA91" s="109" t="s">
        <v>222</v>
      </c>
      <c r="AB91" s="109" t="s">
        <v>223</v>
      </c>
      <c r="AC91" s="109" t="s">
        <v>822</v>
      </c>
      <c r="AD91" s="109" t="s">
        <v>823</v>
      </c>
      <c r="AE91" s="109">
        <v>133</v>
      </c>
      <c r="AF91" s="109" t="s">
        <v>364</v>
      </c>
      <c r="AG91" s="109" t="s">
        <v>365</v>
      </c>
      <c r="AH91" s="109" t="s">
        <v>297</v>
      </c>
      <c r="AI91" s="109" t="s">
        <v>822</v>
      </c>
      <c r="AJ91" s="109" t="s">
        <v>823</v>
      </c>
      <c r="AK91" s="109" t="s">
        <v>365</v>
      </c>
      <c r="AL91" s="109" t="s">
        <v>297</v>
      </c>
      <c r="AM91" s="109" t="s">
        <v>366</v>
      </c>
      <c r="AN91" s="207" t="s">
        <v>824</v>
      </c>
      <c r="AO91" s="109">
        <v>120.25</v>
      </c>
      <c r="AP91" s="109">
        <v>0</v>
      </c>
      <c r="AQ91" s="109">
        <v>12</v>
      </c>
      <c r="AR91" s="109">
        <v>0</v>
      </c>
      <c r="AS91" s="109" t="s">
        <v>252</v>
      </c>
      <c r="AT91" s="109" t="s">
        <v>229</v>
      </c>
      <c r="AU91" s="110">
        <v>46267</v>
      </c>
      <c r="AV91" s="109">
        <v>234.68</v>
      </c>
      <c r="AW91" s="109" t="s">
        <v>230</v>
      </c>
      <c r="AX91" s="109" t="s">
        <v>230</v>
      </c>
      <c r="AY91" s="109">
        <v>4706.55</v>
      </c>
      <c r="AZ91" s="109" t="s">
        <v>232</v>
      </c>
      <c r="BA91" s="109" t="s">
        <v>368</v>
      </c>
      <c r="BB91" s="109">
        <v>234.68</v>
      </c>
      <c r="BC91" s="109">
        <v>206.52</v>
      </c>
      <c r="BD91" s="109">
        <v>234.68</v>
      </c>
      <c r="BE91" s="109">
        <v>28.16</v>
      </c>
      <c r="BF91" s="111">
        <v>0.12</v>
      </c>
      <c r="BG91" s="109">
        <v>0</v>
      </c>
      <c r="BH91" s="109">
        <v>120.25</v>
      </c>
      <c r="BI91" s="109">
        <v>142</v>
      </c>
      <c r="BJ91" s="109">
        <v>0</v>
      </c>
      <c r="BK91" s="109">
        <v>17</v>
      </c>
      <c r="BL91" s="109">
        <v>0</v>
      </c>
      <c r="BM91" s="109">
        <v>9.76</v>
      </c>
      <c r="BN91" s="109">
        <v>7.06</v>
      </c>
      <c r="BO91" s="109">
        <v>11</v>
      </c>
      <c r="BP91" s="109">
        <v>3.23</v>
      </c>
      <c r="BQ91" s="109">
        <v>0</v>
      </c>
      <c r="BR91" s="109">
        <v>0</v>
      </c>
      <c r="BS91" s="109">
        <v>0</v>
      </c>
      <c r="BT91" s="109">
        <v>0</v>
      </c>
      <c r="BU91" s="109">
        <v>0</v>
      </c>
      <c r="BV91" s="109">
        <v>0</v>
      </c>
      <c r="BW91" s="109">
        <v>0</v>
      </c>
      <c r="BX91" s="109">
        <v>0</v>
      </c>
      <c r="BY91" s="109">
        <v>0</v>
      </c>
      <c r="BZ91" s="109">
        <v>0</v>
      </c>
      <c r="CA91" s="109">
        <v>16.47</v>
      </c>
      <c r="CB91" s="109" t="s">
        <v>225</v>
      </c>
      <c r="CC91" s="109" t="s">
        <v>369</v>
      </c>
      <c r="CD91" s="109">
        <v>428.01</v>
      </c>
      <c r="CE91" s="109">
        <v>0</v>
      </c>
      <c r="CF91" s="109">
        <v>0</v>
      </c>
      <c r="CG91" s="109">
        <v>0</v>
      </c>
      <c r="CH91" s="109">
        <v>0</v>
      </c>
      <c r="CI91" s="109">
        <v>0</v>
      </c>
      <c r="CJ91" s="109">
        <v>0</v>
      </c>
      <c r="CK91" s="109">
        <v>0</v>
      </c>
      <c r="CL91" s="109"/>
      <c r="CM91" s="109"/>
      <c r="CN91" s="109">
        <v>0</v>
      </c>
      <c r="CO91" s="109">
        <v>0</v>
      </c>
      <c r="CP91" s="109">
        <v>0</v>
      </c>
      <c r="CQ91" s="109">
        <v>0</v>
      </c>
      <c r="CR91" s="109">
        <v>0</v>
      </c>
      <c r="CS91" s="109">
        <v>0</v>
      </c>
      <c r="CT91" s="109">
        <v>0</v>
      </c>
      <c r="CU91" s="109">
        <v>18.04</v>
      </c>
      <c r="CV91" s="109" t="s">
        <v>235</v>
      </c>
      <c r="CW91" s="109">
        <v>0</v>
      </c>
      <c r="CX91" s="109"/>
      <c r="CY91" s="109">
        <v>74.1</v>
      </c>
      <c r="CZ91" s="109" t="s">
        <v>235</v>
      </c>
      <c r="DA91" s="109">
        <f>CY91</f>
        <v>74.1</v>
      </c>
      <c r="DB91" s="109"/>
      <c r="DE91" s="109">
        <v>0</v>
      </c>
      <c r="DF91" s="109" t="s">
        <v>236</v>
      </c>
      <c r="DG91" s="109" t="s">
        <v>221</v>
      </c>
      <c r="DH91" s="109" t="s">
        <v>220</v>
      </c>
      <c r="DI91" s="109">
        <v>9026067267</v>
      </c>
      <c r="DJ91" s="109" t="s">
        <v>222</v>
      </c>
      <c r="DK91" s="109">
        <v>0</v>
      </c>
      <c r="DL91" s="109" t="s">
        <v>226</v>
      </c>
      <c r="DM91" s="109">
        <v>26.24</v>
      </c>
    </row>
    <row r="92" ht="13.8" hidden="1" spans="1:117">
      <c r="A92" s="109">
        <v>2</v>
      </c>
      <c r="B92" s="109" t="s">
        <v>825</v>
      </c>
      <c r="C92" s="109" t="s">
        <v>203</v>
      </c>
      <c r="D92" s="109" t="s">
        <v>225</v>
      </c>
      <c r="E92" s="109" t="s">
        <v>226</v>
      </c>
      <c r="F92" s="110">
        <v>46247</v>
      </c>
      <c r="G92" s="109" t="s">
        <v>797</v>
      </c>
      <c r="H92" s="109" t="s">
        <v>826</v>
      </c>
      <c r="I92" s="109" t="s">
        <v>216</v>
      </c>
      <c r="J92" s="109" t="s">
        <v>217</v>
      </c>
      <c r="K92" s="109" t="s">
        <v>218</v>
      </c>
      <c r="L92" s="109" t="s">
        <v>219</v>
      </c>
      <c r="M92" s="207" t="s">
        <v>242</v>
      </c>
      <c r="N92" s="109" t="s">
        <v>220</v>
      </c>
      <c r="O92" s="109" t="s">
        <v>221</v>
      </c>
      <c r="P92" s="109" t="s">
        <v>243</v>
      </c>
      <c r="Q92" s="109" t="s">
        <v>216</v>
      </c>
      <c r="R92" s="109" t="s">
        <v>217</v>
      </c>
      <c r="S92" s="109" t="s">
        <v>220</v>
      </c>
      <c r="T92" s="109" t="s">
        <v>221</v>
      </c>
      <c r="U92" s="109" t="s">
        <v>216</v>
      </c>
      <c r="V92" s="109" t="s">
        <v>217</v>
      </c>
      <c r="W92" s="109" t="s">
        <v>218</v>
      </c>
      <c r="X92" s="109" t="s">
        <v>219</v>
      </c>
      <c r="Y92" s="109" t="s">
        <v>220</v>
      </c>
      <c r="Z92" s="109" t="s">
        <v>221</v>
      </c>
      <c r="AA92" s="109" t="s">
        <v>222</v>
      </c>
      <c r="AB92" s="109" t="s">
        <v>223</v>
      </c>
      <c r="AC92" s="109" t="s">
        <v>257</v>
      </c>
      <c r="AD92" s="109" t="s">
        <v>258</v>
      </c>
      <c r="AE92" s="109" t="s">
        <v>259</v>
      </c>
      <c r="AF92" s="109" t="s">
        <v>247</v>
      </c>
      <c r="AG92" s="109" t="s">
        <v>260</v>
      </c>
      <c r="AH92" s="109" t="s">
        <v>249</v>
      </c>
      <c r="AI92" s="109" t="s">
        <v>257</v>
      </c>
      <c r="AJ92" s="109" t="s">
        <v>258</v>
      </c>
      <c r="AK92" s="109" t="s">
        <v>260</v>
      </c>
      <c r="AL92" s="109" t="s">
        <v>249</v>
      </c>
      <c r="AM92" s="109" t="s">
        <v>250</v>
      </c>
      <c r="AN92" s="207" t="s">
        <v>827</v>
      </c>
      <c r="AO92" s="109">
        <v>39.7</v>
      </c>
      <c r="AP92" s="109">
        <v>0</v>
      </c>
      <c r="AQ92" s="109">
        <v>3</v>
      </c>
      <c r="AR92" s="109">
        <v>0</v>
      </c>
      <c r="AS92" s="109" t="s">
        <v>252</v>
      </c>
      <c r="AT92" s="109" t="s">
        <v>229</v>
      </c>
      <c r="AU92" s="110">
        <v>46260</v>
      </c>
      <c r="AV92" s="109">
        <v>399.58</v>
      </c>
      <c r="AW92" s="109" t="s">
        <v>230</v>
      </c>
      <c r="AX92" s="109" t="s">
        <v>230</v>
      </c>
      <c r="AY92" s="109">
        <v>1426.17</v>
      </c>
      <c r="AZ92" s="109" t="s">
        <v>232</v>
      </c>
      <c r="BA92" s="109" t="s">
        <v>253</v>
      </c>
      <c r="BB92" s="109">
        <v>399.58</v>
      </c>
      <c r="BC92" s="109">
        <v>351.63</v>
      </c>
      <c r="BD92" s="109">
        <v>399.58</v>
      </c>
      <c r="BE92" s="109">
        <v>47.95</v>
      </c>
      <c r="BF92" s="111">
        <v>0.12</v>
      </c>
      <c r="BG92" s="109">
        <v>0</v>
      </c>
      <c r="BH92" s="109">
        <v>39.7</v>
      </c>
      <c r="BI92" s="109">
        <v>58.9</v>
      </c>
      <c r="BJ92" s="109">
        <v>0</v>
      </c>
      <c r="BK92" s="109">
        <v>17</v>
      </c>
      <c r="BL92" s="109">
        <v>0</v>
      </c>
      <c r="BM92" s="109">
        <v>9.76</v>
      </c>
      <c r="BN92" s="109">
        <v>2.25</v>
      </c>
      <c r="BO92" s="109">
        <v>5.5</v>
      </c>
      <c r="BP92" s="109">
        <v>3.23</v>
      </c>
      <c r="BQ92" s="109">
        <v>0</v>
      </c>
      <c r="BR92" s="109">
        <v>0</v>
      </c>
      <c r="BS92" s="109">
        <v>0</v>
      </c>
      <c r="BT92" s="109">
        <v>0</v>
      </c>
      <c r="BU92" s="109">
        <v>0</v>
      </c>
      <c r="BV92" s="109">
        <v>0</v>
      </c>
      <c r="BW92" s="109">
        <v>0</v>
      </c>
      <c r="BX92" s="109">
        <v>250</v>
      </c>
      <c r="BY92" s="109">
        <v>0</v>
      </c>
      <c r="BZ92" s="109">
        <v>0</v>
      </c>
      <c r="CA92" s="109">
        <v>4.99</v>
      </c>
      <c r="CB92" s="109" t="s">
        <v>225</v>
      </c>
      <c r="CC92" s="109" t="s">
        <v>247</v>
      </c>
      <c r="CD92" s="109">
        <v>382.01</v>
      </c>
      <c r="CE92" s="109">
        <v>0</v>
      </c>
      <c r="CF92" s="109">
        <v>0</v>
      </c>
      <c r="CG92" s="109">
        <v>0</v>
      </c>
      <c r="CH92" s="109">
        <v>0</v>
      </c>
      <c r="CI92" s="109">
        <v>0</v>
      </c>
      <c r="CJ92" s="109">
        <v>0</v>
      </c>
      <c r="CK92" s="109">
        <v>0</v>
      </c>
      <c r="CL92" s="109"/>
      <c r="CM92" s="109"/>
      <c r="CN92" s="109">
        <v>0</v>
      </c>
      <c r="CO92" s="109">
        <v>0</v>
      </c>
      <c r="CP92" s="109">
        <v>0</v>
      </c>
      <c r="CQ92" s="109">
        <v>0</v>
      </c>
      <c r="CR92" s="109">
        <v>0</v>
      </c>
      <c r="CS92" s="109">
        <v>0</v>
      </c>
      <c r="CT92" s="109">
        <v>0</v>
      </c>
      <c r="CU92" s="109">
        <v>12</v>
      </c>
      <c r="CV92" s="109" t="s">
        <v>254</v>
      </c>
      <c r="CW92" s="109">
        <v>0</v>
      </c>
      <c r="CX92" s="109"/>
      <c r="CY92" s="109">
        <v>18</v>
      </c>
      <c r="CZ92" s="109" t="s">
        <v>235</v>
      </c>
      <c r="DA92" s="109">
        <v>0</v>
      </c>
      <c r="DB92" s="109"/>
      <c r="DE92" s="109">
        <v>0</v>
      </c>
      <c r="DF92" s="109" t="s">
        <v>236</v>
      </c>
      <c r="DG92" s="109" t="s">
        <v>221</v>
      </c>
      <c r="DH92" s="109" t="s">
        <v>220</v>
      </c>
      <c r="DI92" s="109">
        <v>9026067267</v>
      </c>
      <c r="DJ92" s="109" t="s">
        <v>222</v>
      </c>
      <c r="DK92" s="109">
        <v>0</v>
      </c>
      <c r="DL92" s="109" t="s">
        <v>226</v>
      </c>
      <c r="DM92" s="109">
        <v>47.95</v>
      </c>
    </row>
    <row r="93" ht="13.8" hidden="1" spans="1:117">
      <c r="A93" s="109">
        <v>2</v>
      </c>
      <c r="B93" s="109" t="s">
        <v>828</v>
      </c>
      <c r="C93" s="109" t="s">
        <v>203</v>
      </c>
      <c r="D93" s="109" t="s">
        <v>225</v>
      </c>
      <c r="E93" s="109" t="s">
        <v>226</v>
      </c>
      <c r="F93" s="110">
        <v>46251</v>
      </c>
      <c r="G93" s="109" t="s">
        <v>240</v>
      </c>
      <c r="H93" s="109" t="s">
        <v>829</v>
      </c>
      <c r="I93" s="109" t="s">
        <v>216</v>
      </c>
      <c r="J93" s="109" t="s">
        <v>217</v>
      </c>
      <c r="K93" s="109" t="s">
        <v>218</v>
      </c>
      <c r="L93" s="109" t="s">
        <v>219</v>
      </c>
      <c r="M93" s="207" t="s">
        <v>242</v>
      </c>
      <c r="N93" s="109" t="s">
        <v>220</v>
      </c>
      <c r="O93" s="109" t="s">
        <v>221</v>
      </c>
      <c r="P93" s="109" t="s">
        <v>243</v>
      </c>
      <c r="Q93" s="109" t="s">
        <v>216</v>
      </c>
      <c r="R93" s="109" t="s">
        <v>217</v>
      </c>
      <c r="S93" s="109" t="s">
        <v>220</v>
      </c>
      <c r="T93" s="109" t="s">
        <v>221</v>
      </c>
      <c r="U93" s="109" t="s">
        <v>216</v>
      </c>
      <c r="V93" s="109" t="s">
        <v>217</v>
      </c>
      <c r="W93" s="109" t="s">
        <v>218</v>
      </c>
      <c r="X93" s="109" t="s">
        <v>219</v>
      </c>
      <c r="Y93" s="109" t="s">
        <v>220</v>
      </c>
      <c r="Z93" s="109" t="s">
        <v>221</v>
      </c>
      <c r="AA93" s="109" t="s">
        <v>222</v>
      </c>
      <c r="AB93" s="109" t="s">
        <v>223</v>
      </c>
      <c r="AC93" s="109" t="s">
        <v>830</v>
      </c>
      <c r="AD93" s="109" t="s">
        <v>831</v>
      </c>
      <c r="AE93" s="109">
        <v>131</v>
      </c>
      <c r="AF93" s="109" t="s">
        <v>364</v>
      </c>
      <c r="AG93" s="109" t="s">
        <v>832</v>
      </c>
      <c r="AH93" s="109" t="s">
        <v>297</v>
      </c>
      <c r="AI93" s="109" t="s">
        <v>830</v>
      </c>
      <c r="AJ93" s="109" t="s">
        <v>831</v>
      </c>
      <c r="AK93" s="109" t="s">
        <v>832</v>
      </c>
      <c r="AL93" s="109" t="s">
        <v>297</v>
      </c>
      <c r="AM93" s="109" t="s">
        <v>366</v>
      </c>
      <c r="AN93" s="207" t="s">
        <v>833</v>
      </c>
      <c r="AO93" s="109">
        <v>52.92</v>
      </c>
      <c r="AP93" s="109">
        <v>0</v>
      </c>
      <c r="AQ93" s="109">
        <v>6</v>
      </c>
      <c r="AR93" s="109">
        <v>0</v>
      </c>
      <c r="AS93" s="109" t="s">
        <v>252</v>
      </c>
      <c r="AT93" s="109" t="s">
        <v>229</v>
      </c>
      <c r="AU93" s="110">
        <v>46267</v>
      </c>
      <c r="AV93" s="109">
        <v>204.19</v>
      </c>
      <c r="AW93" s="109" t="s">
        <v>230</v>
      </c>
      <c r="AX93" s="109" t="s">
        <v>230</v>
      </c>
      <c r="AY93" s="109">
        <v>1690.24</v>
      </c>
      <c r="AZ93" s="109" t="s">
        <v>232</v>
      </c>
      <c r="BA93" s="109" t="s">
        <v>368</v>
      </c>
      <c r="BB93" s="109">
        <v>204.19</v>
      </c>
      <c r="BC93" s="109">
        <v>179.69</v>
      </c>
      <c r="BD93" s="109">
        <v>204.19</v>
      </c>
      <c r="BE93" s="109">
        <v>24.5</v>
      </c>
      <c r="BF93" s="111">
        <v>0.12</v>
      </c>
      <c r="BG93" s="109">
        <v>0</v>
      </c>
      <c r="BH93" s="109">
        <v>52.92</v>
      </c>
      <c r="BI93" s="109">
        <v>135.74</v>
      </c>
      <c r="BJ93" s="109">
        <v>0</v>
      </c>
      <c r="BK93" s="109">
        <v>17</v>
      </c>
      <c r="BL93" s="109">
        <v>0</v>
      </c>
      <c r="BM93" s="109">
        <v>9.76</v>
      </c>
      <c r="BN93" s="109">
        <v>2.54</v>
      </c>
      <c r="BO93" s="109">
        <v>5.5</v>
      </c>
      <c r="BP93" s="109">
        <v>3.23</v>
      </c>
      <c r="BQ93" s="109">
        <v>0</v>
      </c>
      <c r="BR93" s="109">
        <v>0</v>
      </c>
      <c r="BS93" s="109">
        <v>0</v>
      </c>
      <c r="BT93" s="109">
        <v>0</v>
      </c>
      <c r="BU93" s="109">
        <v>0</v>
      </c>
      <c r="BV93" s="109">
        <v>0</v>
      </c>
      <c r="BW93" s="109">
        <v>0</v>
      </c>
      <c r="BX93" s="109">
        <v>0</v>
      </c>
      <c r="BY93" s="109">
        <v>0</v>
      </c>
      <c r="BZ93" s="109">
        <v>0</v>
      </c>
      <c r="CA93" s="109">
        <v>5.92</v>
      </c>
      <c r="CB93" s="109" t="s">
        <v>225</v>
      </c>
      <c r="CC93" s="109" t="s">
        <v>687</v>
      </c>
      <c r="CD93" s="109">
        <v>384.68</v>
      </c>
      <c r="CE93" s="109">
        <v>0</v>
      </c>
      <c r="CF93" s="109">
        <v>0</v>
      </c>
      <c r="CG93" s="109">
        <v>0</v>
      </c>
      <c r="CH93" s="109">
        <v>0</v>
      </c>
      <c r="CI93" s="109">
        <v>0</v>
      </c>
      <c r="CJ93" s="109">
        <v>0</v>
      </c>
      <c r="CK93" s="109">
        <v>0</v>
      </c>
      <c r="CL93" s="109"/>
      <c r="CM93" s="109"/>
      <c r="CN93" s="109">
        <v>0</v>
      </c>
      <c r="CO93" s="109">
        <v>0</v>
      </c>
      <c r="CP93" s="109">
        <v>0</v>
      </c>
      <c r="CQ93" s="109">
        <v>0</v>
      </c>
      <c r="CR93" s="109">
        <v>0</v>
      </c>
      <c r="CS93" s="109">
        <v>0</v>
      </c>
      <c r="CT93" s="109">
        <v>0</v>
      </c>
      <c r="CU93" s="109">
        <v>12</v>
      </c>
      <c r="CV93" s="109" t="s">
        <v>235</v>
      </c>
      <c r="CW93" s="109">
        <v>0</v>
      </c>
      <c r="CX93" s="109"/>
      <c r="CY93" s="109">
        <v>60.5</v>
      </c>
      <c r="CZ93" s="109" t="s">
        <v>289</v>
      </c>
      <c r="DA93" s="109">
        <f>CY93</f>
        <v>60.5</v>
      </c>
      <c r="DB93" s="109"/>
      <c r="DE93" s="109">
        <v>0</v>
      </c>
      <c r="DF93" s="109" t="s">
        <v>236</v>
      </c>
      <c r="DG93" s="109" t="s">
        <v>221</v>
      </c>
      <c r="DH93" s="109" t="s">
        <v>220</v>
      </c>
      <c r="DI93" s="109">
        <v>9026067267</v>
      </c>
      <c r="DJ93" s="109" t="s">
        <v>222</v>
      </c>
      <c r="DK93" s="109">
        <v>0</v>
      </c>
      <c r="DL93" s="109" t="s">
        <v>226</v>
      </c>
      <c r="DM93" s="109">
        <v>163.95</v>
      </c>
    </row>
    <row r="94" ht="13.8" hidden="1" spans="1:117">
      <c r="A94" s="109">
        <v>2</v>
      </c>
      <c r="B94" s="109" t="s">
        <v>834</v>
      </c>
      <c r="C94" s="109" t="s">
        <v>203</v>
      </c>
      <c r="D94" s="109" t="s">
        <v>225</v>
      </c>
      <c r="E94" s="109" t="s">
        <v>226</v>
      </c>
      <c r="F94" s="110">
        <v>46247</v>
      </c>
      <c r="G94" s="109" t="s">
        <v>797</v>
      </c>
      <c r="H94" s="109" t="s">
        <v>835</v>
      </c>
      <c r="I94" s="109" t="s">
        <v>216</v>
      </c>
      <c r="J94" s="109" t="s">
        <v>217</v>
      </c>
      <c r="K94" s="109" t="s">
        <v>218</v>
      </c>
      <c r="L94" s="109" t="s">
        <v>219</v>
      </c>
      <c r="M94" s="207" t="s">
        <v>242</v>
      </c>
      <c r="N94" s="109" t="s">
        <v>220</v>
      </c>
      <c r="O94" s="109" t="s">
        <v>221</v>
      </c>
      <c r="P94" s="109" t="s">
        <v>243</v>
      </c>
      <c r="Q94" s="109" t="s">
        <v>216</v>
      </c>
      <c r="R94" s="109" t="s">
        <v>217</v>
      </c>
      <c r="S94" s="109" t="s">
        <v>220</v>
      </c>
      <c r="T94" s="109" t="s">
        <v>221</v>
      </c>
      <c r="U94" s="109" t="s">
        <v>216</v>
      </c>
      <c r="V94" s="109" t="s">
        <v>217</v>
      </c>
      <c r="W94" s="109" t="s">
        <v>218</v>
      </c>
      <c r="X94" s="109" t="s">
        <v>219</v>
      </c>
      <c r="Y94" s="109" t="s">
        <v>220</v>
      </c>
      <c r="Z94" s="109" t="s">
        <v>221</v>
      </c>
      <c r="AA94" s="109" t="s">
        <v>222</v>
      </c>
      <c r="AB94" s="109" t="s">
        <v>223</v>
      </c>
      <c r="AC94" s="109" t="s">
        <v>836</v>
      </c>
      <c r="AD94" s="109" t="s">
        <v>837</v>
      </c>
      <c r="AE94" s="109" t="s">
        <v>246</v>
      </c>
      <c r="AF94" s="109" t="s">
        <v>247</v>
      </c>
      <c r="AG94" s="109" t="s">
        <v>248</v>
      </c>
      <c r="AH94" s="109" t="s">
        <v>249</v>
      </c>
      <c r="AI94" s="109" t="s">
        <v>836</v>
      </c>
      <c r="AJ94" s="109" t="s">
        <v>837</v>
      </c>
      <c r="AK94" s="109" t="s">
        <v>248</v>
      </c>
      <c r="AL94" s="109" t="s">
        <v>249</v>
      </c>
      <c r="AM94" s="109" t="s">
        <v>250</v>
      </c>
      <c r="AN94" s="207" t="s">
        <v>838</v>
      </c>
      <c r="AO94" s="109">
        <v>130.4</v>
      </c>
      <c r="AP94" s="109">
        <v>0</v>
      </c>
      <c r="AQ94" s="109">
        <v>12</v>
      </c>
      <c r="AR94" s="109">
        <v>0</v>
      </c>
      <c r="AS94" s="109" t="s">
        <v>252</v>
      </c>
      <c r="AT94" s="109" t="s">
        <v>229</v>
      </c>
      <c r="AU94" s="110">
        <v>46260</v>
      </c>
      <c r="AV94" s="109">
        <v>199.3</v>
      </c>
      <c r="AW94" s="109" t="s">
        <v>230</v>
      </c>
      <c r="AX94" s="109" t="s">
        <v>230</v>
      </c>
      <c r="AY94" s="109">
        <v>3403.74</v>
      </c>
      <c r="AZ94" s="109" t="s">
        <v>232</v>
      </c>
      <c r="BA94" s="109" t="s">
        <v>253</v>
      </c>
      <c r="BB94" s="109">
        <v>199.3</v>
      </c>
      <c r="BC94" s="109">
        <v>175.38</v>
      </c>
      <c r="BD94" s="109">
        <v>199.3</v>
      </c>
      <c r="BE94" s="109">
        <v>23.92</v>
      </c>
      <c r="BF94" s="111">
        <v>0.12</v>
      </c>
      <c r="BG94" s="109">
        <v>0</v>
      </c>
      <c r="BH94" s="109">
        <v>130.4</v>
      </c>
      <c r="BI94" s="109">
        <v>117.37</v>
      </c>
      <c r="BJ94" s="109">
        <v>0</v>
      </c>
      <c r="BK94" s="109">
        <v>17</v>
      </c>
      <c r="BL94" s="109">
        <v>0</v>
      </c>
      <c r="BM94" s="109">
        <v>9.76</v>
      </c>
      <c r="BN94" s="109">
        <v>5.11</v>
      </c>
      <c r="BO94" s="109">
        <v>11</v>
      </c>
      <c r="BP94" s="109">
        <v>3.23</v>
      </c>
      <c r="BQ94" s="109">
        <v>0</v>
      </c>
      <c r="BR94" s="109">
        <v>0</v>
      </c>
      <c r="BS94" s="109">
        <v>0</v>
      </c>
      <c r="BT94" s="109">
        <v>0</v>
      </c>
      <c r="BU94" s="109">
        <v>0</v>
      </c>
      <c r="BV94" s="109">
        <v>0</v>
      </c>
      <c r="BW94" s="109">
        <v>0</v>
      </c>
      <c r="BX94" s="109">
        <v>0</v>
      </c>
      <c r="BY94" s="109">
        <v>0</v>
      </c>
      <c r="BZ94" s="109">
        <v>0</v>
      </c>
      <c r="CA94" s="109">
        <v>11.91</v>
      </c>
      <c r="CB94" s="109" t="s">
        <v>225</v>
      </c>
      <c r="CC94" s="109" t="s">
        <v>247</v>
      </c>
      <c r="CD94" s="109">
        <v>409.16</v>
      </c>
      <c r="CE94" s="109">
        <v>0</v>
      </c>
      <c r="CF94" s="109">
        <v>0</v>
      </c>
      <c r="CG94" s="109">
        <v>0</v>
      </c>
      <c r="CH94" s="109">
        <v>0</v>
      </c>
      <c r="CI94" s="109">
        <v>0</v>
      </c>
      <c r="CJ94" s="109">
        <v>0</v>
      </c>
      <c r="CK94" s="109">
        <v>0</v>
      </c>
      <c r="CL94" s="109"/>
      <c r="CM94" s="109"/>
      <c r="CN94" s="109">
        <v>0</v>
      </c>
      <c r="CO94" s="109">
        <v>0</v>
      </c>
      <c r="CP94" s="109">
        <v>0</v>
      </c>
      <c r="CQ94" s="109">
        <v>0</v>
      </c>
      <c r="CR94" s="109">
        <v>0</v>
      </c>
      <c r="CS94" s="109">
        <v>0</v>
      </c>
      <c r="CT94" s="109">
        <v>0</v>
      </c>
      <c r="CU94" s="109">
        <v>19.56</v>
      </c>
      <c r="CV94" s="109" t="s">
        <v>254</v>
      </c>
      <c r="CW94" s="109">
        <v>0</v>
      </c>
      <c r="CX94" s="109"/>
      <c r="CY94" s="109">
        <v>23.47</v>
      </c>
      <c r="CZ94" s="109" t="s">
        <v>235</v>
      </c>
      <c r="DA94" s="109">
        <v>0</v>
      </c>
      <c r="DB94" s="109"/>
      <c r="DE94" s="109">
        <v>0</v>
      </c>
      <c r="DF94" s="109" t="s">
        <v>236</v>
      </c>
      <c r="DG94" s="109" t="s">
        <v>221</v>
      </c>
      <c r="DH94" s="109" t="s">
        <v>220</v>
      </c>
      <c r="DI94" s="109">
        <v>9026067267</v>
      </c>
      <c r="DJ94" s="109" t="s">
        <v>222</v>
      </c>
      <c r="DK94" s="109">
        <v>0</v>
      </c>
      <c r="DL94" s="109" t="s">
        <v>226</v>
      </c>
      <c r="DM94" s="109">
        <v>23.92</v>
      </c>
    </row>
    <row r="95" ht="13.8" hidden="1" spans="1:117">
      <c r="A95" s="109">
        <v>2</v>
      </c>
      <c r="B95" s="109" t="s">
        <v>839</v>
      </c>
      <c r="C95" s="109" t="s">
        <v>203</v>
      </c>
      <c r="D95" s="109" t="s">
        <v>225</v>
      </c>
      <c r="E95" s="109" t="s">
        <v>226</v>
      </c>
      <c r="F95" s="110">
        <v>46247</v>
      </c>
      <c r="G95" s="109" t="s">
        <v>797</v>
      </c>
      <c r="H95" s="109" t="s">
        <v>840</v>
      </c>
      <c r="I95" s="109" t="s">
        <v>216</v>
      </c>
      <c r="J95" s="109" t="s">
        <v>217</v>
      </c>
      <c r="K95" s="109" t="s">
        <v>218</v>
      </c>
      <c r="L95" s="109" t="s">
        <v>219</v>
      </c>
      <c r="M95" s="207" t="s">
        <v>242</v>
      </c>
      <c r="N95" s="109" t="s">
        <v>220</v>
      </c>
      <c r="O95" s="109" t="s">
        <v>221</v>
      </c>
      <c r="P95" s="109" t="s">
        <v>243</v>
      </c>
      <c r="Q95" s="109" t="s">
        <v>216</v>
      </c>
      <c r="R95" s="109" t="s">
        <v>217</v>
      </c>
      <c r="S95" s="109" t="s">
        <v>220</v>
      </c>
      <c r="T95" s="109" t="s">
        <v>221</v>
      </c>
      <c r="U95" s="109" t="s">
        <v>216</v>
      </c>
      <c r="V95" s="109" t="s">
        <v>217</v>
      </c>
      <c r="W95" s="109" t="s">
        <v>218</v>
      </c>
      <c r="X95" s="109" t="s">
        <v>219</v>
      </c>
      <c r="Y95" s="109" t="s">
        <v>220</v>
      </c>
      <c r="Z95" s="109" t="s">
        <v>221</v>
      </c>
      <c r="AA95" s="109" t="s">
        <v>222</v>
      </c>
      <c r="AB95" s="109" t="s">
        <v>223</v>
      </c>
      <c r="AC95" s="109" t="s">
        <v>841</v>
      </c>
      <c r="AD95" s="109" t="s">
        <v>842</v>
      </c>
      <c r="AE95" s="109" t="s">
        <v>374</v>
      </c>
      <c r="AF95" s="109" t="s">
        <v>295</v>
      </c>
      <c r="AG95" s="109" t="s">
        <v>296</v>
      </c>
      <c r="AH95" s="109" t="s">
        <v>297</v>
      </c>
      <c r="AI95" s="109" t="s">
        <v>841</v>
      </c>
      <c r="AJ95" s="109" t="s">
        <v>842</v>
      </c>
      <c r="AK95" s="109" t="s">
        <v>296</v>
      </c>
      <c r="AL95" s="109" t="s">
        <v>297</v>
      </c>
      <c r="AM95" s="109" t="s">
        <v>298</v>
      </c>
      <c r="AN95" s="207" t="s">
        <v>843</v>
      </c>
      <c r="AO95" s="109">
        <v>28.8</v>
      </c>
      <c r="AP95" s="109">
        <v>0</v>
      </c>
      <c r="AQ95" s="109">
        <v>2</v>
      </c>
      <c r="AR95" s="109">
        <v>0</v>
      </c>
      <c r="AS95" s="109" t="s">
        <v>252</v>
      </c>
      <c r="AT95" s="109" t="s">
        <v>229</v>
      </c>
      <c r="AU95" s="110">
        <v>46260</v>
      </c>
      <c r="AV95" s="109">
        <v>111.08</v>
      </c>
      <c r="AW95" s="109" t="s">
        <v>230</v>
      </c>
      <c r="AX95" s="109" t="s">
        <v>230</v>
      </c>
      <c r="AY95" s="109">
        <v>2810.55</v>
      </c>
      <c r="AZ95" s="109" t="s">
        <v>232</v>
      </c>
      <c r="BA95" s="109" t="s">
        <v>300</v>
      </c>
      <c r="BB95" s="109">
        <v>111.08</v>
      </c>
      <c r="BC95" s="109">
        <v>97.75</v>
      </c>
      <c r="BD95" s="109">
        <v>111.08</v>
      </c>
      <c r="BE95" s="109">
        <v>13.33</v>
      </c>
      <c r="BF95" s="111">
        <v>0.12</v>
      </c>
      <c r="BG95" s="109">
        <v>0</v>
      </c>
      <c r="BH95" s="109">
        <v>28.8</v>
      </c>
      <c r="BI95" s="109">
        <v>48.2</v>
      </c>
      <c r="BJ95" s="109">
        <v>0</v>
      </c>
      <c r="BK95" s="109">
        <v>17</v>
      </c>
      <c r="BL95" s="109">
        <v>0</v>
      </c>
      <c r="BM95" s="109">
        <v>9.76</v>
      </c>
      <c r="BN95" s="109">
        <v>4.22</v>
      </c>
      <c r="BO95" s="109">
        <v>5.5</v>
      </c>
      <c r="BP95" s="109">
        <v>3.23</v>
      </c>
      <c r="BQ95" s="109">
        <v>0</v>
      </c>
      <c r="BR95" s="109">
        <v>0</v>
      </c>
      <c r="BS95" s="109">
        <v>0</v>
      </c>
      <c r="BT95" s="109">
        <v>0</v>
      </c>
      <c r="BU95" s="109">
        <v>0</v>
      </c>
      <c r="BV95" s="109">
        <v>0</v>
      </c>
      <c r="BW95" s="109">
        <v>0</v>
      </c>
      <c r="BX95" s="109">
        <v>0</v>
      </c>
      <c r="BY95" s="109">
        <v>0</v>
      </c>
      <c r="BZ95" s="109">
        <v>0</v>
      </c>
      <c r="CA95" s="109">
        <v>9.84</v>
      </c>
      <c r="CB95" s="109" t="s">
        <v>225</v>
      </c>
      <c r="CC95" s="109" t="s">
        <v>295</v>
      </c>
      <c r="CD95" s="109">
        <v>400.58</v>
      </c>
      <c r="CE95" s="109">
        <v>0</v>
      </c>
      <c r="CF95" s="109">
        <v>0</v>
      </c>
      <c r="CG95" s="109">
        <v>0</v>
      </c>
      <c r="CH95" s="109">
        <v>0</v>
      </c>
      <c r="CI95" s="109">
        <v>0</v>
      </c>
      <c r="CJ95" s="109">
        <v>0</v>
      </c>
      <c r="CK95" s="109">
        <v>0</v>
      </c>
      <c r="CL95" s="109"/>
      <c r="CM95" s="109"/>
      <c r="CN95" s="109">
        <v>0</v>
      </c>
      <c r="CO95" s="109">
        <v>0</v>
      </c>
      <c r="CP95" s="109">
        <v>0</v>
      </c>
      <c r="CQ95" s="109">
        <v>0</v>
      </c>
      <c r="CR95" s="109">
        <v>0</v>
      </c>
      <c r="CS95" s="109">
        <v>0</v>
      </c>
      <c r="CT95" s="109">
        <v>0</v>
      </c>
      <c r="CU95" s="109">
        <v>12</v>
      </c>
      <c r="CV95" s="109" t="s">
        <v>254</v>
      </c>
      <c r="CW95" s="109">
        <v>0</v>
      </c>
      <c r="CX95" s="109"/>
      <c r="CY95" s="109">
        <v>18</v>
      </c>
      <c r="CZ95" s="109" t="s">
        <v>235</v>
      </c>
      <c r="DA95" s="109">
        <v>0</v>
      </c>
      <c r="DB95" s="109"/>
      <c r="DE95" s="109">
        <v>0</v>
      </c>
      <c r="DF95" s="109" t="s">
        <v>236</v>
      </c>
      <c r="DG95" s="109" t="s">
        <v>221</v>
      </c>
      <c r="DH95" s="109" t="s">
        <v>220</v>
      </c>
      <c r="DI95" s="109">
        <v>9026067267</v>
      </c>
      <c r="DJ95" s="109" t="s">
        <v>222</v>
      </c>
      <c r="DK95" s="109">
        <v>0</v>
      </c>
      <c r="DL95" s="109" t="s">
        <v>226</v>
      </c>
      <c r="DM95" s="109">
        <v>13.33</v>
      </c>
    </row>
    <row r="96" ht="13.8" hidden="1" spans="1:117">
      <c r="A96" s="109">
        <v>2</v>
      </c>
      <c r="B96" s="109" t="s">
        <v>844</v>
      </c>
      <c r="C96" s="109" t="s">
        <v>203</v>
      </c>
      <c r="D96" s="109" t="s">
        <v>225</v>
      </c>
      <c r="E96" s="109" t="s">
        <v>226</v>
      </c>
      <c r="F96" s="110">
        <v>46247</v>
      </c>
      <c r="G96" s="109" t="s">
        <v>797</v>
      </c>
      <c r="H96" s="109" t="s">
        <v>845</v>
      </c>
      <c r="I96" s="109" t="s">
        <v>216</v>
      </c>
      <c r="J96" s="109" t="s">
        <v>217</v>
      </c>
      <c r="K96" s="109" t="s">
        <v>218</v>
      </c>
      <c r="L96" s="109" t="s">
        <v>219</v>
      </c>
      <c r="M96" s="207" t="s">
        <v>242</v>
      </c>
      <c r="N96" s="109" t="s">
        <v>220</v>
      </c>
      <c r="O96" s="109" t="s">
        <v>221</v>
      </c>
      <c r="P96" s="109" t="s">
        <v>243</v>
      </c>
      <c r="Q96" s="109" t="s">
        <v>216</v>
      </c>
      <c r="R96" s="109" t="s">
        <v>217</v>
      </c>
      <c r="S96" s="109" t="s">
        <v>220</v>
      </c>
      <c r="T96" s="109" t="s">
        <v>221</v>
      </c>
      <c r="U96" s="109" t="s">
        <v>216</v>
      </c>
      <c r="V96" s="109" t="s">
        <v>217</v>
      </c>
      <c r="W96" s="109" t="s">
        <v>218</v>
      </c>
      <c r="X96" s="109" t="s">
        <v>219</v>
      </c>
      <c r="Y96" s="109" t="s">
        <v>220</v>
      </c>
      <c r="Z96" s="109" t="s">
        <v>221</v>
      </c>
      <c r="AA96" s="109" t="s">
        <v>222</v>
      </c>
      <c r="AB96" s="109" t="s">
        <v>223</v>
      </c>
      <c r="AC96" s="109" t="s">
        <v>846</v>
      </c>
      <c r="AD96" s="109" t="s">
        <v>847</v>
      </c>
      <c r="AE96" s="109">
        <v>256</v>
      </c>
      <c r="AF96" s="109" t="s">
        <v>352</v>
      </c>
      <c r="AG96" s="109" t="s">
        <v>353</v>
      </c>
      <c r="AH96" s="109" t="s">
        <v>249</v>
      </c>
      <c r="AI96" s="109" t="s">
        <v>846</v>
      </c>
      <c r="AJ96" s="109" t="s">
        <v>847</v>
      </c>
      <c r="AK96" s="109" t="s">
        <v>353</v>
      </c>
      <c r="AL96" s="109" t="s">
        <v>249</v>
      </c>
      <c r="AM96" s="109" t="s">
        <v>354</v>
      </c>
      <c r="AN96" s="207" t="s">
        <v>848</v>
      </c>
      <c r="AO96" s="109">
        <v>40.56</v>
      </c>
      <c r="AP96" s="109">
        <v>0</v>
      </c>
      <c r="AQ96" s="109">
        <v>4</v>
      </c>
      <c r="AR96" s="109">
        <v>0</v>
      </c>
      <c r="AS96" s="109" t="s">
        <v>252</v>
      </c>
      <c r="AT96" s="109" t="s">
        <v>229</v>
      </c>
      <c r="AU96" s="110">
        <v>46260</v>
      </c>
      <c r="AV96" s="109">
        <v>152.83</v>
      </c>
      <c r="AW96" s="109" t="s">
        <v>230</v>
      </c>
      <c r="AX96" s="109" t="s">
        <v>230</v>
      </c>
      <c r="AY96" s="109">
        <v>5219.62</v>
      </c>
      <c r="AZ96" s="109" t="s">
        <v>232</v>
      </c>
      <c r="BA96" s="109" t="s">
        <v>356</v>
      </c>
      <c r="BB96" s="109">
        <v>152.83</v>
      </c>
      <c r="BC96" s="109">
        <v>134.49</v>
      </c>
      <c r="BD96" s="109">
        <v>152.83</v>
      </c>
      <c r="BE96" s="109">
        <v>18.34</v>
      </c>
      <c r="BF96" s="111">
        <v>0.12</v>
      </c>
      <c r="BG96" s="109">
        <v>0</v>
      </c>
      <c r="BH96" s="109">
        <v>40.56</v>
      </c>
      <c r="BI96" s="109">
        <v>72.9</v>
      </c>
      <c r="BJ96" s="109">
        <v>0</v>
      </c>
      <c r="BK96" s="109">
        <v>17</v>
      </c>
      <c r="BL96" s="109">
        <v>0</v>
      </c>
      <c r="BM96" s="109">
        <v>9.76</v>
      </c>
      <c r="BN96" s="109">
        <v>7.83</v>
      </c>
      <c r="BO96" s="109">
        <v>5.5</v>
      </c>
      <c r="BP96" s="109">
        <v>3.23</v>
      </c>
      <c r="BQ96" s="109">
        <v>0</v>
      </c>
      <c r="BR96" s="109">
        <v>0</v>
      </c>
      <c r="BS96" s="109">
        <v>0</v>
      </c>
      <c r="BT96" s="109">
        <v>0</v>
      </c>
      <c r="BU96" s="109">
        <v>0</v>
      </c>
      <c r="BV96" s="109">
        <v>0</v>
      </c>
      <c r="BW96" s="109">
        <v>0</v>
      </c>
      <c r="BX96" s="109">
        <v>0</v>
      </c>
      <c r="BY96" s="109">
        <v>0</v>
      </c>
      <c r="BZ96" s="109">
        <v>0</v>
      </c>
      <c r="CA96" s="109">
        <v>18.27</v>
      </c>
      <c r="CB96" s="109" t="s">
        <v>225</v>
      </c>
      <c r="CC96" s="109" t="s">
        <v>357</v>
      </c>
      <c r="CD96" s="109">
        <v>435.41</v>
      </c>
      <c r="CE96" s="109">
        <v>0</v>
      </c>
      <c r="CF96" s="109">
        <v>0</v>
      </c>
      <c r="CG96" s="109">
        <v>0</v>
      </c>
      <c r="CH96" s="109">
        <v>0</v>
      </c>
      <c r="CI96" s="109">
        <v>0</v>
      </c>
      <c r="CJ96" s="109">
        <v>0</v>
      </c>
      <c r="CK96" s="109">
        <v>0</v>
      </c>
      <c r="CL96" s="109"/>
      <c r="CM96" s="109"/>
      <c r="CN96" s="109">
        <v>0</v>
      </c>
      <c r="CO96" s="109">
        <v>0</v>
      </c>
      <c r="CP96" s="109">
        <v>0</v>
      </c>
      <c r="CQ96" s="109">
        <v>0</v>
      </c>
      <c r="CR96" s="109">
        <v>0</v>
      </c>
      <c r="CS96" s="109">
        <v>0</v>
      </c>
      <c r="CT96" s="109">
        <v>0</v>
      </c>
      <c r="CU96" s="109">
        <v>12</v>
      </c>
      <c r="CV96" s="109" t="s">
        <v>254</v>
      </c>
      <c r="CW96" s="109">
        <v>0</v>
      </c>
      <c r="CX96" s="109"/>
      <c r="CY96" s="109">
        <v>52.18</v>
      </c>
      <c r="CZ96" s="109" t="s">
        <v>849</v>
      </c>
      <c r="DA96" s="109">
        <v>52.18</v>
      </c>
      <c r="DB96" s="207" t="s">
        <v>850</v>
      </c>
      <c r="DE96" s="109">
        <v>0</v>
      </c>
      <c r="DF96" s="109" t="s">
        <v>236</v>
      </c>
      <c r="DG96" s="109" t="s">
        <v>221</v>
      </c>
      <c r="DH96" s="109" t="s">
        <v>220</v>
      </c>
      <c r="DI96" s="109">
        <v>9026067267</v>
      </c>
      <c r="DJ96" s="109" t="s">
        <v>222</v>
      </c>
      <c r="DK96" s="109">
        <v>0</v>
      </c>
      <c r="DL96" s="109" t="s">
        <v>226</v>
      </c>
      <c r="DM96" s="109">
        <v>18.34</v>
      </c>
    </row>
    <row r="97" ht="13.8" hidden="1" spans="1:117">
      <c r="A97" s="109">
        <v>2</v>
      </c>
      <c r="B97" s="109" t="s">
        <v>851</v>
      </c>
      <c r="C97" s="109" t="s">
        <v>203</v>
      </c>
      <c r="D97" s="109" t="s">
        <v>225</v>
      </c>
      <c r="E97" s="109" t="s">
        <v>226</v>
      </c>
      <c r="F97" s="110">
        <v>46247</v>
      </c>
      <c r="G97" s="109" t="s">
        <v>797</v>
      </c>
      <c r="H97" s="109" t="s">
        <v>852</v>
      </c>
      <c r="I97" s="109" t="s">
        <v>216</v>
      </c>
      <c r="J97" s="109" t="s">
        <v>217</v>
      </c>
      <c r="K97" s="109" t="s">
        <v>218</v>
      </c>
      <c r="L97" s="109" t="s">
        <v>219</v>
      </c>
      <c r="M97" s="207" t="s">
        <v>242</v>
      </c>
      <c r="N97" s="109" t="s">
        <v>220</v>
      </c>
      <c r="O97" s="109" t="s">
        <v>221</v>
      </c>
      <c r="P97" s="109" t="s">
        <v>243</v>
      </c>
      <c r="Q97" s="109" t="s">
        <v>216</v>
      </c>
      <c r="R97" s="109" t="s">
        <v>217</v>
      </c>
      <c r="S97" s="109" t="s">
        <v>220</v>
      </c>
      <c r="T97" s="109" t="s">
        <v>221</v>
      </c>
      <c r="U97" s="109" t="s">
        <v>216</v>
      </c>
      <c r="V97" s="109" t="s">
        <v>217</v>
      </c>
      <c r="W97" s="109" t="s">
        <v>218</v>
      </c>
      <c r="X97" s="109" t="s">
        <v>219</v>
      </c>
      <c r="Y97" s="109" t="s">
        <v>220</v>
      </c>
      <c r="Z97" s="109" t="s">
        <v>221</v>
      </c>
      <c r="AA97" s="109" t="s">
        <v>222</v>
      </c>
      <c r="AB97" s="109" t="s">
        <v>223</v>
      </c>
      <c r="AC97" s="109" t="s">
        <v>853</v>
      </c>
      <c r="AD97" s="109" t="s">
        <v>854</v>
      </c>
      <c r="AE97" s="207" t="s">
        <v>855</v>
      </c>
      <c r="AF97" s="109" t="s">
        <v>295</v>
      </c>
      <c r="AG97" s="109" t="s">
        <v>547</v>
      </c>
      <c r="AH97" s="109" t="s">
        <v>297</v>
      </c>
      <c r="AI97" s="109" t="s">
        <v>853</v>
      </c>
      <c r="AJ97" s="109" t="s">
        <v>854</v>
      </c>
      <c r="AK97" s="109" t="s">
        <v>547</v>
      </c>
      <c r="AL97" s="109" t="s">
        <v>297</v>
      </c>
      <c r="AM97" s="109" t="s">
        <v>298</v>
      </c>
      <c r="AN97" s="207" t="s">
        <v>856</v>
      </c>
      <c r="AO97" s="109">
        <v>16.152</v>
      </c>
      <c r="AP97" s="109">
        <v>0</v>
      </c>
      <c r="AQ97" s="109">
        <v>5</v>
      </c>
      <c r="AR97" s="109">
        <v>0</v>
      </c>
      <c r="AS97" s="109" t="s">
        <v>252</v>
      </c>
      <c r="AT97" s="109" t="s">
        <v>229</v>
      </c>
      <c r="AU97" s="110">
        <v>46260</v>
      </c>
      <c r="AV97" s="109">
        <v>97.76</v>
      </c>
      <c r="AW97" s="109" t="s">
        <v>230</v>
      </c>
      <c r="AX97" s="109" t="s">
        <v>230</v>
      </c>
      <c r="AY97" s="109">
        <v>2167.59</v>
      </c>
      <c r="AZ97" s="109" t="s">
        <v>232</v>
      </c>
      <c r="BA97" s="109" t="s">
        <v>300</v>
      </c>
      <c r="BB97" s="109">
        <v>97.76</v>
      </c>
      <c r="BC97" s="109">
        <v>86.03</v>
      </c>
      <c r="BD97" s="109">
        <v>97.76</v>
      </c>
      <c r="BE97" s="109">
        <v>11.73</v>
      </c>
      <c r="BF97" s="111">
        <v>0.12</v>
      </c>
      <c r="BG97" s="109">
        <v>0</v>
      </c>
      <c r="BH97" s="109">
        <v>16.152</v>
      </c>
      <c r="BI97" s="109">
        <v>39.7</v>
      </c>
      <c r="BJ97" s="109">
        <v>0</v>
      </c>
      <c r="BK97" s="109">
        <v>17</v>
      </c>
      <c r="BL97" s="109">
        <v>0</v>
      </c>
      <c r="BM97" s="109">
        <v>9.76</v>
      </c>
      <c r="BN97" s="109">
        <v>3.25</v>
      </c>
      <c r="BO97" s="109">
        <v>5.5</v>
      </c>
      <c r="BP97" s="109">
        <v>3.23</v>
      </c>
      <c r="BQ97" s="109">
        <v>0</v>
      </c>
      <c r="BR97" s="109">
        <v>0</v>
      </c>
      <c r="BS97" s="109">
        <v>0</v>
      </c>
      <c r="BT97" s="109">
        <v>0</v>
      </c>
      <c r="BU97" s="109">
        <v>0</v>
      </c>
      <c r="BV97" s="109">
        <v>0</v>
      </c>
      <c r="BW97" s="109">
        <v>0</v>
      </c>
      <c r="BX97" s="109">
        <v>0</v>
      </c>
      <c r="BY97" s="109">
        <v>0</v>
      </c>
      <c r="BZ97" s="109">
        <v>0</v>
      </c>
      <c r="CA97" s="109">
        <v>7.59</v>
      </c>
      <c r="CB97" s="109" t="s">
        <v>225</v>
      </c>
      <c r="CC97" s="109" t="s">
        <v>295</v>
      </c>
      <c r="CD97" s="109">
        <v>391.2</v>
      </c>
      <c r="CE97" s="109">
        <v>0</v>
      </c>
      <c r="CF97" s="109">
        <v>0</v>
      </c>
      <c r="CG97" s="109">
        <v>0</v>
      </c>
      <c r="CH97" s="109">
        <v>0</v>
      </c>
      <c r="CI97" s="109">
        <v>0</v>
      </c>
      <c r="CJ97" s="109">
        <v>0</v>
      </c>
      <c r="CK97" s="109">
        <v>0</v>
      </c>
      <c r="CL97" s="109"/>
      <c r="CM97" s="109"/>
      <c r="CN97" s="109">
        <v>0</v>
      </c>
      <c r="CO97" s="109">
        <v>0</v>
      </c>
      <c r="CP97" s="109">
        <v>0</v>
      </c>
      <c r="CQ97" s="109">
        <v>0</v>
      </c>
      <c r="CR97" s="109">
        <v>0</v>
      </c>
      <c r="CS97" s="109">
        <v>0</v>
      </c>
      <c r="CT97" s="109">
        <v>0</v>
      </c>
      <c r="CU97" s="109">
        <v>12</v>
      </c>
      <c r="CV97" s="109" t="s">
        <v>254</v>
      </c>
      <c r="CW97" s="109">
        <v>0</v>
      </c>
      <c r="CX97" s="109"/>
      <c r="CY97" s="109">
        <v>18</v>
      </c>
      <c r="CZ97" s="109" t="s">
        <v>235</v>
      </c>
      <c r="DA97" s="109">
        <v>0</v>
      </c>
      <c r="DB97" s="109"/>
      <c r="DE97" s="109">
        <v>0</v>
      </c>
      <c r="DF97" s="109" t="s">
        <v>236</v>
      </c>
      <c r="DG97" s="109" t="s">
        <v>221</v>
      </c>
      <c r="DH97" s="109" t="s">
        <v>220</v>
      </c>
      <c r="DI97" s="109">
        <v>9026067267</v>
      </c>
      <c r="DJ97" s="109" t="s">
        <v>222</v>
      </c>
      <c r="DK97" s="109">
        <v>0</v>
      </c>
      <c r="DL97" s="109" t="s">
        <v>226</v>
      </c>
      <c r="DM97" s="109">
        <v>11.73</v>
      </c>
    </row>
    <row r="98" ht="13.8" hidden="1" spans="1:117">
      <c r="A98" s="109">
        <v>2</v>
      </c>
      <c r="B98" s="109" t="s">
        <v>857</v>
      </c>
      <c r="C98" s="109" t="s">
        <v>203</v>
      </c>
      <c r="D98" s="109" t="s">
        <v>225</v>
      </c>
      <c r="E98" s="109" t="s">
        <v>226</v>
      </c>
      <c r="F98" s="110">
        <v>46247</v>
      </c>
      <c r="G98" s="109" t="s">
        <v>797</v>
      </c>
      <c r="H98" s="109" t="s">
        <v>858</v>
      </c>
      <c r="I98" s="109" t="s">
        <v>216</v>
      </c>
      <c r="J98" s="109" t="s">
        <v>217</v>
      </c>
      <c r="K98" s="109" t="s">
        <v>218</v>
      </c>
      <c r="L98" s="109" t="s">
        <v>219</v>
      </c>
      <c r="M98" s="207" t="s">
        <v>242</v>
      </c>
      <c r="N98" s="109" t="s">
        <v>220</v>
      </c>
      <c r="O98" s="109" t="s">
        <v>221</v>
      </c>
      <c r="P98" s="109" t="s">
        <v>243</v>
      </c>
      <c r="Q98" s="109" t="s">
        <v>216</v>
      </c>
      <c r="R98" s="109" t="s">
        <v>217</v>
      </c>
      <c r="S98" s="109" t="s">
        <v>220</v>
      </c>
      <c r="T98" s="109" t="s">
        <v>221</v>
      </c>
      <c r="U98" s="109" t="s">
        <v>216</v>
      </c>
      <c r="V98" s="109" t="s">
        <v>217</v>
      </c>
      <c r="W98" s="109" t="s">
        <v>218</v>
      </c>
      <c r="X98" s="109" t="s">
        <v>219</v>
      </c>
      <c r="Y98" s="109" t="s">
        <v>220</v>
      </c>
      <c r="Z98" s="109" t="s">
        <v>221</v>
      </c>
      <c r="AA98" s="109" t="s">
        <v>222</v>
      </c>
      <c r="AB98" s="109" t="s">
        <v>223</v>
      </c>
      <c r="AC98" s="109" t="s">
        <v>317</v>
      </c>
      <c r="AD98" s="109" t="s">
        <v>318</v>
      </c>
      <c r="AE98" s="109" t="s">
        <v>319</v>
      </c>
      <c r="AF98" s="109" t="s">
        <v>247</v>
      </c>
      <c r="AG98" s="109" t="s">
        <v>320</v>
      </c>
      <c r="AH98" s="109" t="s">
        <v>249</v>
      </c>
      <c r="AI98" s="109" t="s">
        <v>317</v>
      </c>
      <c r="AJ98" s="109" t="s">
        <v>318</v>
      </c>
      <c r="AK98" s="109" t="s">
        <v>320</v>
      </c>
      <c r="AL98" s="109" t="s">
        <v>249</v>
      </c>
      <c r="AM98" s="109" t="s">
        <v>250</v>
      </c>
      <c r="AN98" s="207" t="s">
        <v>859</v>
      </c>
      <c r="AO98" s="109">
        <v>92</v>
      </c>
      <c r="AP98" s="109">
        <v>0</v>
      </c>
      <c r="AQ98" s="109">
        <v>10</v>
      </c>
      <c r="AR98" s="109">
        <v>0</v>
      </c>
      <c r="AS98" s="109" t="s">
        <v>252</v>
      </c>
      <c r="AT98" s="109" t="s">
        <v>229</v>
      </c>
      <c r="AU98" s="110">
        <v>46260</v>
      </c>
      <c r="AV98" s="109">
        <v>451.89</v>
      </c>
      <c r="AW98" s="109" t="s">
        <v>230</v>
      </c>
      <c r="AX98" s="109" t="s">
        <v>230</v>
      </c>
      <c r="AY98" s="109">
        <v>2394.54</v>
      </c>
      <c r="AZ98" s="109" t="s">
        <v>232</v>
      </c>
      <c r="BA98" s="109" t="s">
        <v>253</v>
      </c>
      <c r="BB98" s="109">
        <v>451.89</v>
      </c>
      <c r="BC98" s="109">
        <v>397.66</v>
      </c>
      <c r="BD98" s="109">
        <v>451.89</v>
      </c>
      <c r="BE98" s="109">
        <v>54.23</v>
      </c>
      <c r="BF98" s="111">
        <v>0.12</v>
      </c>
      <c r="BG98" s="109">
        <v>0</v>
      </c>
      <c r="BH98" s="109">
        <v>92</v>
      </c>
      <c r="BI98" s="109">
        <v>100.2</v>
      </c>
      <c r="BJ98" s="109">
        <v>0</v>
      </c>
      <c r="BK98" s="109">
        <v>17</v>
      </c>
      <c r="BL98" s="109">
        <v>0</v>
      </c>
      <c r="BM98" s="109">
        <v>9.76</v>
      </c>
      <c r="BN98" s="109">
        <v>3.59</v>
      </c>
      <c r="BO98" s="109">
        <v>5.5</v>
      </c>
      <c r="BP98" s="109">
        <v>3.23</v>
      </c>
      <c r="BQ98" s="109">
        <v>0</v>
      </c>
      <c r="BR98" s="109">
        <v>0</v>
      </c>
      <c r="BS98" s="109">
        <v>0</v>
      </c>
      <c r="BT98" s="109">
        <v>0</v>
      </c>
      <c r="BU98" s="109">
        <v>0</v>
      </c>
      <c r="BV98" s="109">
        <v>0</v>
      </c>
      <c r="BW98" s="109">
        <v>0</v>
      </c>
      <c r="BX98" s="109">
        <v>250</v>
      </c>
      <c r="BY98" s="109">
        <v>0</v>
      </c>
      <c r="BZ98" s="109">
        <v>0</v>
      </c>
      <c r="CA98" s="109">
        <v>8.38</v>
      </c>
      <c r="CB98" s="109" t="s">
        <v>225</v>
      </c>
      <c r="CC98" s="109" t="s">
        <v>247</v>
      </c>
      <c r="CD98" s="109">
        <v>394.49</v>
      </c>
      <c r="CE98" s="109">
        <v>0</v>
      </c>
      <c r="CF98" s="109">
        <v>0</v>
      </c>
      <c r="CG98" s="109">
        <v>0</v>
      </c>
      <c r="CH98" s="109">
        <v>0</v>
      </c>
      <c r="CI98" s="109">
        <v>0</v>
      </c>
      <c r="CJ98" s="109">
        <v>0</v>
      </c>
      <c r="CK98" s="109">
        <v>0</v>
      </c>
      <c r="CL98" s="109"/>
      <c r="CM98" s="109"/>
      <c r="CN98" s="109">
        <v>0</v>
      </c>
      <c r="CO98" s="109">
        <v>0</v>
      </c>
      <c r="CP98" s="109">
        <v>0</v>
      </c>
      <c r="CQ98" s="109">
        <v>0</v>
      </c>
      <c r="CR98" s="109">
        <v>0</v>
      </c>
      <c r="CS98" s="109">
        <v>0</v>
      </c>
      <c r="CT98" s="109">
        <v>0</v>
      </c>
      <c r="CU98" s="109">
        <v>13.8</v>
      </c>
      <c r="CV98" s="109" t="s">
        <v>254</v>
      </c>
      <c r="CW98" s="109">
        <v>0</v>
      </c>
      <c r="CX98" s="109"/>
      <c r="CY98" s="109">
        <v>18</v>
      </c>
      <c r="CZ98" s="109" t="s">
        <v>235</v>
      </c>
      <c r="DA98" s="109">
        <v>0</v>
      </c>
      <c r="DB98" s="109"/>
      <c r="DE98" s="109">
        <v>0</v>
      </c>
      <c r="DF98" s="109" t="s">
        <v>236</v>
      </c>
      <c r="DG98" s="109" t="s">
        <v>221</v>
      </c>
      <c r="DH98" s="109" t="s">
        <v>220</v>
      </c>
      <c r="DI98" s="109">
        <v>9026067267</v>
      </c>
      <c r="DJ98" s="109" t="s">
        <v>222</v>
      </c>
      <c r="DK98" s="109">
        <v>0</v>
      </c>
      <c r="DL98" s="109" t="s">
        <v>226</v>
      </c>
      <c r="DM98" s="109">
        <v>54.23</v>
      </c>
    </row>
    <row r="99" ht="13.8" hidden="1" spans="1:117">
      <c r="A99" s="109">
        <v>2</v>
      </c>
      <c r="B99" s="109" t="s">
        <v>860</v>
      </c>
      <c r="C99" s="109" t="s">
        <v>203</v>
      </c>
      <c r="D99" s="109" t="s">
        <v>225</v>
      </c>
      <c r="E99" s="109" t="s">
        <v>226</v>
      </c>
      <c r="F99" s="110">
        <v>46247</v>
      </c>
      <c r="G99" s="109" t="s">
        <v>797</v>
      </c>
      <c r="H99" s="109" t="s">
        <v>861</v>
      </c>
      <c r="I99" s="109" t="s">
        <v>216</v>
      </c>
      <c r="J99" s="109" t="s">
        <v>217</v>
      </c>
      <c r="K99" s="109" t="s">
        <v>218</v>
      </c>
      <c r="L99" s="109" t="s">
        <v>219</v>
      </c>
      <c r="M99" s="207" t="s">
        <v>242</v>
      </c>
      <c r="N99" s="109" t="s">
        <v>220</v>
      </c>
      <c r="O99" s="109" t="s">
        <v>221</v>
      </c>
      <c r="P99" s="109" t="s">
        <v>243</v>
      </c>
      <c r="Q99" s="109" t="s">
        <v>216</v>
      </c>
      <c r="R99" s="109" t="s">
        <v>217</v>
      </c>
      <c r="S99" s="109" t="s">
        <v>220</v>
      </c>
      <c r="T99" s="109" t="s">
        <v>221</v>
      </c>
      <c r="U99" s="109" t="s">
        <v>216</v>
      </c>
      <c r="V99" s="109" t="s">
        <v>217</v>
      </c>
      <c r="W99" s="109" t="s">
        <v>218</v>
      </c>
      <c r="X99" s="109" t="s">
        <v>219</v>
      </c>
      <c r="Y99" s="109" t="s">
        <v>220</v>
      </c>
      <c r="Z99" s="109" t="s">
        <v>221</v>
      </c>
      <c r="AA99" s="109" t="s">
        <v>222</v>
      </c>
      <c r="AB99" s="109" t="s">
        <v>223</v>
      </c>
      <c r="AC99" s="109" t="s">
        <v>862</v>
      </c>
      <c r="AD99" s="109" t="s">
        <v>863</v>
      </c>
      <c r="AE99" s="109">
        <v>296</v>
      </c>
      <c r="AF99" s="109" t="s">
        <v>271</v>
      </c>
      <c r="AG99" s="109" t="s">
        <v>864</v>
      </c>
      <c r="AH99" s="109" t="s">
        <v>273</v>
      </c>
      <c r="AI99" s="109" t="s">
        <v>862</v>
      </c>
      <c r="AJ99" s="109" t="s">
        <v>863</v>
      </c>
      <c r="AK99" s="109" t="s">
        <v>864</v>
      </c>
      <c r="AL99" s="109" t="s">
        <v>273</v>
      </c>
      <c r="AM99" s="109" t="s">
        <v>274</v>
      </c>
      <c r="AN99" s="207" t="s">
        <v>865</v>
      </c>
      <c r="AO99" s="109">
        <v>160.184</v>
      </c>
      <c r="AP99" s="109">
        <v>0</v>
      </c>
      <c r="AQ99" s="109">
        <v>19</v>
      </c>
      <c r="AR99" s="109">
        <v>0</v>
      </c>
      <c r="AS99" s="109" t="s">
        <v>252</v>
      </c>
      <c r="AT99" s="109" t="s">
        <v>229</v>
      </c>
      <c r="AU99" s="110">
        <v>46260</v>
      </c>
      <c r="AV99" s="109">
        <v>253.57</v>
      </c>
      <c r="AW99" s="109" t="s">
        <v>230</v>
      </c>
      <c r="AX99" s="109" t="s">
        <v>231</v>
      </c>
      <c r="AY99" s="109">
        <v>6265.4</v>
      </c>
      <c r="AZ99" s="109" t="s">
        <v>232</v>
      </c>
      <c r="BA99" s="109" t="s">
        <v>276</v>
      </c>
      <c r="BB99" s="109">
        <v>253.57</v>
      </c>
      <c r="BC99" s="109">
        <v>235.82</v>
      </c>
      <c r="BD99" s="109">
        <v>253.57</v>
      </c>
      <c r="BE99" s="109">
        <v>17.75</v>
      </c>
      <c r="BF99" s="111">
        <v>0.07</v>
      </c>
      <c r="BG99" s="109">
        <v>0</v>
      </c>
      <c r="BH99" s="109">
        <v>160.184</v>
      </c>
      <c r="BI99" s="109">
        <v>163.5</v>
      </c>
      <c r="BJ99" s="109">
        <v>0</v>
      </c>
      <c r="BK99" s="109">
        <v>17</v>
      </c>
      <c r="BL99" s="109">
        <v>0</v>
      </c>
      <c r="BM99" s="109">
        <v>9.76</v>
      </c>
      <c r="BN99" s="109">
        <v>9.4</v>
      </c>
      <c r="BO99" s="109">
        <v>11</v>
      </c>
      <c r="BP99" s="109">
        <v>3.23</v>
      </c>
      <c r="BQ99" s="109">
        <v>0</v>
      </c>
      <c r="BR99" s="109">
        <v>0</v>
      </c>
      <c r="BS99" s="109">
        <v>0</v>
      </c>
      <c r="BT99" s="109">
        <v>0</v>
      </c>
      <c r="BU99" s="109">
        <v>0</v>
      </c>
      <c r="BV99" s="109">
        <v>0</v>
      </c>
      <c r="BW99" s="109">
        <v>0</v>
      </c>
      <c r="BX99" s="109">
        <v>0</v>
      </c>
      <c r="BY99" s="109">
        <v>0</v>
      </c>
      <c r="BZ99" s="109">
        <v>0</v>
      </c>
      <c r="CA99" s="109">
        <v>21.93</v>
      </c>
      <c r="CB99" s="109" t="s">
        <v>225</v>
      </c>
      <c r="CC99" s="109" t="s">
        <v>277</v>
      </c>
      <c r="CD99" s="109">
        <v>450.63</v>
      </c>
      <c r="CE99" s="109">
        <v>0</v>
      </c>
      <c r="CF99" s="109">
        <v>0</v>
      </c>
      <c r="CG99" s="109">
        <v>0</v>
      </c>
      <c r="CH99" s="109">
        <v>0</v>
      </c>
      <c r="CI99" s="109">
        <v>0</v>
      </c>
      <c r="CJ99" s="109">
        <v>0</v>
      </c>
      <c r="CK99" s="109">
        <v>0</v>
      </c>
      <c r="CL99" s="109"/>
      <c r="CM99" s="109"/>
      <c r="CN99" s="109">
        <v>0</v>
      </c>
      <c r="CO99" s="109">
        <v>0</v>
      </c>
      <c r="CP99" s="109">
        <v>0</v>
      </c>
      <c r="CQ99" s="109">
        <v>0</v>
      </c>
      <c r="CR99" s="109">
        <v>0</v>
      </c>
      <c r="CS99" s="109">
        <v>0</v>
      </c>
      <c r="CT99" s="109">
        <v>0</v>
      </c>
      <c r="CU99" s="109">
        <v>24.03</v>
      </c>
      <c r="CV99" s="109" t="s">
        <v>254</v>
      </c>
      <c r="CW99" s="109">
        <v>0</v>
      </c>
      <c r="CX99" s="109"/>
      <c r="CY99" s="109">
        <v>113.19</v>
      </c>
      <c r="CZ99" s="109" t="s">
        <v>866</v>
      </c>
      <c r="DA99" s="109">
        <v>121.71</v>
      </c>
      <c r="DB99" s="207" t="s">
        <v>867</v>
      </c>
      <c r="DE99" s="109">
        <v>0</v>
      </c>
      <c r="DF99" s="109" t="s">
        <v>236</v>
      </c>
      <c r="DG99" s="109" t="s">
        <v>221</v>
      </c>
      <c r="DH99" s="109" t="s">
        <v>220</v>
      </c>
      <c r="DI99" s="109">
        <v>9026067267</v>
      </c>
      <c r="DJ99" s="109" t="s">
        <v>222</v>
      </c>
      <c r="DK99" s="109">
        <v>0</v>
      </c>
      <c r="DL99" s="109" t="s">
        <v>226</v>
      </c>
      <c r="DM99" s="109">
        <v>17.75</v>
      </c>
    </row>
    <row r="100" ht="13.8" hidden="1" spans="1:117">
      <c r="A100" s="109">
        <v>2</v>
      </c>
      <c r="B100" s="109" t="s">
        <v>868</v>
      </c>
      <c r="C100" s="109" t="s">
        <v>203</v>
      </c>
      <c r="D100" s="109" t="s">
        <v>225</v>
      </c>
      <c r="E100" s="109" t="s">
        <v>226</v>
      </c>
      <c r="F100" s="110">
        <v>46247</v>
      </c>
      <c r="G100" s="109" t="s">
        <v>797</v>
      </c>
      <c r="H100" s="109" t="s">
        <v>869</v>
      </c>
      <c r="I100" s="109" t="s">
        <v>216</v>
      </c>
      <c r="J100" s="109" t="s">
        <v>217</v>
      </c>
      <c r="K100" s="109" t="s">
        <v>218</v>
      </c>
      <c r="L100" s="109" t="s">
        <v>219</v>
      </c>
      <c r="M100" s="207" t="s">
        <v>242</v>
      </c>
      <c r="N100" s="109" t="s">
        <v>220</v>
      </c>
      <c r="O100" s="109" t="s">
        <v>221</v>
      </c>
      <c r="P100" s="109" t="s">
        <v>243</v>
      </c>
      <c r="Q100" s="109" t="s">
        <v>216</v>
      </c>
      <c r="R100" s="109" t="s">
        <v>217</v>
      </c>
      <c r="S100" s="109" t="s">
        <v>220</v>
      </c>
      <c r="T100" s="109" t="s">
        <v>221</v>
      </c>
      <c r="U100" s="109" t="s">
        <v>216</v>
      </c>
      <c r="V100" s="109" t="s">
        <v>217</v>
      </c>
      <c r="W100" s="109" t="s">
        <v>218</v>
      </c>
      <c r="X100" s="109" t="s">
        <v>219</v>
      </c>
      <c r="Y100" s="109" t="s">
        <v>220</v>
      </c>
      <c r="Z100" s="109" t="s">
        <v>221</v>
      </c>
      <c r="AA100" s="109" t="s">
        <v>222</v>
      </c>
      <c r="AB100" s="109" t="s">
        <v>223</v>
      </c>
      <c r="AC100" s="109" t="s">
        <v>870</v>
      </c>
      <c r="AD100" s="109" t="s">
        <v>871</v>
      </c>
      <c r="AE100" s="109" t="s">
        <v>246</v>
      </c>
      <c r="AF100" s="109" t="s">
        <v>247</v>
      </c>
      <c r="AG100" s="109" t="s">
        <v>248</v>
      </c>
      <c r="AH100" s="109" t="s">
        <v>249</v>
      </c>
      <c r="AI100" s="109" t="s">
        <v>870</v>
      </c>
      <c r="AJ100" s="109" t="s">
        <v>871</v>
      </c>
      <c r="AK100" s="109" t="s">
        <v>248</v>
      </c>
      <c r="AL100" s="109" t="s">
        <v>249</v>
      </c>
      <c r="AM100" s="109" t="s">
        <v>250</v>
      </c>
      <c r="AN100" s="207" t="s">
        <v>872</v>
      </c>
      <c r="AO100" s="109">
        <v>122.45</v>
      </c>
      <c r="AP100" s="109">
        <v>0</v>
      </c>
      <c r="AQ100" s="109">
        <v>20</v>
      </c>
      <c r="AR100" s="109">
        <v>0</v>
      </c>
      <c r="AS100" s="109" t="s">
        <v>252</v>
      </c>
      <c r="AT100" s="109" t="s">
        <v>229</v>
      </c>
      <c r="AU100" s="110">
        <v>46260</v>
      </c>
      <c r="AV100" s="109">
        <v>196.16</v>
      </c>
      <c r="AW100" s="109" t="s">
        <v>230</v>
      </c>
      <c r="AX100" s="109" t="s">
        <v>230</v>
      </c>
      <c r="AY100" s="109">
        <v>4281.46</v>
      </c>
      <c r="AZ100" s="109" t="s">
        <v>232</v>
      </c>
      <c r="BA100" s="109" t="s">
        <v>253</v>
      </c>
      <c r="BB100" s="109">
        <v>196.16</v>
      </c>
      <c r="BC100" s="109">
        <v>172.62</v>
      </c>
      <c r="BD100" s="109">
        <v>196.16</v>
      </c>
      <c r="BE100" s="109">
        <v>23.54</v>
      </c>
      <c r="BF100" s="111">
        <v>0.12</v>
      </c>
      <c r="BG100" s="109">
        <v>0</v>
      </c>
      <c r="BH100" s="109">
        <v>122.45</v>
      </c>
      <c r="BI100" s="109">
        <v>110.22</v>
      </c>
      <c r="BJ100" s="109">
        <v>0</v>
      </c>
      <c r="BK100" s="109">
        <v>17</v>
      </c>
      <c r="BL100" s="109">
        <v>0</v>
      </c>
      <c r="BM100" s="109">
        <v>9.76</v>
      </c>
      <c r="BN100" s="109">
        <v>6.42</v>
      </c>
      <c r="BO100" s="109">
        <v>11</v>
      </c>
      <c r="BP100" s="109">
        <v>3.23</v>
      </c>
      <c r="BQ100" s="109">
        <v>0</v>
      </c>
      <c r="BR100" s="109">
        <v>0</v>
      </c>
      <c r="BS100" s="109">
        <v>0</v>
      </c>
      <c r="BT100" s="109">
        <v>0</v>
      </c>
      <c r="BU100" s="109">
        <v>0</v>
      </c>
      <c r="BV100" s="109">
        <v>0</v>
      </c>
      <c r="BW100" s="109">
        <v>0</v>
      </c>
      <c r="BX100" s="109">
        <v>0</v>
      </c>
      <c r="BY100" s="109">
        <v>0</v>
      </c>
      <c r="BZ100" s="109">
        <v>0</v>
      </c>
      <c r="CA100" s="109">
        <v>14.99</v>
      </c>
      <c r="CB100" s="109" t="s">
        <v>225</v>
      </c>
      <c r="CC100" s="109" t="s">
        <v>247</v>
      </c>
      <c r="CD100" s="109">
        <v>421.85</v>
      </c>
      <c r="CE100" s="109">
        <v>0</v>
      </c>
      <c r="CF100" s="109">
        <v>0</v>
      </c>
      <c r="CG100" s="109">
        <v>0</v>
      </c>
      <c r="CH100" s="109">
        <v>0</v>
      </c>
      <c r="CI100" s="109">
        <v>0</v>
      </c>
      <c r="CJ100" s="109">
        <v>0</v>
      </c>
      <c r="CK100" s="109">
        <v>0</v>
      </c>
      <c r="CL100" s="109"/>
      <c r="CM100" s="109"/>
      <c r="CN100" s="109">
        <v>0</v>
      </c>
      <c r="CO100" s="109">
        <v>0</v>
      </c>
      <c r="CP100" s="109">
        <v>0</v>
      </c>
      <c r="CQ100" s="109">
        <v>0</v>
      </c>
      <c r="CR100" s="109">
        <v>0</v>
      </c>
      <c r="CS100" s="109">
        <v>0</v>
      </c>
      <c r="CT100" s="109">
        <v>0</v>
      </c>
      <c r="CU100" s="109">
        <v>18.37</v>
      </c>
      <c r="CV100" s="109" t="s">
        <v>254</v>
      </c>
      <c r="CW100" s="109">
        <v>0</v>
      </c>
      <c r="CX100" s="109"/>
      <c r="CY100" s="109">
        <v>22.04</v>
      </c>
      <c r="CZ100" s="109" t="s">
        <v>235</v>
      </c>
      <c r="DA100" s="109">
        <v>0</v>
      </c>
      <c r="DB100" s="109"/>
      <c r="DE100" s="109">
        <v>0</v>
      </c>
      <c r="DF100" s="109" t="s">
        <v>236</v>
      </c>
      <c r="DG100" s="109" t="s">
        <v>221</v>
      </c>
      <c r="DH100" s="109" t="s">
        <v>220</v>
      </c>
      <c r="DI100" s="109">
        <v>9026067267</v>
      </c>
      <c r="DJ100" s="109" t="s">
        <v>222</v>
      </c>
      <c r="DK100" s="109">
        <v>0</v>
      </c>
      <c r="DL100" s="109" t="s">
        <v>226</v>
      </c>
      <c r="DM100" s="109">
        <v>23.54</v>
      </c>
    </row>
    <row r="101" ht="13.8" hidden="1" spans="1:117">
      <c r="A101" s="109">
        <v>2</v>
      </c>
      <c r="B101" s="109" t="s">
        <v>873</v>
      </c>
      <c r="C101" s="109" t="s">
        <v>203</v>
      </c>
      <c r="D101" s="109" t="s">
        <v>225</v>
      </c>
      <c r="E101" s="109" t="s">
        <v>226</v>
      </c>
      <c r="F101" s="110">
        <v>46248</v>
      </c>
      <c r="G101" s="109" t="s">
        <v>240</v>
      </c>
      <c r="H101" s="109" t="s">
        <v>874</v>
      </c>
      <c r="I101" s="109" t="s">
        <v>216</v>
      </c>
      <c r="J101" s="109" t="s">
        <v>217</v>
      </c>
      <c r="K101" s="109" t="s">
        <v>218</v>
      </c>
      <c r="L101" s="109" t="s">
        <v>219</v>
      </c>
      <c r="M101" s="207" t="s">
        <v>242</v>
      </c>
      <c r="N101" s="109" t="s">
        <v>220</v>
      </c>
      <c r="O101" s="109" t="s">
        <v>221</v>
      </c>
      <c r="P101" s="109" t="s">
        <v>243</v>
      </c>
      <c r="Q101" s="109" t="s">
        <v>216</v>
      </c>
      <c r="R101" s="109" t="s">
        <v>217</v>
      </c>
      <c r="S101" s="109" t="s">
        <v>220</v>
      </c>
      <c r="T101" s="109" t="s">
        <v>221</v>
      </c>
      <c r="U101" s="109" t="s">
        <v>216</v>
      </c>
      <c r="V101" s="109" t="s">
        <v>217</v>
      </c>
      <c r="W101" s="109" t="s">
        <v>218</v>
      </c>
      <c r="X101" s="109" t="s">
        <v>219</v>
      </c>
      <c r="Y101" s="109" t="s">
        <v>220</v>
      </c>
      <c r="Z101" s="109" t="s">
        <v>221</v>
      </c>
      <c r="AA101" s="109" t="s">
        <v>222</v>
      </c>
      <c r="AB101" s="109" t="s">
        <v>223</v>
      </c>
      <c r="AC101" s="109" t="s">
        <v>875</v>
      </c>
      <c r="AD101" s="109" t="s">
        <v>876</v>
      </c>
      <c r="AE101" s="109" t="s">
        <v>877</v>
      </c>
      <c r="AF101" s="109" t="s">
        <v>878</v>
      </c>
      <c r="AG101" s="109" t="s">
        <v>879</v>
      </c>
      <c r="AH101" s="109" t="s">
        <v>214</v>
      </c>
      <c r="AI101" s="109" t="s">
        <v>875</v>
      </c>
      <c r="AJ101" s="109" t="s">
        <v>876</v>
      </c>
      <c r="AK101" s="109" t="s">
        <v>879</v>
      </c>
      <c r="AL101" s="109" t="s">
        <v>214</v>
      </c>
      <c r="AM101" s="109" t="s">
        <v>880</v>
      </c>
      <c r="AN101" s="207" t="s">
        <v>881</v>
      </c>
      <c r="AO101" s="109">
        <v>245.876</v>
      </c>
      <c r="AP101" s="109">
        <v>0</v>
      </c>
      <c r="AQ101" s="109">
        <v>21</v>
      </c>
      <c r="AR101" s="109">
        <v>0</v>
      </c>
      <c r="AS101" s="109" t="s">
        <v>252</v>
      </c>
      <c r="AT101" s="109" t="s">
        <v>229</v>
      </c>
      <c r="AU101" s="110">
        <v>46260</v>
      </c>
      <c r="AV101" s="109">
        <v>410.19</v>
      </c>
      <c r="AW101" s="109" t="s">
        <v>230</v>
      </c>
      <c r="AX101" s="109" t="s">
        <v>230</v>
      </c>
      <c r="AY101" s="109">
        <v>12621.09</v>
      </c>
      <c r="AZ101" s="109" t="s">
        <v>232</v>
      </c>
      <c r="BA101" s="109" t="s">
        <v>882</v>
      </c>
      <c r="BB101" s="109">
        <v>410.19</v>
      </c>
      <c r="BC101" s="109">
        <v>360.97</v>
      </c>
      <c r="BD101" s="109">
        <v>410.19</v>
      </c>
      <c r="BE101" s="109">
        <v>49.22</v>
      </c>
      <c r="BF101" s="111">
        <v>0.12</v>
      </c>
      <c r="BG101" s="109">
        <v>0</v>
      </c>
      <c r="BH101" s="109">
        <v>245.876</v>
      </c>
      <c r="BI101" s="109">
        <v>251.38</v>
      </c>
      <c r="BJ101" s="109">
        <v>0</v>
      </c>
      <c r="BK101" s="109">
        <v>17</v>
      </c>
      <c r="BL101" s="109">
        <v>0</v>
      </c>
      <c r="BM101" s="109">
        <v>9.76</v>
      </c>
      <c r="BN101" s="109">
        <v>18.93</v>
      </c>
      <c r="BO101" s="109">
        <v>16.5</v>
      </c>
      <c r="BP101" s="109">
        <v>3.23</v>
      </c>
      <c r="BQ101" s="109">
        <v>0</v>
      </c>
      <c r="BR101" s="109">
        <v>0</v>
      </c>
      <c r="BS101" s="109">
        <v>0</v>
      </c>
      <c r="BT101" s="109">
        <v>0</v>
      </c>
      <c r="BU101" s="109">
        <v>0</v>
      </c>
      <c r="BV101" s="109">
        <v>0</v>
      </c>
      <c r="BW101" s="109">
        <v>0</v>
      </c>
      <c r="BX101" s="109">
        <v>0</v>
      </c>
      <c r="BY101" s="109">
        <v>0</v>
      </c>
      <c r="BZ101" s="109">
        <v>0</v>
      </c>
      <c r="CA101" s="109">
        <v>44.17</v>
      </c>
      <c r="CB101" s="109" t="s">
        <v>225</v>
      </c>
      <c r="CC101" s="109" t="s">
        <v>883</v>
      </c>
      <c r="CD101" s="109">
        <v>703.34</v>
      </c>
      <c r="CE101" s="109">
        <v>0</v>
      </c>
      <c r="CF101" s="109">
        <v>0</v>
      </c>
      <c r="CG101" s="109">
        <v>0</v>
      </c>
      <c r="CH101" s="109">
        <v>0</v>
      </c>
      <c r="CI101" s="109">
        <v>0</v>
      </c>
      <c r="CJ101" s="109">
        <v>0</v>
      </c>
      <c r="CK101" s="109">
        <v>0</v>
      </c>
      <c r="CL101" s="109"/>
      <c r="CM101" s="109"/>
      <c r="CN101" s="109">
        <v>0</v>
      </c>
      <c r="CO101" s="109">
        <v>0</v>
      </c>
      <c r="CP101" s="109">
        <v>0</v>
      </c>
      <c r="CQ101" s="109">
        <v>0</v>
      </c>
      <c r="CR101" s="109">
        <v>0</v>
      </c>
      <c r="CS101" s="109">
        <v>0</v>
      </c>
      <c r="CT101" s="109">
        <v>0</v>
      </c>
      <c r="CU101" s="109">
        <v>36.88</v>
      </c>
      <c r="CV101" s="109" t="s">
        <v>254</v>
      </c>
      <c r="CW101" s="109">
        <v>0</v>
      </c>
      <c r="CX101" s="109"/>
      <c r="CY101" s="109">
        <v>143.57</v>
      </c>
      <c r="CZ101" s="109" t="s">
        <v>884</v>
      </c>
      <c r="DA101" s="109">
        <v>143.57</v>
      </c>
      <c r="DB101" s="207" t="s">
        <v>885</v>
      </c>
      <c r="DE101" s="109">
        <v>0</v>
      </c>
      <c r="DF101" s="109" t="s">
        <v>236</v>
      </c>
      <c r="DG101" s="109" t="s">
        <v>221</v>
      </c>
      <c r="DH101" s="109" t="s">
        <v>220</v>
      </c>
      <c r="DI101" s="109">
        <v>9026067267</v>
      </c>
      <c r="DJ101" s="109" t="s">
        <v>222</v>
      </c>
      <c r="DK101" s="109">
        <v>0</v>
      </c>
      <c r="DL101" s="109" t="s">
        <v>226</v>
      </c>
      <c r="DM101" s="109">
        <v>49.22</v>
      </c>
    </row>
    <row r="102" ht="13.8" hidden="1" spans="1:117">
      <c r="A102" s="109">
        <v>2</v>
      </c>
      <c r="B102" s="109" t="s">
        <v>886</v>
      </c>
      <c r="C102" s="109" t="s">
        <v>203</v>
      </c>
      <c r="D102" s="109" t="s">
        <v>225</v>
      </c>
      <c r="E102" s="109" t="s">
        <v>226</v>
      </c>
      <c r="F102" s="110">
        <v>46248</v>
      </c>
      <c r="G102" s="109" t="s">
        <v>240</v>
      </c>
      <c r="H102" s="109" t="s">
        <v>887</v>
      </c>
      <c r="I102" s="109" t="s">
        <v>216</v>
      </c>
      <c r="J102" s="109" t="s">
        <v>217</v>
      </c>
      <c r="K102" s="109" t="s">
        <v>218</v>
      </c>
      <c r="L102" s="109" t="s">
        <v>219</v>
      </c>
      <c r="M102" s="207" t="s">
        <v>242</v>
      </c>
      <c r="N102" s="109" t="s">
        <v>220</v>
      </c>
      <c r="O102" s="109" t="s">
        <v>221</v>
      </c>
      <c r="P102" s="109" t="s">
        <v>243</v>
      </c>
      <c r="Q102" s="109" t="s">
        <v>216</v>
      </c>
      <c r="R102" s="109" t="s">
        <v>217</v>
      </c>
      <c r="S102" s="109" t="s">
        <v>220</v>
      </c>
      <c r="T102" s="109" t="s">
        <v>221</v>
      </c>
      <c r="U102" s="109" t="s">
        <v>216</v>
      </c>
      <c r="V102" s="109" t="s">
        <v>217</v>
      </c>
      <c r="W102" s="109" t="s">
        <v>218</v>
      </c>
      <c r="X102" s="109" t="s">
        <v>219</v>
      </c>
      <c r="Y102" s="109" t="s">
        <v>220</v>
      </c>
      <c r="Z102" s="109" t="s">
        <v>221</v>
      </c>
      <c r="AA102" s="109" t="s">
        <v>222</v>
      </c>
      <c r="AB102" s="109" t="s">
        <v>223</v>
      </c>
      <c r="AC102" s="109" t="s">
        <v>657</v>
      </c>
      <c r="AD102" s="109" t="s">
        <v>658</v>
      </c>
      <c r="AE102" s="109" t="s">
        <v>659</v>
      </c>
      <c r="AF102" s="109" t="s">
        <v>247</v>
      </c>
      <c r="AG102" s="109" t="s">
        <v>660</v>
      </c>
      <c r="AH102" s="109" t="s">
        <v>249</v>
      </c>
      <c r="AI102" s="109" t="s">
        <v>657</v>
      </c>
      <c r="AJ102" s="109" t="s">
        <v>658</v>
      </c>
      <c r="AK102" s="109" t="s">
        <v>660</v>
      </c>
      <c r="AL102" s="109" t="s">
        <v>249</v>
      </c>
      <c r="AM102" s="109" t="s">
        <v>250</v>
      </c>
      <c r="AN102" s="207" t="s">
        <v>888</v>
      </c>
      <c r="AO102" s="109">
        <v>121.7</v>
      </c>
      <c r="AP102" s="109">
        <v>0</v>
      </c>
      <c r="AQ102" s="109">
        <v>15</v>
      </c>
      <c r="AR102" s="109">
        <v>0</v>
      </c>
      <c r="AS102" s="109" t="s">
        <v>252</v>
      </c>
      <c r="AT102" s="109" t="s">
        <v>229</v>
      </c>
      <c r="AU102" s="110">
        <v>46260</v>
      </c>
      <c r="AV102" s="109">
        <v>477.73</v>
      </c>
      <c r="AW102" s="109" t="s">
        <v>230</v>
      </c>
      <c r="AX102" s="109" t="s">
        <v>230</v>
      </c>
      <c r="AY102" s="109">
        <v>3974.98</v>
      </c>
      <c r="AZ102" s="109" t="s">
        <v>232</v>
      </c>
      <c r="BA102" s="109" t="s">
        <v>253</v>
      </c>
      <c r="BB102" s="109">
        <v>477.73</v>
      </c>
      <c r="BC102" s="109">
        <v>420.4</v>
      </c>
      <c r="BD102" s="109">
        <v>477.73</v>
      </c>
      <c r="BE102" s="109">
        <v>57.33</v>
      </c>
      <c r="BF102" s="111">
        <v>0.12</v>
      </c>
      <c r="BG102" s="109">
        <v>0</v>
      </c>
      <c r="BH102" s="109">
        <v>121.7</v>
      </c>
      <c r="BI102" s="109">
        <v>109.54</v>
      </c>
      <c r="BJ102" s="109">
        <v>0</v>
      </c>
      <c r="BK102" s="109">
        <v>17</v>
      </c>
      <c r="BL102" s="109">
        <v>0</v>
      </c>
      <c r="BM102" s="109">
        <v>9.76</v>
      </c>
      <c r="BN102" s="109">
        <v>5.96</v>
      </c>
      <c r="BO102" s="109">
        <v>11</v>
      </c>
      <c r="BP102" s="109">
        <v>3.23</v>
      </c>
      <c r="BQ102" s="109">
        <v>0</v>
      </c>
      <c r="BR102" s="109">
        <v>0</v>
      </c>
      <c r="BS102" s="109">
        <v>0</v>
      </c>
      <c r="BT102" s="109">
        <v>0</v>
      </c>
      <c r="BU102" s="109">
        <v>0</v>
      </c>
      <c r="BV102" s="109">
        <v>0</v>
      </c>
      <c r="BW102" s="109">
        <v>0</v>
      </c>
      <c r="BX102" s="109">
        <v>250</v>
      </c>
      <c r="BY102" s="109">
        <v>0</v>
      </c>
      <c r="BZ102" s="109">
        <v>0</v>
      </c>
      <c r="CA102" s="109">
        <v>13.91</v>
      </c>
      <c r="CB102" s="109" t="s">
        <v>225</v>
      </c>
      <c r="CC102" s="109" t="s">
        <v>247</v>
      </c>
      <c r="CD102" s="109">
        <v>417.41</v>
      </c>
      <c r="CE102" s="109">
        <v>0</v>
      </c>
      <c r="CF102" s="109">
        <v>0</v>
      </c>
      <c r="CG102" s="109">
        <v>0</v>
      </c>
      <c r="CH102" s="109">
        <v>0</v>
      </c>
      <c r="CI102" s="109">
        <v>0</v>
      </c>
      <c r="CJ102" s="109">
        <v>0</v>
      </c>
      <c r="CK102" s="109">
        <v>0</v>
      </c>
      <c r="CL102" s="109"/>
      <c r="CM102" s="109"/>
      <c r="CN102" s="109">
        <v>0</v>
      </c>
      <c r="CO102" s="109">
        <v>0</v>
      </c>
      <c r="CP102" s="109">
        <v>0</v>
      </c>
      <c r="CQ102" s="109">
        <v>0</v>
      </c>
      <c r="CR102" s="109">
        <v>0</v>
      </c>
      <c r="CS102" s="109">
        <v>0</v>
      </c>
      <c r="CT102" s="109">
        <v>0</v>
      </c>
      <c r="CU102" s="109">
        <v>18.26</v>
      </c>
      <c r="CV102" s="109" t="s">
        <v>254</v>
      </c>
      <c r="CW102" s="109">
        <v>0</v>
      </c>
      <c r="CX102" s="109"/>
      <c r="CY102" s="109">
        <v>21.91</v>
      </c>
      <c r="CZ102" s="109" t="s">
        <v>235</v>
      </c>
      <c r="DA102" s="109">
        <v>0</v>
      </c>
      <c r="DB102" s="109"/>
      <c r="DE102" s="109">
        <v>0</v>
      </c>
      <c r="DF102" s="109" t="s">
        <v>236</v>
      </c>
      <c r="DG102" s="109" t="s">
        <v>221</v>
      </c>
      <c r="DH102" s="109" t="s">
        <v>220</v>
      </c>
      <c r="DI102" s="109">
        <v>9026067267</v>
      </c>
      <c r="DJ102" s="109" t="s">
        <v>222</v>
      </c>
      <c r="DK102" s="109">
        <v>0</v>
      </c>
      <c r="DL102" s="109" t="s">
        <v>226</v>
      </c>
      <c r="DM102" s="109">
        <v>57.33</v>
      </c>
    </row>
    <row r="103" ht="13.8" hidden="1" spans="1:117">
      <c r="A103" s="109">
        <v>2</v>
      </c>
      <c r="B103" s="109" t="s">
        <v>889</v>
      </c>
      <c r="C103" s="109" t="s">
        <v>203</v>
      </c>
      <c r="D103" s="109" t="s">
        <v>225</v>
      </c>
      <c r="E103" s="109" t="s">
        <v>226</v>
      </c>
      <c r="F103" s="110">
        <v>46248</v>
      </c>
      <c r="G103" s="109" t="s">
        <v>240</v>
      </c>
      <c r="H103" s="109" t="s">
        <v>890</v>
      </c>
      <c r="I103" s="109" t="s">
        <v>216</v>
      </c>
      <c r="J103" s="109" t="s">
        <v>217</v>
      </c>
      <c r="K103" s="109" t="s">
        <v>218</v>
      </c>
      <c r="L103" s="109" t="s">
        <v>219</v>
      </c>
      <c r="M103" s="207" t="s">
        <v>242</v>
      </c>
      <c r="N103" s="109" t="s">
        <v>220</v>
      </c>
      <c r="O103" s="109" t="s">
        <v>221</v>
      </c>
      <c r="P103" s="109" t="s">
        <v>243</v>
      </c>
      <c r="Q103" s="109" t="s">
        <v>216</v>
      </c>
      <c r="R103" s="109" t="s">
        <v>217</v>
      </c>
      <c r="S103" s="109" t="s">
        <v>220</v>
      </c>
      <c r="T103" s="109" t="s">
        <v>221</v>
      </c>
      <c r="U103" s="109" t="s">
        <v>216</v>
      </c>
      <c r="V103" s="109" t="s">
        <v>217</v>
      </c>
      <c r="W103" s="109" t="s">
        <v>218</v>
      </c>
      <c r="X103" s="109" t="s">
        <v>219</v>
      </c>
      <c r="Y103" s="109" t="s">
        <v>220</v>
      </c>
      <c r="Z103" s="109" t="s">
        <v>221</v>
      </c>
      <c r="AA103" s="109" t="s">
        <v>222</v>
      </c>
      <c r="AB103" s="109" t="s">
        <v>223</v>
      </c>
      <c r="AC103" s="109" t="s">
        <v>760</v>
      </c>
      <c r="AD103" s="109" t="s">
        <v>761</v>
      </c>
      <c r="AE103" s="109" t="s">
        <v>417</v>
      </c>
      <c r="AF103" s="109" t="s">
        <v>295</v>
      </c>
      <c r="AG103" s="109" t="s">
        <v>296</v>
      </c>
      <c r="AH103" s="109" t="s">
        <v>297</v>
      </c>
      <c r="AI103" s="109" t="s">
        <v>760</v>
      </c>
      <c r="AJ103" s="109" t="s">
        <v>761</v>
      </c>
      <c r="AK103" s="109" t="s">
        <v>296</v>
      </c>
      <c r="AL103" s="109" t="s">
        <v>297</v>
      </c>
      <c r="AM103" s="109" t="s">
        <v>298</v>
      </c>
      <c r="AN103" s="207" t="s">
        <v>891</v>
      </c>
      <c r="AO103" s="109">
        <v>32.24</v>
      </c>
      <c r="AP103" s="109">
        <v>0</v>
      </c>
      <c r="AQ103" s="109">
        <v>7</v>
      </c>
      <c r="AR103" s="109">
        <v>0</v>
      </c>
      <c r="AS103" s="109" t="s">
        <v>252</v>
      </c>
      <c r="AT103" s="109" t="s">
        <v>229</v>
      </c>
      <c r="AU103" s="110">
        <v>46260</v>
      </c>
      <c r="AV103" s="109">
        <v>118.06</v>
      </c>
      <c r="AW103" s="109" t="s">
        <v>230</v>
      </c>
      <c r="AX103" s="109" t="s">
        <v>230</v>
      </c>
      <c r="AY103" s="109">
        <v>2320.77</v>
      </c>
      <c r="AZ103" s="109" t="s">
        <v>232</v>
      </c>
      <c r="BA103" s="109" t="s">
        <v>300</v>
      </c>
      <c r="BB103" s="109">
        <v>118.06</v>
      </c>
      <c r="BC103" s="109">
        <v>103.89</v>
      </c>
      <c r="BD103" s="109">
        <v>118.06</v>
      </c>
      <c r="BE103" s="109">
        <v>14.17</v>
      </c>
      <c r="BF103" s="111">
        <v>0.12</v>
      </c>
      <c r="BG103" s="109">
        <v>0</v>
      </c>
      <c r="BH103" s="109">
        <v>32.24</v>
      </c>
      <c r="BI103" s="109">
        <v>56.8</v>
      </c>
      <c r="BJ103" s="109">
        <v>0</v>
      </c>
      <c r="BK103" s="109">
        <v>17</v>
      </c>
      <c r="BL103" s="109">
        <v>0</v>
      </c>
      <c r="BM103" s="109">
        <v>9.76</v>
      </c>
      <c r="BN103" s="109">
        <v>3.48</v>
      </c>
      <c r="BO103" s="109">
        <v>5.5</v>
      </c>
      <c r="BP103" s="109">
        <v>3.23</v>
      </c>
      <c r="BQ103" s="109">
        <v>0</v>
      </c>
      <c r="BR103" s="109">
        <v>0</v>
      </c>
      <c r="BS103" s="109">
        <v>0</v>
      </c>
      <c r="BT103" s="109">
        <v>0</v>
      </c>
      <c r="BU103" s="109">
        <v>0</v>
      </c>
      <c r="BV103" s="109">
        <v>0</v>
      </c>
      <c r="BW103" s="109">
        <v>0</v>
      </c>
      <c r="BX103" s="109">
        <v>0</v>
      </c>
      <c r="BY103" s="109">
        <v>0</v>
      </c>
      <c r="BZ103" s="109">
        <v>0</v>
      </c>
      <c r="CA103" s="109">
        <v>8.12</v>
      </c>
      <c r="CB103" s="109" t="s">
        <v>225</v>
      </c>
      <c r="CC103" s="109" t="s">
        <v>295</v>
      </c>
      <c r="CD103" s="109">
        <v>393.4</v>
      </c>
      <c r="CE103" s="109">
        <v>0</v>
      </c>
      <c r="CF103" s="109">
        <v>0</v>
      </c>
      <c r="CG103" s="109">
        <v>0</v>
      </c>
      <c r="CH103" s="109">
        <v>0</v>
      </c>
      <c r="CI103" s="109">
        <v>0</v>
      </c>
      <c r="CJ103" s="109">
        <v>0</v>
      </c>
      <c r="CK103" s="109">
        <v>0</v>
      </c>
      <c r="CL103" s="109"/>
      <c r="CM103" s="109"/>
      <c r="CN103" s="109">
        <v>0</v>
      </c>
      <c r="CO103" s="109">
        <v>0</v>
      </c>
      <c r="CP103" s="109">
        <v>0</v>
      </c>
      <c r="CQ103" s="109">
        <v>0</v>
      </c>
      <c r="CR103" s="109">
        <v>0</v>
      </c>
      <c r="CS103" s="109">
        <v>0</v>
      </c>
      <c r="CT103" s="109">
        <v>0</v>
      </c>
      <c r="CU103" s="109">
        <v>12</v>
      </c>
      <c r="CV103" s="109" t="s">
        <v>254</v>
      </c>
      <c r="CW103" s="109">
        <v>0</v>
      </c>
      <c r="CX103" s="109"/>
      <c r="CY103" s="109">
        <v>18</v>
      </c>
      <c r="CZ103" s="109" t="s">
        <v>235</v>
      </c>
      <c r="DA103" s="109">
        <v>0</v>
      </c>
      <c r="DB103" s="109"/>
      <c r="DE103" s="109">
        <v>0</v>
      </c>
      <c r="DF103" s="109" t="s">
        <v>236</v>
      </c>
      <c r="DG103" s="109" t="s">
        <v>221</v>
      </c>
      <c r="DH103" s="109" t="s">
        <v>220</v>
      </c>
      <c r="DI103" s="109">
        <v>9026067267</v>
      </c>
      <c r="DJ103" s="109" t="s">
        <v>222</v>
      </c>
      <c r="DK103" s="109">
        <v>0</v>
      </c>
      <c r="DL103" s="109" t="s">
        <v>226</v>
      </c>
      <c r="DM103" s="109">
        <v>14.17</v>
      </c>
    </row>
    <row r="104" ht="13.8" hidden="1" spans="1:117">
      <c r="A104" s="109">
        <v>2</v>
      </c>
      <c r="B104" s="109" t="s">
        <v>892</v>
      </c>
      <c r="C104" s="109" t="s">
        <v>203</v>
      </c>
      <c r="D104" s="109" t="s">
        <v>225</v>
      </c>
      <c r="E104" s="109" t="s">
        <v>226</v>
      </c>
      <c r="F104" s="110">
        <v>46248</v>
      </c>
      <c r="G104" s="109" t="s">
        <v>240</v>
      </c>
      <c r="H104" s="109" t="s">
        <v>893</v>
      </c>
      <c r="I104" s="109" t="s">
        <v>216</v>
      </c>
      <c r="J104" s="109" t="s">
        <v>217</v>
      </c>
      <c r="K104" s="109" t="s">
        <v>218</v>
      </c>
      <c r="L104" s="109" t="s">
        <v>219</v>
      </c>
      <c r="M104" s="207" t="s">
        <v>242</v>
      </c>
      <c r="N104" s="109" t="s">
        <v>220</v>
      </c>
      <c r="O104" s="109" t="s">
        <v>221</v>
      </c>
      <c r="P104" s="109" t="s">
        <v>243</v>
      </c>
      <c r="Q104" s="109" t="s">
        <v>216</v>
      </c>
      <c r="R104" s="109" t="s">
        <v>217</v>
      </c>
      <c r="S104" s="109" t="s">
        <v>220</v>
      </c>
      <c r="T104" s="109" t="s">
        <v>221</v>
      </c>
      <c r="U104" s="109" t="s">
        <v>216</v>
      </c>
      <c r="V104" s="109" t="s">
        <v>217</v>
      </c>
      <c r="W104" s="109" t="s">
        <v>218</v>
      </c>
      <c r="X104" s="109" t="s">
        <v>219</v>
      </c>
      <c r="Y104" s="109" t="s">
        <v>220</v>
      </c>
      <c r="Z104" s="109" t="s">
        <v>221</v>
      </c>
      <c r="AA104" s="109" t="s">
        <v>222</v>
      </c>
      <c r="AB104" s="109" t="s">
        <v>223</v>
      </c>
      <c r="AC104" s="109" t="s">
        <v>894</v>
      </c>
      <c r="AD104" s="109" t="s">
        <v>895</v>
      </c>
      <c r="AE104" s="109" t="s">
        <v>896</v>
      </c>
      <c r="AF104" s="109" t="s">
        <v>247</v>
      </c>
      <c r="AG104" s="109" t="s">
        <v>897</v>
      </c>
      <c r="AH104" s="109" t="s">
        <v>249</v>
      </c>
      <c r="AI104" s="109" t="s">
        <v>894</v>
      </c>
      <c r="AJ104" s="109" t="s">
        <v>895</v>
      </c>
      <c r="AK104" s="109" t="s">
        <v>897</v>
      </c>
      <c r="AL104" s="109" t="s">
        <v>249</v>
      </c>
      <c r="AM104" s="109" t="s">
        <v>250</v>
      </c>
      <c r="AN104" s="207" t="s">
        <v>898</v>
      </c>
      <c r="AO104" s="109">
        <v>31.665</v>
      </c>
      <c r="AP104" s="109">
        <v>0</v>
      </c>
      <c r="AQ104" s="109">
        <v>5</v>
      </c>
      <c r="AR104" s="109">
        <v>0</v>
      </c>
      <c r="AS104" s="109" t="s">
        <v>252</v>
      </c>
      <c r="AT104" s="109" t="s">
        <v>229</v>
      </c>
      <c r="AU104" s="110">
        <v>46260</v>
      </c>
      <c r="AV104" s="109">
        <v>127.67</v>
      </c>
      <c r="AW104" s="109" t="s">
        <v>230</v>
      </c>
      <c r="AX104" s="109" t="s">
        <v>230</v>
      </c>
      <c r="AY104" s="109">
        <v>3590.39</v>
      </c>
      <c r="AZ104" s="109" t="s">
        <v>232</v>
      </c>
      <c r="BA104" s="109" t="s">
        <v>253</v>
      </c>
      <c r="BB104" s="109">
        <v>127.67</v>
      </c>
      <c r="BC104" s="109">
        <v>112.35</v>
      </c>
      <c r="BD104" s="109">
        <v>127.67</v>
      </c>
      <c r="BE104" s="109">
        <v>15.32</v>
      </c>
      <c r="BF104" s="111">
        <v>0.12</v>
      </c>
      <c r="BG104" s="109">
        <v>0</v>
      </c>
      <c r="BH104" s="109">
        <v>31.665</v>
      </c>
      <c r="BI104" s="109">
        <v>58.9</v>
      </c>
      <c r="BJ104" s="109">
        <v>0</v>
      </c>
      <c r="BK104" s="109">
        <v>17</v>
      </c>
      <c r="BL104" s="109">
        <v>0</v>
      </c>
      <c r="BM104" s="109">
        <v>9.76</v>
      </c>
      <c r="BN104" s="109">
        <v>5.39</v>
      </c>
      <c r="BO104" s="109">
        <v>5.5</v>
      </c>
      <c r="BP104" s="109">
        <v>3.23</v>
      </c>
      <c r="BQ104" s="109">
        <v>0</v>
      </c>
      <c r="BR104" s="109">
        <v>0</v>
      </c>
      <c r="BS104" s="109">
        <v>0</v>
      </c>
      <c r="BT104" s="109">
        <v>0</v>
      </c>
      <c r="BU104" s="109">
        <v>0</v>
      </c>
      <c r="BV104" s="109">
        <v>0</v>
      </c>
      <c r="BW104" s="109">
        <v>0</v>
      </c>
      <c r="BX104" s="109">
        <v>0</v>
      </c>
      <c r="BY104" s="109">
        <v>0</v>
      </c>
      <c r="BZ104" s="109">
        <v>0</v>
      </c>
      <c r="CA104" s="109">
        <v>12.57</v>
      </c>
      <c r="CB104" s="109" t="s">
        <v>225</v>
      </c>
      <c r="CC104" s="109" t="s">
        <v>247</v>
      </c>
      <c r="CD104" s="109">
        <v>411.84</v>
      </c>
      <c r="CE104" s="109">
        <v>0</v>
      </c>
      <c r="CF104" s="109">
        <v>0</v>
      </c>
      <c r="CG104" s="109">
        <v>0</v>
      </c>
      <c r="CH104" s="109">
        <v>0</v>
      </c>
      <c r="CI104" s="109">
        <v>0</v>
      </c>
      <c r="CJ104" s="109">
        <v>0</v>
      </c>
      <c r="CK104" s="109">
        <v>0</v>
      </c>
      <c r="CL104" s="109"/>
      <c r="CM104" s="109"/>
      <c r="CN104" s="109">
        <v>0</v>
      </c>
      <c r="CO104" s="109">
        <v>0</v>
      </c>
      <c r="CP104" s="109">
        <v>0</v>
      </c>
      <c r="CQ104" s="109">
        <v>0</v>
      </c>
      <c r="CR104" s="109">
        <v>0</v>
      </c>
      <c r="CS104" s="109">
        <v>0</v>
      </c>
      <c r="CT104" s="109">
        <v>0</v>
      </c>
      <c r="CU104" s="109">
        <v>12</v>
      </c>
      <c r="CV104" s="109" t="s">
        <v>254</v>
      </c>
      <c r="CW104" s="109">
        <v>0</v>
      </c>
      <c r="CX104" s="109"/>
      <c r="CY104" s="109">
        <v>18</v>
      </c>
      <c r="CZ104" s="109" t="s">
        <v>235</v>
      </c>
      <c r="DA104" s="109">
        <v>0</v>
      </c>
      <c r="DB104" s="109"/>
      <c r="DE104" s="109">
        <v>0</v>
      </c>
      <c r="DF104" s="109" t="s">
        <v>236</v>
      </c>
      <c r="DG104" s="109" t="s">
        <v>221</v>
      </c>
      <c r="DH104" s="109" t="s">
        <v>220</v>
      </c>
      <c r="DI104" s="109">
        <v>9026067267</v>
      </c>
      <c r="DJ104" s="109" t="s">
        <v>222</v>
      </c>
      <c r="DK104" s="109">
        <v>0</v>
      </c>
      <c r="DL104" s="109" t="s">
        <v>226</v>
      </c>
      <c r="DM104" s="109">
        <v>15.32</v>
      </c>
    </row>
    <row r="105" ht="13.8" hidden="1" spans="1:117">
      <c r="A105" s="109">
        <v>2</v>
      </c>
      <c r="B105" s="109" t="s">
        <v>899</v>
      </c>
      <c r="C105" s="109" t="s">
        <v>203</v>
      </c>
      <c r="D105" s="109" t="s">
        <v>225</v>
      </c>
      <c r="E105" s="109" t="s">
        <v>226</v>
      </c>
      <c r="F105" s="110">
        <v>46248</v>
      </c>
      <c r="G105" s="109" t="s">
        <v>240</v>
      </c>
      <c r="H105" s="109" t="s">
        <v>900</v>
      </c>
      <c r="I105" s="109" t="s">
        <v>216</v>
      </c>
      <c r="J105" s="109" t="s">
        <v>217</v>
      </c>
      <c r="K105" s="109" t="s">
        <v>218</v>
      </c>
      <c r="L105" s="109" t="s">
        <v>219</v>
      </c>
      <c r="M105" s="207" t="s">
        <v>242</v>
      </c>
      <c r="N105" s="109" t="s">
        <v>220</v>
      </c>
      <c r="O105" s="109" t="s">
        <v>221</v>
      </c>
      <c r="P105" s="109" t="s">
        <v>243</v>
      </c>
      <c r="Q105" s="109" t="s">
        <v>216</v>
      </c>
      <c r="R105" s="109" t="s">
        <v>217</v>
      </c>
      <c r="S105" s="109" t="s">
        <v>220</v>
      </c>
      <c r="T105" s="109" t="s">
        <v>221</v>
      </c>
      <c r="U105" s="109" t="s">
        <v>216</v>
      </c>
      <c r="V105" s="109" t="s">
        <v>217</v>
      </c>
      <c r="W105" s="109" t="s">
        <v>218</v>
      </c>
      <c r="X105" s="109" t="s">
        <v>219</v>
      </c>
      <c r="Y105" s="109" t="s">
        <v>220</v>
      </c>
      <c r="Z105" s="109" t="s">
        <v>221</v>
      </c>
      <c r="AA105" s="109" t="s">
        <v>222</v>
      </c>
      <c r="AB105" s="109" t="s">
        <v>223</v>
      </c>
      <c r="AC105" s="109" t="s">
        <v>901</v>
      </c>
      <c r="AD105" s="109" t="s">
        <v>902</v>
      </c>
      <c r="AE105" s="109" t="s">
        <v>319</v>
      </c>
      <c r="AF105" s="109" t="s">
        <v>247</v>
      </c>
      <c r="AG105" s="109" t="s">
        <v>320</v>
      </c>
      <c r="AH105" s="109" t="s">
        <v>249</v>
      </c>
      <c r="AI105" s="109" t="s">
        <v>901</v>
      </c>
      <c r="AJ105" s="109" t="s">
        <v>902</v>
      </c>
      <c r="AK105" s="109" t="s">
        <v>320</v>
      </c>
      <c r="AL105" s="109" t="s">
        <v>249</v>
      </c>
      <c r="AM105" s="109" t="s">
        <v>250</v>
      </c>
      <c r="AN105" s="207" t="s">
        <v>903</v>
      </c>
      <c r="AO105" s="109">
        <v>238.7</v>
      </c>
      <c r="AP105" s="109">
        <v>0</v>
      </c>
      <c r="AQ105" s="109">
        <v>20</v>
      </c>
      <c r="AR105" s="109">
        <v>0</v>
      </c>
      <c r="AS105" s="109" t="s">
        <v>252</v>
      </c>
      <c r="AT105" s="109" t="s">
        <v>229</v>
      </c>
      <c r="AU105" s="110">
        <v>46260</v>
      </c>
      <c r="AV105" s="109">
        <v>629.63</v>
      </c>
      <c r="AW105" s="109" t="s">
        <v>230</v>
      </c>
      <c r="AX105" s="109" t="s">
        <v>231</v>
      </c>
      <c r="AY105" s="109">
        <v>8544.59</v>
      </c>
      <c r="AZ105" s="109" t="s">
        <v>232</v>
      </c>
      <c r="BA105" s="109" t="s">
        <v>253</v>
      </c>
      <c r="BB105" s="109">
        <v>629.63</v>
      </c>
      <c r="BC105" s="109">
        <v>554.07</v>
      </c>
      <c r="BD105" s="109">
        <v>629.63</v>
      </c>
      <c r="BE105" s="109">
        <v>75.56</v>
      </c>
      <c r="BF105" s="111">
        <v>0.12</v>
      </c>
      <c r="BG105" s="109">
        <v>0</v>
      </c>
      <c r="BH105" s="109">
        <v>238.7</v>
      </c>
      <c r="BI105" s="109">
        <v>214.85</v>
      </c>
      <c r="BJ105" s="109">
        <v>0</v>
      </c>
      <c r="BK105" s="109">
        <v>17</v>
      </c>
      <c r="BL105" s="109">
        <v>0</v>
      </c>
      <c r="BM105" s="109">
        <v>9.76</v>
      </c>
      <c r="BN105" s="109">
        <v>12.82</v>
      </c>
      <c r="BO105" s="109">
        <v>16.5</v>
      </c>
      <c r="BP105" s="109">
        <v>3.23</v>
      </c>
      <c r="BQ105" s="109">
        <v>0</v>
      </c>
      <c r="BR105" s="109">
        <v>0</v>
      </c>
      <c r="BS105" s="109">
        <v>0</v>
      </c>
      <c r="BT105" s="109">
        <v>0</v>
      </c>
      <c r="BU105" s="109">
        <v>0</v>
      </c>
      <c r="BV105" s="109">
        <v>0</v>
      </c>
      <c r="BW105" s="109">
        <v>0</v>
      </c>
      <c r="BX105" s="109">
        <v>250</v>
      </c>
      <c r="BY105" s="109">
        <v>0</v>
      </c>
      <c r="BZ105" s="109">
        <v>0</v>
      </c>
      <c r="CA105" s="109">
        <v>29.91</v>
      </c>
      <c r="CB105" s="109" t="s">
        <v>225</v>
      </c>
      <c r="CC105" s="109" t="s">
        <v>247</v>
      </c>
      <c r="CD105" s="109">
        <v>619.11</v>
      </c>
      <c r="CE105" s="109">
        <v>0</v>
      </c>
      <c r="CF105" s="109">
        <v>0</v>
      </c>
      <c r="CG105" s="109">
        <v>0</v>
      </c>
      <c r="CH105" s="109">
        <v>0</v>
      </c>
      <c r="CI105" s="109">
        <v>0</v>
      </c>
      <c r="CJ105" s="109">
        <v>0</v>
      </c>
      <c r="CK105" s="109">
        <v>0</v>
      </c>
      <c r="CL105" s="109"/>
      <c r="CM105" s="109"/>
      <c r="CN105" s="109">
        <v>0</v>
      </c>
      <c r="CO105" s="109">
        <v>0</v>
      </c>
      <c r="CP105" s="109">
        <v>0</v>
      </c>
      <c r="CQ105" s="109">
        <v>0</v>
      </c>
      <c r="CR105" s="109">
        <v>0</v>
      </c>
      <c r="CS105" s="109">
        <v>0</v>
      </c>
      <c r="CT105" s="109">
        <v>0</v>
      </c>
      <c r="CU105" s="109">
        <v>35.81</v>
      </c>
      <c r="CV105" s="109" t="s">
        <v>254</v>
      </c>
      <c r="CW105" s="109">
        <v>0</v>
      </c>
      <c r="CX105" s="109"/>
      <c r="CY105" s="109">
        <v>42.97</v>
      </c>
      <c r="CZ105" s="109" t="s">
        <v>235</v>
      </c>
      <c r="DA105" s="109">
        <v>0</v>
      </c>
      <c r="DB105" s="109"/>
      <c r="DE105" s="109">
        <v>0</v>
      </c>
      <c r="DF105" s="109" t="s">
        <v>236</v>
      </c>
      <c r="DG105" s="109" t="s">
        <v>221</v>
      </c>
      <c r="DH105" s="109" t="s">
        <v>220</v>
      </c>
      <c r="DI105" s="109">
        <v>9026067267</v>
      </c>
      <c r="DJ105" s="109" t="s">
        <v>222</v>
      </c>
      <c r="DK105" s="109">
        <v>0</v>
      </c>
      <c r="DL105" s="109" t="s">
        <v>226</v>
      </c>
      <c r="DM105" s="109">
        <v>75.56</v>
      </c>
    </row>
    <row r="106" ht="13.8" hidden="1" spans="1:117">
      <c r="A106" s="109">
        <v>2</v>
      </c>
      <c r="B106" s="109" t="s">
        <v>904</v>
      </c>
      <c r="C106" s="109" t="s">
        <v>203</v>
      </c>
      <c r="D106" s="109" t="s">
        <v>225</v>
      </c>
      <c r="E106" s="109" t="s">
        <v>226</v>
      </c>
      <c r="F106" s="110">
        <v>46248</v>
      </c>
      <c r="G106" s="109" t="s">
        <v>240</v>
      </c>
      <c r="H106" s="109" t="s">
        <v>905</v>
      </c>
      <c r="I106" s="109" t="s">
        <v>216</v>
      </c>
      <c r="J106" s="109" t="s">
        <v>217</v>
      </c>
      <c r="K106" s="109" t="s">
        <v>218</v>
      </c>
      <c r="L106" s="109" t="s">
        <v>219</v>
      </c>
      <c r="M106" s="207" t="s">
        <v>242</v>
      </c>
      <c r="N106" s="109" t="s">
        <v>220</v>
      </c>
      <c r="O106" s="109" t="s">
        <v>221</v>
      </c>
      <c r="P106" s="109" t="s">
        <v>243</v>
      </c>
      <c r="Q106" s="109" t="s">
        <v>216</v>
      </c>
      <c r="R106" s="109" t="s">
        <v>217</v>
      </c>
      <c r="S106" s="109" t="s">
        <v>220</v>
      </c>
      <c r="T106" s="109" t="s">
        <v>221</v>
      </c>
      <c r="U106" s="109" t="s">
        <v>216</v>
      </c>
      <c r="V106" s="109" t="s">
        <v>217</v>
      </c>
      <c r="W106" s="109" t="s">
        <v>218</v>
      </c>
      <c r="X106" s="109" t="s">
        <v>219</v>
      </c>
      <c r="Y106" s="109" t="s">
        <v>220</v>
      </c>
      <c r="Z106" s="109" t="s">
        <v>221</v>
      </c>
      <c r="AA106" s="109" t="s">
        <v>222</v>
      </c>
      <c r="AB106" s="109" t="s">
        <v>223</v>
      </c>
      <c r="AC106" s="109" t="s">
        <v>906</v>
      </c>
      <c r="AD106" s="109" t="s">
        <v>907</v>
      </c>
      <c r="AE106" s="109" t="s">
        <v>908</v>
      </c>
      <c r="AF106" s="109" t="s">
        <v>204</v>
      </c>
      <c r="AG106" s="109" t="s">
        <v>909</v>
      </c>
      <c r="AH106" s="109" t="s">
        <v>214</v>
      </c>
      <c r="AI106" s="109" t="s">
        <v>906</v>
      </c>
      <c r="AJ106" s="109" t="s">
        <v>907</v>
      </c>
      <c r="AK106" s="109" t="s">
        <v>909</v>
      </c>
      <c r="AL106" s="109" t="s">
        <v>214</v>
      </c>
      <c r="AM106" s="109" t="s">
        <v>205</v>
      </c>
      <c r="AN106" s="207" t="s">
        <v>910</v>
      </c>
      <c r="AO106" s="109">
        <v>145</v>
      </c>
      <c r="AP106" s="109">
        <v>0</v>
      </c>
      <c r="AQ106" s="109">
        <v>10</v>
      </c>
      <c r="AR106" s="109">
        <v>0</v>
      </c>
      <c r="AS106" s="109" t="s">
        <v>252</v>
      </c>
      <c r="AT106" s="109" t="s">
        <v>229</v>
      </c>
      <c r="AU106" s="110">
        <v>46260</v>
      </c>
      <c r="AV106" s="109">
        <v>208.99</v>
      </c>
      <c r="AW106" s="109" t="s">
        <v>230</v>
      </c>
      <c r="AX106" s="109" t="s">
        <v>230</v>
      </c>
      <c r="AY106" s="109">
        <v>3036.78</v>
      </c>
      <c r="AZ106" s="109" t="s">
        <v>232</v>
      </c>
      <c r="BA106" s="109" t="s">
        <v>308</v>
      </c>
      <c r="BB106" s="109">
        <v>208.99</v>
      </c>
      <c r="BC106" s="109">
        <v>183.91</v>
      </c>
      <c r="BD106" s="109">
        <v>208.99</v>
      </c>
      <c r="BE106" s="109">
        <v>25.08</v>
      </c>
      <c r="BF106" s="111">
        <v>0.12</v>
      </c>
      <c r="BG106" s="109">
        <v>0</v>
      </c>
      <c r="BH106" s="109">
        <v>145</v>
      </c>
      <c r="BI106" s="109">
        <v>127.73</v>
      </c>
      <c r="BJ106" s="109">
        <v>0</v>
      </c>
      <c r="BK106" s="109">
        <v>17</v>
      </c>
      <c r="BL106" s="109">
        <v>0</v>
      </c>
      <c r="BM106" s="109">
        <v>9.76</v>
      </c>
      <c r="BN106" s="109">
        <v>4.56</v>
      </c>
      <c r="BO106" s="109">
        <v>11</v>
      </c>
      <c r="BP106" s="109">
        <v>3.23</v>
      </c>
      <c r="BQ106" s="109">
        <v>0</v>
      </c>
      <c r="BR106" s="109">
        <v>0</v>
      </c>
      <c r="BS106" s="109">
        <v>0</v>
      </c>
      <c r="BT106" s="109">
        <v>0</v>
      </c>
      <c r="BU106" s="109">
        <v>0</v>
      </c>
      <c r="BV106" s="109">
        <v>0</v>
      </c>
      <c r="BW106" s="109">
        <v>0</v>
      </c>
      <c r="BX106" s="109">
        <v>0</v>
      </c>
      <c r="BY106" s="109">
        <v>0</v>
      </c>
      <c r="BZ106" s="109">
        <v>0</v>
      </c>
      <c r="CA106" s="109">
        <v>10.63</v>
      </c>
      <c r="CB106" s="109" t="s">
        <v>225</v>
      </c>
      <c r="CC106" s="109" t="s">
        <v>204</v>
      </c>
      <c r="CD106" s="109">
        <v>403.77</v>
      </c>
      <c r="CE106" s="109">
        <v>0</v>
      </c>
      <c r="CF106" s="109">
        <v>0</v>
      </c>
      <c r="CG106" s="109">
        <v>0</v>
      </c>
      <c r="CH106" s="109">
        <v>0</v>
      </c>
      <c r="CI106" s="109">
        <v>0</v>
      </c>
      <c r="CJ106" s="109">
        <v>0</v>
      </c>
      <c r="CK106" s="109">
        <v>0</v>
      </c>
      <c r="CL106" s="109"/>
      <c r="CM106" s="109"/>
      <c r="CN106" s="109">
        <v>0</v>
      </c>
      <c r="CO106" s="109">
        <v>0</v>
      </c>
      <c r="CP106" s="109">
        <v>0</v>
      </c>
      <c r="CQ106" s="109">
        <v>0</v>
      </c>
      <c r="CR106" s="109">
        <v>0</v>
      </c>
      <c r="CS106" s="109">
        <v>0</v>
      </c>
      <c r="CT106" s="109">
        <v>0</v>
      </c>
      <c r="CU106" s="109">
        <v>21.75</v>
      </c>
      <c r="CV106" s="109" t="s">
        <v>254</v>
      </c>
      <c r="CW106" s="109">
        <v>0</v>
      </c>
      <c r="CX106" s="109"/>
      <c r="CY106" s="109">
        <v>20.3</v>
      </c>
      <c r="CZ106" s="109" t="s">
        <v>235</v>
      </c>
      <c r="DA106" s="109">
        <v>0</v>
      </c>
      <c r="DB106" s="109"/>
      <c r="DE106" s="109">
        <v>0</v>
      </c>
      <c r="DF106" s="109" t="s">
        <v>236</v>
      </c>
      <c r="DG106" s="109" t="s">
        <v>221</v>
      </c>
      <c r="DH106" s="109" t="s">
        <v>220</v>
      </c>
      <c r="DI106" s="109">
        <v>9026067267</v>
      </c>
      <c r="DJ106" s="109" t="s">
        <v>222</v>
      </c>
      <c r="DK106" s="109">
        <v>0</v>
      </c>
      <c r="DL106" s="109" t="s">
        <v>226</v>
      </c>
      <c r="DM106" s="109">
        <v>25.08</v>
      </c>
    </row>
    <row r="107" ht="13.8" hidden="1" spans="1:117">
      <c r="A107" s="109">
        <v>2</v>
      </c>
      <c r="B107" s="109" t="s">
        <v>911</v>
      </c>
      <c r="C107" s="109" t="s">
        <v>203</v>
      </c>
      <c r="D107" s="109" t="s">
        <v>225</v>
      </c>
      <c r="E107" s="109" t="s">
        <v>226</v>
      </c>
      <c r="F107" s="110">
        <v>46248</v>
      </c>
      <c r="G107" s="109" t="s">
        <v>240</v>
      </c>
      <c r="H107" s="109" t="s">
        <v>912</v>
      </c>
      <c r="I107" s="109" t="s">
        <v>216</v>
      </c>
      <c r="J107" s="109" t="s">
        <v>217</v>
      </c>
      <c r="K107" s="109" t="s">
        <v>218</v>
      </c>
      <c r="L107" s="109" t="s">
        <v>219</v>
      </c>
      <c r="M107" s="207" t="s">
        <v>242</v>
      </c>
      <c r="N107" s="109" t="s">
        <v>220</v>
      </c>
      <c r="O107" s="109" t="s">
        <v>221</v>
      </c>
      <c r="P107" s="109" t="s">
        <v>243</v>
      </c>
      <c r="Q107" s="109" t="s">
        <v>216</v>
      </c>
      <c r="R107" s="109" t="s">
        <v>217</v>
      </c>
      <c r="S107" s="109" t="s">
        <v>220</v>
      </c>
      <c r="T107" s="109" t="s">
        <v>221</v>
      </c>
      <c r="U107" s="109" t="s">
        <v>216</v>
      </c>
      <c r="V107" s="109" t="s">
        <v>217</v>
      </c>
      <c r="W107" s="109" t="s">
        <v>218</v>
      </c>
      <c r="X107" s="109" t="s">
        <v>219</v>
      </c>
      <c r="Y107" s="109" t="s">
        <v>220</v>
      </c>
      <c r="Z107" s="109" t="s">
        <v>221</v>
      </c>
      <c r="AA107" s="109" t="s">
        <v>222</v>
      </c>
      <c r="AB107" s="109" t="s">
        <v>223</v>
      </c>
      <c r="AC107" s="109" t="s">
        <v>913</v>
      </c>
      <c r="AD107" s="109" t="s">
        <v>914</v>
      </c>
      <c r="AE107" s="109">
        <v>140</v>
      </c>
      <c r="AF107" s="109" t="s">
        <v>804</v>
      </c>
      <c r="AG107" s="109" t="s">
        <v>915</v>
      </c>
      <c r="AH107" s="109" t="s">
        <v>297</v>
      </c>
      <c r="AI107" s="109" t="s">
        <v>913</v>
      </c>
      <c r="AJ107" s="109" t="s">
        <v>914</v>
      </c>
      <c r="AK107" s="109" t="s">
        <v>915</v>
      </c>
      <c r="AL107" s="109" t="s">
        <v>297</v>
      </c>
      <c r="AM107" s="109" t="s">
        <v>806</v>
      </c>
      <c r="AN107" s="207" t="s">
        <v>916</v>
      </c>
      <c r="AO107" s="109">
        <v>112.1</v>
      </c>
      <c r="AP107" s="109">
        <v>0</v>
      </c>
      <c r="AQ107" s="109">
        <v>15</v>
      </c>
      <c r="AR107" s="109">
        <v>0</v>
      </c>
      <c r="AS107" s="109" t="s">
        <v>252</v>
      </c>
      <c r="AT107" s="109" t="s">
        <v>229</v>
      </c>
      <c r="AU107" s="110">
        <v>46260</v>
      </c>
      <c r="AV107" s="109">
        <v>184.98</v>
      </c>
      <c r="AW107" s="109" t="s">
        <v>230</v>
      </c>
      <c r="AX107" s="109" t="s">
        <v>230</v>
      </c>
      <c r="AY107" s="109">
        <v>3534.63</v>
      </c>
      <c r="AZ107" s="109" t="s">
        <v>232</v>
      </c>
      <c r="BA107" s="109" t="s">
        <v>557</v>
      </c>
      <c r="BB107" s="109">
        <v>184.98</v>
      </c>
      <c r="BC107" s="109">
        <v>162.78</v>
      </c>
      <c r="BD107" s="109">
        <v>184.98</v>
      </c>
      <c r="BE107" s="109">
        <v>22.2</v>
      </c>
      <c r="BF107" s="111">
        <v>0.12</v>
      </c>
      <c r="BG107" s="109">
        <v>0</v>
      </c>
      <c r="BH107" s="109">
        <v>112.1</v>
      </c>
      <c r="BI107" s="109">
        <v>104.12</v>
      </c>
      <c r="BJ107" s="109">
        <v>0</v>
      </c>
      <c r="BK107" s="109">
        <v>17</v>
      </c>
      <c r="BL107" s="109">
        <v>0</v>
      </c>
      <c r="BM107" s="109">
        <v>9.76</v>
      </c>
      <c r="BN107" s="109">
        <v>5.3</v>
      </c>
      <c r="BO107" s="109">
        <v>11</v>
      </c>
      <c r="BP107" s="109">
        <v>3.23</v>
      </c>
      <c r="BQ107" s="109">
        <v>0</v>
      </c>
      <c r="BR107" s="109">
        <v>0</v>
      </c>
      <c r="BS107" s="109">
        <v>0</v>
      </c>
      <c r="BT107" s="109">
        <v>0</v>
      </c>
      <c r="BU107" s="109">
        <v>0</v>
      </c>
      <c r="BV107" s="109">
        <v>0</v>
      </c>
      <c r="BW107" s="109">
        <v>0</v>
      </c>
      <c r="BX107" s="109">
        <v>0</v>
      </c>
      <c r="BY107" s="109">
        <v>0</v>
      </c>
      <c r="BZ107" s="109">
        <v>0</v>
      </c>
      <c r="CA107" s="109">
        <v>12.37</v>
      </c>
      <c r="CB107" s="109" t="s">
        <v>225</v>
      </c>
      <c r="CC107" s="109" t="s">
        <v>558</v>
      </c>
      <c r="CD107" s="109">
        <v>410.98</v>
      </c>
      <c r="CE107" s="109">
        <v>0</v>
      </c>
      <c r="CF107" s="109">
        <v>0</v>
      </c>
      <c r="CG107" s="109">
        <v>0</v>
      </c>
      <c r="CH107" s="109">
        <v>0</v>
      </c>
      <c r="CI107" s="109">
        <v>0</v>
      </c>
      <c r="CJ107" s="109">
        <v>0</v>
      </c>
      <c r="CK107" s="109">
        <v>0</v>
      </c>
      <c r="CL107" s="109"/>
      <c r="CM107" s="109"/>
      <c r="CN107" s="109">
        <v>0</v>
      </c>
      <c r="CO107" s="109">
        <v>0</v>
      </c>
      <c r="CP107" s="109">
        <v>0</v>
      </c>
      <c r="CQ107" s="109">
        <v>0</v>
      </c>
      <c r="CR107" s="109">
        <v>0</v>
      </c>
      <c r="CS107" s="109">
        <v>0</v>
      </c>
      <c r="CT107" s="109">
        <v>0</v>
      </c>
      <c r="CU107" s="109">
        <v>16.82</v>
      </c>
      <c r="CV107" s="109" t="s">
        <v>254</v>
      </c>
      <c r="CW107" s="109">
        <v>0</v>
      </c>
      <c r="CX107" s="109"/>
      <c r="CY107" s="109">
        <v>75.6</v>
      </c>
      <c r="CZ107" s="109" t="s">
        <v>808</v>
      </c>
      <c r="DA107" s="109">
        <v>82.27</v>
      </c>
      <c r="DB107" s="109">
        <v>326288</v>
      </c>
      <c r="DE107" s="109">
        <v>0</v>
      </c>
      <c r="DF107" s="109" t="s">
        <v>236</v>
      </c>
      <c r="DG107" s="109" t="s">
        <v>221</v>
      </c>
      <c r="DH107" s="109" t="s">
        <v>220</v>
      </c>
      <c r="DI107" s="109">
        <v>9026067267</v>
      </c>
      <c r="DJ107" s="109" t="s">
        <v>222</v>
      </c>
      <c r="DK107" s="109">
        <v>0</v>
      </c>
      <c r="DL107" s="109" t="s">
        <v>226</v>
      </c>
      <c r="DM107" s="109">
        <v>22.2</v>
      </c>
    </row>
    <row r="108" ht="13.8" hidden="1" spans="1:117">
      <c r="A108" s="109">
        <v>2</v>
      </c>
      <c r="B108" s="109" t="s">
        <v>917</v>
      </c>
      <c r="C108" s="109" t="s">
        <v>203</v>
      </c>
      <c r="D108" s="109" t="s">
        <v>225</v>
      </c>
      <c r="E108" s="109" t="s">
        <v>226</v>
      </c>
      <c r="F108" s="110">
        <v>46251</v>
      </c>
      <c r="G108" s="109" t="s">
        <v>240</v>
      </c>
      <c r="H108" s="109" t="s">
        <v>918</v>
      </c>
      <c r="I108" s="109" t="s">
        <v>216</v>
      </c>
      <c r="J108" s="109" t="s">
        <v>217</v>
      </c>
      <c r="K108" s="109" t="s">
        <v>218</v>
      </c>
      <c r="L108" s="109" t="s">
        <v>219</v>
      </c>
      <c r="M108" s="207" t="s">
        <v>242</v>
      </c>
      <c r="N108" s="109" t="s">
        <v>220</v>
      </c>
      <c r="O108" s="109" t="s">
        <v>221</v>
      </c>
      <c r="P108" s="109" t="s">
        <v>243</v>
      </c>
      <c r="Q108" s="109" t="s">
        <v>216</v>
      </c>
      <c r="R108" s="109" t="s">
        <v>217</v>
      </c>
      <c r="S108" s="109" t="s">
        <v>220</v>
      </c>
      <c r="T108" s="109" t="s">
        <v>221</v>
      </c>
      <c r="U108" s="109" t="s">
        <v>216</v>
      </c>
      <c r="V108" s="109" t="s">
        <v>217</v>
      </c>
      <c r="W108" s="109" t="s">
        <v>218</v>
      </c>
      <c r="X108" s="109" t="s">
        <v>219</v>
      </c>
      <c r="Y108" s="109" t="s">
        <v>220</v>
      </c>
      <c r="Z108" s="109" t="s">
        <v>221</v>
      </c>
      <c r="AA108" s="109" t="s">
        <v>222</v>
      </c>
      <c r="AB108" s="109" t="s">
        <v>223</v>
      </c>
      <c r="AC108" s="109" t="s">
        <v>919</v>
      </c>
      <c r="AD108" s="109" t="s">
        <v>920</v>
      </c>
      <c r="AE108" s="109" t="s">
        <v>921</v>
      </c>
      <c r="AF108" s="109" t="s">
        <v>369</v>
      </c>
      <c r="AG108" s="109" t="s">
        <v>922</v>
      </c>
      <c r="AH108" s="109" t="s">
        <v>297</v>
      </c>
      <c r="AI108" s="109" t="s">
        <v>919</v>
      </c>
      <c r="AJ108" s="109" t="s">
        <v>920</v>
      </c>
      <c r="AK108" s="109" t="s">
        <v>922</v>
      </c>
      <c r="AL108" s="109" t="s">
        <v>297</v>
      </c>
      <c r="AM108" s="109" t="s">
        <v>298</v>
      </c>
      <c r="AN108" s="207" t="s">
        <v>923</v>
      </c>
      <c r="AO108" s="109">
        <v>79.6</v>
      </c>
      <c r="AP108" s="109">
        <v>0</v>
      </c>
      <c r="AQ108" s="109">
        <v>7</v>
      </c>
      <c r="AR108" s="109">
        <v>0</v>
      </c>
      <c r="AS108" s="109" t="s">
        <v>252</v>
      </c>
      <c r="AT108" s="109" t="s">
        <v>229</v>
      </c>
      <c r="AU108" s="110">
        <v>46267</v>
      </c>
      <c r="AV108" s="109">
        <v>333.77</v>
      </c>
      <c r="AW108" s="109" t="s">
        <v>230</v>
      </c>
      <c r="AX108" s="109" t="s">
        <v>230</v>
      </c>
      <c r="AY108" s="109">
        <v>2935.93</v>
      </c>
      <c r="AZ108" s="109" t="s">
        <v>232</v>
      </c>
      <c r="BA108" s="109" t="s">
        <v>368</v>
      </c>
      <c r="BB108" s="109">
        <v>333.77</v>
      </c>
      <c r="BC108" s="109">
        <v>293.72</v>
      </c>
      <c r="BD108" s="109">
        <v>333.77</v>
      </c>
      <c r="BE108" s="109">
        <v>40.05</v>
      </c>
      <c r="BF108" s="111">
        <v>0.12</v>
      </c>
      <c r="BG108" s="109">
        <v>0</v>
      </c>
      <c r="BH108" s="109">
        <v>79.6</v>
      </c>
      <c r="BI108" s="109">
        <v>178.55</v>
      </c>
      <c r="BJ108" s="109">
        <v>0</v>
      </c>
      <c r="BK108" s="109">
        <v>17</v>
      </c>
      <c r="BL108" s="109">
        <v>0</v>
      </c>
      <c r="BM108" s="109">
        <v>9.76</v>
      </c>
      <c r="BN108" s="109">
        <v>4.4</v>
      </c>
      <c r="BO108" s="109">
        <v>5.5</v>
      </c>
      <c r="BP108" s="109">
        <v>3.23</v>
      </c>
      <c r="BQ108" s="109">
        <v>65</v>
      </c>
      <c r="BR108" s="109">
        <v>0</v>
      </c>
      <c r="BS108" s="109">
        <v>0</v>
      </c>
      <c r="BT108" s="109">
        <v>0</v>
      </c>
      <c r="BU108" s="109">
        <v>0</v>
      </c>
      <c r="BV108" s="109">
        <v>0</v>
      </c>
      <c r="BW108" s="109">
        <v>0</v>
      </c>
      <c r="BX108" s="109">
        <v>0</v>
      </c>
      <c r="BY108" s="109">
        <v>0</v>
      </c>
      <c r="BZ108" s="109">
        <v>0</v>
      </c>
      <c r="CA108" s="109">
        <v>10.28</v>
      </c>
      <c r="CB108" s="109" t="s">
        <v>225</v>
      </c>
      <c r="CC108" s="109" t="s">
        <v>687</v>
      </c>
      <c r="CD108" s="109">
        <v>402.33</v>
      </c>
      <c r="CE108" s="109">
        <v>0</v>
      </c>
      <c r="CF108" s="109">
        <v>0</v>
      </c>
      <c r="CG108" s="109">
        <v>0</v>
      </c>
      <c r="CH108" s="109">
        <v>0</v>
      </c>
      <c r="CI108" s="109">
        <v>0</v>
      </c>
      <c r="CJ108" s="109">
        <v>0</v>
      </c>
      <c r="CK108" s="109">
        <v>0</v>
      </c>
      <c r="CL108" s="109"/>
      <c r="CM108" s="109"/>
      <c r="CN108" s="109">
        <v>0</v>
      </c>
      <c r="CO108" s="109">
        <v>0</v>
      </c>
      <c r="CP108" s="109">
        <v>0</v>
      </c>
      <c r="CQ108" s="109">
        <v>0</v>
      </c>
      <c r="CR108" s="109">
        <v>0</v>
      </c>
      <c r="CS108" s="109">
        <v>0</v>
      </c>
      <c r="CT108" s="109">
        <v>0</v>
      </c>
      <c r="CU108" s="109">
        <v>12</v>
      </c>
      <c r="CV108" s="109" t="s">
        <v>235</v>
      </c>
      <c r="CW108" s="109">
        <v>0</v>
      </c>
      <c r="CX108" s="109"/>
      <c r="CY108" s="109">
        <v>18</v>
      </c>
      <c r="CZ108" s="109" t="s">
        <v>235</v>
      </c>
      <c r="DA108" s="109">
        <v>0</v>
      </c>
      <c r="DB108" s="109"/>
      <c r="DE108" s="109">
        <v>0</v>
      </c>
      <c r="DF108" s="109" t="s">
        <v>236</v>
      </c>
      <c r="DG108" s="109" t="s">
        <v>221</v>
      </c>
      <c r="DH108" s="109" t="s">
        <v>220</v>
      </c>
      <c r="DI108" s="109">
        <v>9026067267</v>
      </c>
      <c r="DJ108" s="109" t="s">
        <v>222</v>
      </c>
      <c r="DK108" s="109">
        <v>0</v>
      </c>
      <c r="DL108" s="109" t="s">
        <v>226</v>
      </c>
      <c r="DM108" s="109">
        <v>40.05</v>
      </c>
    </row>
    <row r="109" ht="13.8" hidden="1" spans="1:117">
      <c r="A109" s="109">
        <v>2</v>
      </c>
      <c r="B109" s="109" t="s">
        <v>924</v>
      </c>
      <c r="C109" s="109" t="s">
        <v>203</v>
      </c>
      <c r="D109" s="109" t="s">
        <v>225</v>
      </c>
      <c r="E109" s="109" t="s">
        <v>226</v>
      </c>
      <c r="F109" s="110">
        <v>46251</v>
      </c>
      <c r="G109" s="109" t="s">
        <v>240</v>
      </c>
      <c r="H109" s="109" t="s">
        <v>925</v>
      </c>
      <c r="I109" s="109" t="s">
        <v>216</v>
      </c>
      <c r="J109" s="109" t="s">
        <v>217</v>
      </c>
      <c r="K109" s="109" t="s">
        <v>218</v>
      </c>
      <c r="L109" s="109" t="s">
        <v>219</v>
      </c>
      <c r="M109" s="207" t="s">
        <v>242</v>
      </c>
      <c r="N109" s="109" t="s">
        <v>220</v>
      </c>
      <c r="O109" s="109" t="s">
        <v>221</v>
      </c>
      <c r="P109" s="109" t="s">
        <v>243</v>
      </c>
      <c r="Q109" s="109" t="s">
        <v>216</v>
      </c>
      <c r="R109" s="109" t="s">
        <v>217</v>
      </c>
      <c r="S109" s="109" t="s">
        <v>220</v>
      </c>
      <c r="T109" s="109" t="s">
        <v>221</v>
      </c>
      <c r="U109" s="109" t="s">
        <v>216</v>
      </c>
      <c r="V109" s="109" t="s">
        <v>217</v>
      </c>
      <c r="W109" s="109" t="s">
        <v>218</v>
      </c>
      <c r="X109" s="109" t="s">
        <v>219</v>
      </c>
      <c r="Y109" s="109" t="s">
        <v>220</v>
      </c>
      <c r="Z109" s="109" t="s">
        <v>221</v>
      </c>
      <c r="AA109" s="109" t="s">
        <v>222</v>
      </c>
      <c r="AB109" s="109" t="s">
        <v>223</v>
      </c>
      <c r="AC109" s="109" t="s">
        <v>926</v>
      </c>
      <c r="AD109" s="109" t="s">
        <v>927</v>
      </c>
      <c r="AE109" s="109">
        <v>134</v>
      </c>
      <c r="AF109" s="109" t="s">
        <v>364</v>
      </c>
      <c r="AG109" s="109" t="s">
        <v>646</v>
      </c>
      <c r="AH109" s="109" t="s">
        <v>297</v>
      </c>
      <c r="AI109" s="109" t="s">
        <v>926</v>
      </c>
      <c r="AJ109" s="109" t="s">
        <v>927</v>
      </c>
      <c r="AK109" s="109" t="s">
        <v>646</v>
      </c>
      <c r="AL109" s="109" t="s">
        <v>297</v>
      </c>
      <c r="AM109" s="109" t="s">
        <v>366</v>
      </c>
      <c r="AN109" s="207" t="s">
        <v>928</v>
      </c>
      <c r="AO109" s="109">
        <v>35.78</v>
      </c>
      <c r="AP109" s="109">
        <v>0</v>
      </c>
      <c r="AQ109" s="109">
        <v>2</v>
      </c>
      <c r="AR109" s="109">
        <v>0</v>
      </c>
      <c r="AS109" s="109" t="s">
        <v>252</v>
      </c>
      <c r="AT109" s="109" t="s">
        <v>229</v>
      </c>
      <c r="AU109" s="110">
        <v>46267</v>
      </c>
      <c r="AV109" s="109">
        <v>134.22</v>
      </c>
      <c r="AW109" s="109" t="s">
        <v>230</v>
      </c>
      <c r="AX109" s="109" t="s">
        <v>230</v>
      </c>
      <c r="AY109" s="109">
        <v>1679.05</v>
      </c>
      <c r="AZ109" s="109" t="s">
        <v>232</v>
      </c>
      <c r="BA109" s="109" t="s">
        <v>557</v>
      </c>
      <c r="BB109" s="109">
        <v>134.22</v>
      </c>
      <c r="BC109" s="109">
        <v>118.11</v>
      </c>
      <c r="BD109" s="109">
        <v>134.22</v>
      </c>
      <c r="BE109" s="109">
        <v>16.11</v>
      </c>
      <c r="BF109" s="111">
        <v>0.12</v>
      </c>
      <c r="BG109" s="109">
        <v>0</v>
      </c>
      <c r="BH109" s="109">
        <v>35.78</v>
      </c>
      <c r="BI109" s="109">
        <v>74.22</v>
      </c>
      <c r="BJ109" s="109">
        <v>0</v>
      </c>
      <c r="BK109" s="109">
        <v>17</v>
      </c>
      <c r="BL109" s="109">
        <v>0</v>
      </c>
      <c r="BM109" s="109">
        <v>9.76</v>
      </c>
      <c r="BN109" s="109">
        <v>2.52</v>
      </c>
      <c r="BO109" s="109">
        <v>5.5</v>
      </c>
      <c r="BP109" s="109">
        <v>3.23</v>
      </c>
      <c r="BQ109" s="109">
        <v>0</v>
      </c>
      <c r="BR109" s="109">
        <v>0</v>
      </c>
      <c r="BS109" s="109">
        <v>0</v>
      </c>
      <c r="BT109" s="109">
        <v>0</v>
      </c>
      <c r="BU109" s="109">
        <v>0</v>
      </c>
      <c r="BV109" s="109">
        <v>0</v>
      </c>
      <c r="BW109" s="109">
        <v>0</v>
      </c>
      <c r="BX109" s="109">
        <v>0</v>
      </c>
      <c r="BY109" s="109">
        <v>0</v>
      </c>
      <c r="BZ109" s="109">
        <v>0</v>
      </c>
      <c r="CA109" s="109">
        <v>5.88</v>
      </c>
      <c r="CB109" s="109" t="s">
        <v>225</v>
      </c>
      <c r="CC109" s="109" t="s">
        <v>558</v>
      </c>
      <c r="CD109" s="109">
        <v>384.58</v>
      </c>
      <c r="CE109" s="109">
        <v>0</v>
      </c>
      <c r="CF109" s="109">
        <v>0</v>
      </c>
      <c r="CG109" s="109">
        <v>0</v>
      </c>
      <c r="CH109" s="109">
        <v>0</v>
      </c>
      <c r="CI109" s="109">
        <v>0</v>
      </c>
      <c r="CJ109" s="109">
        <v>0</v>
      </c>
      <c r="CK109" s="109">
        <v>0</v>
      </c>
      <c r="CL109" s="109"/>
      <c r="CM109" s="109"/>
      <c r="CN109" s="109">
        <v>0</v>
      </c>
      <c r="CO109" s="109">
        <v>0</v>
      </c>
      <c r="CP109" s="109">
        <v>0</v>
      </c>
      <c r="CQ109" s="109">
        <v>0</v>
      </c>
      <c r="CR109" s="109">
        <v>0</v>
      </c>
      <c r="CS109" s="109">
        <v>0</v>
      </c>
      <c r="CT109" s="109">
        <v>0</v>
      </c>
      <c r="CU109" s="109">
        <v>12</v>
      </c>
      <c r="CV109" s="109" t="s">
        <v>235</v>
      </c>
      <c r="CW109" s="109">
        <v>0</v>
      </c>
      <c r="CX109" s="109"/>
      <c r="CY109" s="109">
        <v>49.5</v>
      </c>
      <c r="CZ109" s="109" t="s">
        <v>235</v>
      </c>
      <c r="DA109" s="109">
        <f>CY109</f>
        <v>49.5</v>
      </c>
      <c r="DB109" s="109"/>
      <c r="DE109" s="109">
        <v>0</v>
      </c>
      <c r="DF109" s="109" t="s">
        <v>236</v>
      </c>
      <c r="DG109" s="109" t="s">
        <v>221</v>
      </c>
      <c r="DH109" s="109" t="s">
        <v>220</v>
      </c>
      <c r="DI109" s="109">
        <v>9026067267</v>
      </c>
      <c r="DJ109" s="109" t="s">
        <v>222</v>
      </c>
      <c r="DK109" s="109">
        <v>0</v>
      </c>
      <c r="DL109" s="109" t="s">
        <v>226</v>
      </c>
      <c r="DM109" s="109">
        <v>59.47</v>
      </c>
    </row>
    <row r="110" ht="13.8" hidden="1" spans="1:117">
      <c r="A110" s="109">
        <v>2</v>
      </c>
      <c r="B110" s="109" t="s">
        <v>929</v>
      </c>
      <c r="C110" s="109" t="s">
        <v>203</v>
      </c>
      <c r="D110" s="109" t="s">
        <v>225</v>
      </c>
      <c r="E110" s="109" t="s">
        <v>226</v>
      </c>
      <c r="F110" s="110">
        <v>46251</v>
      </c>
      <c r="G110" s="109" t="s">
        <v>240</v>
      </c>
      <c r="H110" s="109" t="s">
        <v>930</v>
      </c>
      <c r="I110" s="109" t="s">
        <v>216</v>
      </c>
      <c r="J110" s="109" t="s">
        <v>217</v>
      </c>
      <c r="K110" s="109" t="s">
        <v>218</v>
      </c>
      <c r="L110" s="109" t="s">
        <v>219</v>
      </c>
      <c r="M110" s="207" t="s">
        <v>242</v>
      </c>
      <c r="N110" s="109" t="s">
        <v>220</v>
      </c>
      <c r="O110" s="109" t="s">
        <v>221</v>
      </c>
      <c r="P110" s="109" t="s">
        <v>243</v>
      </c>
      <c r="Q110" s="109" t="s">
        <v>216</v>
      </c>
      <c r="R110" s="109" t="s">
        <v>217</v>
      </c>
      <c r="S110" s="109" t="s">
        <v>220</v>
      </c>
      <c r="T110" s="109" t="s">
        <v>221</v>
      </c>
      <c r="U110" s="109" t="s">
        <v>216</v>
      </c>
      <c r="V110" s="109" t="s">
        <v>217</v>
      </c>
      <c r="W110" s="109" t="s">
        <v>218</v>
      </c>
      <c r="X110" s="109" t="s">
        <v>219</v>
      </c>
      <c r="Y110" s="109" t="s">
        <v>220</v>
      </c>
      <c r="Z110" s="109" t="s">
        <v>221</v>
      </c>
      <c r="AA110" s="109" t="s">
        <v>222</v>
      </c>
      <c r="AB110" s="109" t="s">
        <v>223</v>
      </c>
      <c r="AC110" s="109" t="s">
        <v>664</v>
      </c>
      <c r="AD110" s="109" t="s">
        <v>245</v>
      </c>
      <c r="AE110" s="109">
        <v>384</v>
      </c>
      <c r="AF110" s="109" t="s">
        <v>331</v>
      </c>
      <c r="AG110" s="109" t="s">
        <v>332</v>
      </c>
      <c r="AH110" s="109" t="s">
        <v>214</v>
      </c>
      <c r="AI110" s="109" t="s">
        <v>664</v>
      </c>
      <c r="AJ110" s="109" t="s">
        <v>245</v>
      </c>
      <c r="AK110" s="109" t="s">
        <v>332</v>
      </c>
      <c r="AL110" s="109" t="s">
        <v>214</v>
      </c>
      <c r="AM110" s="109" t="s">
        <v>333</v>
      </c>
      <c r="AN110" s="207" t="s">
        <v>931</v>
      </c>
      <c r="AO110" s="109">
        <v>89.83</v>
      </c>
      <c r="AP110" s="109">
        <v>0</v>
      </c>
      <c r="AQ110" s="109">
        <v>10</v>
      </c>
      <c r="AR110" s="109">
        <v>0</v>
      </c>
      <c r="AS110" s="109" t="s">
        <v>252</v>
      </c>
      <c r="AT110" s="109" t="s">
        <v>229</v>
      </c>
      <c r="AU110" s="110">
        <v>46267</v>
      </c>
      <c r="AV110" s="109">
        <v>538.58</v>
      </c>
      <c r="AW110" s="109" t="s">
        <v>230</v>
      </c>
      <c r="AX110" s="109" t="s">
        <v>231</v>
      </c>
      <c r="AY110" s="109">
        <v>3051.99</v>
      </c>
      <c r="AZ110" s="109" t="s">
        <v>232</v>
      </c>
      <c r="BA110" s="109" t="s">
        <v>335</v>
      </c>
      <c r="BB110" s="109">
        <v>538.58</v>
      </c>
      <c r="BC110" s="109">
        <v>473.95</v>
      </c>
      <c r="BD110" s="109">
        <v>538.58</v>
      </c>
      <c r="BE110" s="109">
        <v>64.63</v>
      </c>
      <c r="BF110" s="111">
        <v>0.12</v>
      </c>
      <c r="BG110" s="109">
        <v>0</v>
      </c>
      <c r="BH110" s="109">
        <v>89.83</v>
      </c>
      <c r="BI110" s="109">
        <v>173.2</v>
      </c>
      <c r="BJ110" s="109">
        <v>0</v>
      </c>
      <c r="BK110" s="109">
        <v>17</v>
      </c>
      <c r="BL110" s="109">
        <v>0</v>
      </c>
      <c r="BM110" s="109">
        <v>9.76</v>
      </c>
      <c r="BN110" s="109">
        <v>4.58</v>
      </c>
      <c r="BO110" s="109">
        <v>5.5</v>
      </c>
      <c r="BP110" s="109">
        <v>3.23</v>
      </c>
      <c r="BQ110" s="109">
        <v>0</v>
      </c>
      <c r="BR110" s="109">
        <v>0</v>
      </c>
      <c r="BS110" s="109">
        <v>0</v>
      </c>
      <c r="BT110" s="109">
        <v>0</v>
      </c>
      <c r="BU110" s="109">
        <v>0</v>
      </c>
      <c r="BV110" s="109">
        <v>0</v>
      </c>
      <c r="BW110" s="109">
        <v>0</v>
      </c>
      <c r="BX110" s="109">
        <v>250</v>
      </c>
      <c r="BY110" s="109">
        <v>0</v>
      </c>
      <c r="BZ110" s="109">
        <v>0</v>
      </c>
      <c r="CA110" s="109">
        <v>10.68</v>
      </c>
      <c r="CB110" s="109" t="s">
        <v>225</v>
      </c>
      <c r="CC110" s="109" t="s">
        <v>336</v>
      </c>
      <c r="CD110" s="109">
        <v>404.01</v>
      </c>
      <c r="CE110" s="109">
        <v>0</v>
      </c>
      <c r="CF110" s="109">
        <v>0</v>
      </c>
      <c r="CG110" s="109">
        <v>0</v>
      </c>
      <c r="CH110" s="109">
        <v>0</v>
      </c>
      <c r="CI110" s="109">
        <v>0</v>
      </c>
      <c r="CJ110" s="109">
        <v>0</v>
      </c>
      <c r="CK110" s="109">
        <v>0</v>
      </c>
      <c r="CL110" s="109"/>
      <c r="CM110" s="109"/>
      <c r="CN110" s="109">
        <v>0</v>
      </c>
      <c r="CO110" s="109">
        <v>0</v>
      </c>
      <c r="CP110" s="109">
        <v>0</v>
      </c>
      <c r="CQ110" s="109">
        <v>0</v>
      </c>
      <c r="CR110" s="109">
        <v>0</v>
      </c>
      <c r="CS110" s="109">
        <v>0</v>
      </c>
      <c r="CT110" s="109">
        <v>0</v>
      </c>
      <c r="CU110" s="109">
        <v>13.47</v>
      </c>
      <c r="CV110" s="109" t="s">
        <v>235</v>
      </c>
      <c r="CW110" s="109">
        <v>0</v>
      </c>
      <c r="CX110" s="109"/>
      <c r="CY110" s="109">
        <v>375.43</v>
      </c>
      <c r="CZ110" s="109" t="s">
        <v>577</v>
      </c>
      <c r="DA110" s="109">
        <v>487.79</v>
      </c>
      <c r="DB110" s="109">
        <v>232784</v>
      </c>
      <c r="DE110" s="109">
        <v>0</v>
      </c>
      <c r="DF110" s="109" t="s">
        <v>236</v>
      </c>
      <c r="DG110" s="109" t="s">
        <v>221</v>
      </c>
      <c r="DH110" s="109" t="s">
        <v>220</v>
      </c>
      <c r="DI110" s="109">
        <v>9026067267</v>
      </c>
      <c r="DJ110" s="109" t="s">
        <v>222</v>
      </c>
      <c r="DK110" s="109">
        <v>0</v>
      </c>
      <c r="DL110" s="109" t="s">
        <v>226</v>
      </c>
      <c r="DM110" s="109">
        <v>64.63</v>
      </c>
    </row>
    <row r="111" ht="13.8" hidden="1" spans="1:117">
      <c r="A111" s="109">
        <v>2</v>
      </c>
      <c r="B111" s="109" t="s">
        <v>932</v>
      </c>
      <c r="C111" s="109" t="s">
        <v>203</v>
      </c>
      <c r="D111" s="109" t="s">
        <v>225</v>
      </c>
      <c r="E111" s="109" t="s">
        <v>226</v>
      </c>
      <c r="F111" s="110">
        <v>46251</v>
      </c>
      <c r="G111" s="109" t="s">
        <v>240</v>
      </c>
      <c r="H111" s="109" t="s">
        <v>933</v>
      </c>
      <c r="I111" s="109" t="s">
        <v>216</v>
      </c>
      <c r="J111" s="109" t="s">
        <v>217</v>
      </c>
      <c r="K111" s="109" t="s">
        <v>218</v>
      </c>
      <c r="L111" s="109" t="s">
        <v>219</v>
      </c>
      <c r="M111" s="207" t="s">
        <v>242</v>
      </c>
      <c r="N111" s="109" t="s">
        <v>220</v>
      </c>
      <c r="O111" s="109" t="s">
        <v>221</v>
      </c>
      <c r="P111" s="109" t="s">
        <v>243</v>
      </c>
      <c r="Q111" s="109" t="s">
        <v>216</v>
      </c>
      <c r="R111" s="109" t="s">
        <v>217</v>
      </c>
      <c r="S111" s="109" t="s">
        <v>220</v>
      </c>
      <c r="T111" s="109" t="s">
        <v>221</v>
      </c>
      <c r="U111" s="109" t="s">
        <v>216</v>
      </c>
      <c r="V111" s="109" t="s">
        <v>217</v>
      </c>
      <c r="W111" s="109" t="s">
        <v>218</v>
      </c>
      <c r="X111" s="109" t="s">
        <v>219</v>
      </c>
      <c r="Y111" s="109" t="s">
        <v>220</v>
      </c>
      <c r="Z111" s="109" t="s">
        <v>221</v>
      </c>
      <c r="AA111" s="109" t="s">
        <v>222</v>
      </c>
      <c r="AB111" s="109" t="s">
        <v>223</v>
      </c>
      <c r="AC111" s="109" t="s">
        <v>664</v>
      </c>
      <c r="AD111" s="109" t="s">
        <v>245</v>
      </c>
      <c r="AE111" s="109">
        <v>384</v>
      </c>
      <c r="AF111" s="109" t="s">
        <v>331</v>
      </c>
      <c r="AG111" s="109" t="s">
        <v>332</v>
      </c>
      <c r="AH111" s="109" t="s">
        <v>214</v>
      </c>
      <c r="AI111" s="109" t="s">
        <v>664</v>
      </c>
      <c r="AJ111" s="109" t="s">
        <v>245</v>
      </c>
      <c r="AK111" s="109" t="s">
        <v>332</v>
      </c>
      <c r="AL111" s="109" t="s">
        <v>214</v>
      </c>
      <c r="AM111" s="109" t="s">
        <v>333</v>
      </c>
      <c r="AN111" s="207" t="s">
        <v>934</v>
      </c>
      <c r="AO111" s="109">
        <v>73.05</v>
      </c>
      <c r="AP111" s="109">
        <v>0</v>
      </c>
      <c r="AQ111" s="109">
        <v>7</v>
      </c>
      <c r="AR111" s="109">
        <v>0</v>
      </c>
      <c r="AS111" s="109" t="s">
        <v>252</v>
      </c>
      <c r="AT111" s="109" t="s">
        <v>229</v>
      </c>
      <c r="AU111" s="110">
        <v>46267</v>
      </c>
      <c r="AV111" s="109">
        <v>533.24</v>
      </c>
      <c r="AW111" s="109" t="s">
        <v>230</v>
      </c>
      <c r="AX111" s="109" t="s">
        <v>230</v>
      </c>
      <c r="AY111" s="109">
        <v>2110.78</v>
      </c>
      <c r="AZ111" s="109" t="s">
        <v>232</v>
      </c>
      <c r="BA111" s="109" t="s">
        <v>335</v>
      </c>
      <c r="BB111" s="109">
        <v>533.24</v>
      </c>
      <c r="BC111" s="109">
        <v>469.25</v>
      </c>
      <c r="BD111" s="109">
        <v>533.24</v>
      </c>
      <c r="BE111" s="109">
        <v>63.99</v>
      </c>
      <c r="BF111" s="111">
        <v>0.12</v>
      </c>
      <c r="BG111" s="109">
        <v>0</v>
      </c>
      <c r="BH111" s="109">
        <v>73.05</v>
      </c>
      <c r="BI111" s="109">
        <v>173.2</v>
      </c>
      <c r="BJ111" s="109">
        <v>0</v>
      </c>
      <c r="BK111" s="109">
        <v>17</v>
      </c>
      <c r="BL111" s="109">
        <v>0</v>
      </c>
      <c r="BM111" s="109">
        <v>9.76</v>
      </c>
      <c r="BN111" s="109">
        <v>3.17</v>
      </c>
      <c r="BO111" s="109">
        <v>5.5</v>
      </c>
      <c r="BP111" s="109">
        <v>3.23</v>
      </c>
      <c r="BQ111" s="109">
        <v>0</v>
      </c>
      <c r="BR111" s="109">
        <v>0</v>
      </c>
      <c r="BS111" s="109">
        <v>0</v>
      </c>
      <c r="BT111" s="109">
        <v>0</v>
      </c>
      <c r="BU111" s="109">
        <v>0</v>
      </c>
      <c r="BV111" s="109">
        <v>0</v>
      </c>
      <c r="BW111" s="109">
        <v>0</v>
      </c>
      <c r="BX111" s="109">
        <v>250</v>
      </c>
      <c r="BY111" s="109">
        <v>0</v>
      </c>
      <c r="BZ111" s="109">
        <v>0</v>
      </c>
      <c r="CA111" s="109">
        <v>7.39</v>
      </c>
      <c r="CB111" s="109" t="s">
        <v>225</v>
      </c>
      <c r="CC111" s="109" t="s">
        <v>336</v>
      </c>
      <c r="CD111" s="109">
        <v>390.37</v>
      </c>
      <c r="CE111" s="109">
        <v>0</v>
      </c>
      <c r="CF111" s="109">
        <v>0</v>
      </c>
      <c r="CG111" s="109">
        <v>0</v>
      </c>
      <c r="CH111" s="109">
        <v>0</v>
      </c>
      <c r="CI111" s="109">
        <v>0</v>
      </c>
      <c r="CJ111" s="109">
        <v>0</v>
      </c>
      <c r="CK111" s="109">
        <v>0</v>
      </c>
      <c r="CL111" s="109"/>
      <c r="CM111" s="109"/>
      <c r="CN111" s="109">
        <v>0</v>
      </c>
      <c r="CO111" s="109">
        <v>0</v>
      </c>
      <c r="CP111" s="109">
        <v>0</v>
      </c>
      <c r="CQ111" s="109">
        <v>0</v>
      </c>
      <c r="CR111" s="109">
        <v>0</v>
      </c>
      <c r="CS111" s="109">
        <v>0</v>
      </c>
      <c r="CT111" s="109">
        <v>0</v>
      </c>
      <c r="CU111" s="109">
        <v>12</v>
      </c>
      <c r="CV111" s="109" t="s">
        <v>235</v>
      </c>
      <c r="CW111" s="109">
        <v>0</v>
      </c>
      <c r="CX111" s="109"/>
      <c r="CY111" s="109">
        <v>373.3</v>
      </c>
      <c r="CZ111" s="109" t="s">
        <v>577</v>
      </c>
      <c r="DA111" s="109">
        <v>485.75</v>
      </c>
      <c r="DB111" s="109">
        <v>232784</v>
      </c>
      <c r="DE111" s="109">
        <v>0</v>
      </c>
      <c r="DF111" s="109" t="s">
        <v>236</v>
      </c>
      <c r="DG111" s="109" t="s">
        <v>221</v>
      </c>
      <c r="DH111" s="109" t="s">
        <v>220</v>
      </c>
      <c r="DI111" s="109">
        <v>9026067267</v>
      </c>
      <c r="DJ111" s="109" t="s">
        <v>222</v>
      </c>
      <c r="DK111" s="109">
        <v>0</v>
      </c>
      <c r="DL111" s="109" t="s">
        <v>226</v>
      </c>
      <c r="DM111" s="109">
        <v>63.99</v>
      </c>
    </row>
    <row r="112" ht="13.8" hidden="1" spans="1:117">
      <c r="A112" s="109">
        <v>2</v>
      </c>
      <c r="B112" s="109" t="s">
        <v>935</v>
      </c>
      <c r="C112" s="109" t="s">
        <v>203</v>
      </c>
      <c r="D112" s="109" t="s">
        <v>225</v>
      </c>
      <c r="E112" s="109" t="s">
        <v>226</v>
      </c>
      <c r="F112" s="110">
        <v>46251</v>
      </c>
      <c r="G112" s="109" t="s">
        <v>240</v>
      </c>
      <c r="H112" s="109" t="s">
        <v>936</v>
      </c>
      <c r="I112" s="109" t="s">
        <v>216</v>
      </c>
      <c r="J112" s="109" t="s">
        <v>217</v>
      </c>
      <c r="K112" s="109" t="s">
        <v>218</v>
      </c>
      <c r="L112" s="109" t="s">
        <v>219</v>
      </c>
      <c r="M112" s="207" t="s">
        <v>242</v>
      </c>
      <c r="N112" s="109" t="s">
        <v>220</v>
      </c>
      <c r="O112" s="109" t="s">
        <v>221</v>
      </c>
      <c r="P112" s="109" t="s">
        <v>243</v>
      </c>
      <c r="Q112" s="109" t="s">
        <v>216</v>
      </c>
      <c r="R112" s="109" t="s">
        <v>217</v>
      </c>
      <c r="S112" s="109" t="s">
        <v>220</v>
      </c>
      <c r="T112" s="109" t="s">
        <v>221</v>
      </c>
      <c r="U112" s="109" t="s">
        <v>216</v>
      </c>
      <c r="V112" s="109" t="s">
        <v>217</v>
      </c>
      <c r="W112" s="109" t="s">
        <v>218</v>
      </c>
      <c r="X112" s="109" t="s">
        <v>219</v>
      </c>
      <c r="Y112" s="109" t="s">
        <v>220</v>
      </c>
      <c r="Z112" s="109" t="s">
        <v>221</v>
      </c>
      <c r="AA112" s="109" t="s">
        <v>222</v>
      </c>
      <c r="AB112" s="109" t="s">
        <v>223</v>
      </c>
      <c r="AC112" s="109" t="s">
        <v>311</v>
      </c>
      <c r="AD112" s="109" t="s">
        <v>245</v>
      </c>
      <c r="AE112" s="109" t="s">
        <v>312</v>
      </c>
      <c r="AF112" s="109" t="s">
        <v>295</v>
      </c>
      <c r="AG112" s="109" t="s">
        <v>313</v>
      </c>
      <c r="AH112" s="109" t="s">
        <v>297</v>
      </c>
      <c r="AI112" s="109" t="s">
        <v>311</v>
      </c>
      <c r="AJ112" s="109" t="s">
        <v>245</v>
      </c>
      <c r="AK112" s="109" t="s">
        <v>313</v>
      </c>
      <c r="AL112" s="109" t="s">
        <v>297</v>
      </c>
      <c r="AM112" s="109" t="s">
        <v>298</v>
      </c>
      <c r="AN112" s="207" t="s">
        <v>937</v>
      </c>
      <c r="AO112" s="109">
        <v>108.9</v>
      </c>
      <c r="AP112" s="109">
        <v>0</v>
      </c>
      <c r="AQ112" s="109">
        <v>11</v>
      </c>
      <c r="AR112" s="109">
        <v>0</v>
      </c>
      <c r="AS112" s="109" t="s">
        <v>252</v>
      </c>
      <c r="AT112" s="109" t="s">
        <v>229</v>
      </c>
      <c r="AU112" s="110">
        <v>46267</v>
      </c>
      <c r="AV112" s="109">
        <v>461.23</v>
      </c>
      <c r="AW112" s="109" t="s">
        <v>230</v>
      </c>
      <c r="AX112" s="109" t="s">
        <v>231</v>
      </c>
      <c r="AY112" s="109">
        <v>3595.99</v>
      </c>
      <c r="AZ112" s="109" t="s">
        <v>232</v>
      </c>
      <c r="BA112" s="109" t="s">
        <v>300</v>
      </c>
      <c r="BB112" s="109">
        <v>461.23</v>
      </c>
      <c r="BC112" s="109">
        <v>405.88</v>
      </c>
      <c r="BD112" s="109">
        <v>461.23</v>
      </c>
      <c r="BE112" s="109">
        <v>55.35</v>
      </c>
      <c r="BF112" s="111">
        <v>0.12</v>
      </c>
      <c r="BG112" s="109">
        <v>0</v>
      </c>
      <c r="BH112" s="109">
        <v>108.9</v>
      </c>
      <c r="BI112" s="109">
        <v>96.91</v>
      </c>
      <c r="BJ112" s="109">
        <v>0</v>
      </c>
      <c r="BK112" s="109">
        <v>17</v>
      </c>
      <c r="BL112" s="109">
        <v>0</v>
      </c>
      <c r="BM112" s="109">
        <v>9.76</v>
      </c>
      <c r="BN112" s="109">
        <v>5.39</v>
      </c>
      <c r="BO112" s="109">
        <v>11</v>
      </c>
      <c r="BP112" s="109">
        <v>3.23</v>
      </c>
      <c r="BQ112" s="109">
        <v>0</v>
      </c>
      <c r="BR112" s="109">
        <v>0</v>
      </c>
      <c r="BS112" s="109">
        <v>0</v>
      </c>
      <c r="BT112" s="109">
        <v>0</v>
      </c>
      <c r="BU112" s="109">
        <v>0</v>
      </c>
      <c r="BV112" s="109">
        <v>0</v>
      </c>
      <c r="BW112" s="109">
        <v>0</v>
      </c>
      <c r="BX112" s="109">
        <v>250</v>
      </c>
      <c r="BY112" s="109">
        <v>0</v>
      </c>
      <c r="BZ112" s="109">
        <v>0</v>
      </c>
      <c r="CA112" s="109">
        <v>12.59</v>
      </c>
      <c r="CB112" s="109" t="s">
        <v>225</v>
      </c>
      <c r="CC112" s="109" t="s">
        <v>295</v>
      </c>
      <c r="CD112" s="109">
        <v>411.89</v>
      </c>
      <c r="CE112" s="109">
        <v>0</v>
      </c>
      <c r="CF112" s="109">
        <v>0</v>
      </c>
      <c r="CG112" s="109">
        <v>0</v>
      </c>
      <c r="CH112" s="109">
        <v>0</v>
      </c>
      <c r="CI112" s="109">
        <v>0</v>
      </c>
      <c r="CJ112" s="109">
        <v>0</v>
      </c>
      <c r="CK112" s="109">
        <v>0</v>
      </c>
      <c r="CL112" s="109"/>
      <c r="CM112" s="109"/>
      <c r="CN112" s="109">
        <v>0</v>
      </c>
      <c r="CO112" s="109">
        <v>0</v>
      </c>
      <c r="CP112" s="109">
        <v>0</v>
      </c>
      <c r="CQ112" s="109">
        <v>0</v>
      </c>
      <c r="CR112" s="109">
        <v>0</v>
      </c>
      <c r="CS112" s="109">
        <v>0</v>
      </c>
      <c r="CT112" s="109">
        <v>0</v>
      </c>
      <c r="CU112" s="109">
        <v>16.34</v>
      </c>
      <c r="CV112" s="109" t="s">
        <v>235</v>
      </c>
      <c r="CW112" s="109">
        <v>0</v>
      </c>
      <c r="CX112" s="109"/>
      <c r="CY112" s="109">
        <v>19.6</v>
      </c>
      <c r="CZ112" s="109" t="s">
        <v>235</v>
      </c>
      <c r="DA112" s="109">
        <v>0</v>
      </c>
      <c r="DB112" s="109"/>
      <c r="DE112" s="109">
        <v>0</v>
      </c>
      <c r="DF112" s="109" t="s">
        <v>236</v>
      </c>
      <c r="DG112" s="109" t="s">
        <v>221</v>
      </c>
      <c r="DH112" s="109" t="s">
        <v>220</v>
      </c>
      <c r="DI112" s="109">
        <v>9026067267</v>
      </c>
      <c r="DJ112" s="109" t="s">
        <v>222</v>
      </c>
      <c r="DK112" s="109">
        <v>0</v>
      </c>
      <c r="DL112" s="109" t="s">
        <v>226</v>
      </c>
      <c r="DM112" s="109">
        <v>55.35</v>
      </c>
    </row>
    <row r="113" ht="13.8" hidden="1" spans="1:117">
      <c r="A113" s="109">
        <v>2</v>
      </c>
      <c r="B113" s="109" t="s">
        <v>938</v>
      </c>
      <c r="C113" s="109" t="s">
        <v>203</v>
      </c>
      <c r="D113" s="109" t="s">
        <v>225</v>
      </c>
      <c r="E113" s="109" t="s">
        <v>226</v>
      </c>
      <c r="F113" s="110">
        <v>46251</v>
      </c>
      <c r="G113" s="109" t="s">
        <v>240</v>
      </c>
      <c r="H113" s="109" t="s">
        <v>939</v>
      </c>
      <c r="I113" s="109" t="s">
        <v>216</v>
      </c>
      <c r="J113" s="109" t="s">
        <v>217</v>
      </c>
      <c r="K113" s="109" t="s">
        <v>218</v>
      </c>
      <c r="L113" s="109" t="s">
        <v>219</v>
      </c>
      <c r="M113" s="207" t="s">
        <v>242</v>
      </c>
      <c r="N113" s="109" t="s">
        <v>220</v>
      </c>
      <c r="O113" s="109" t="s">
        <v>221</v>
      </c>
      <c r="P113" s="109" t="s">
        <v>243</v>
      </c>
      <c r="Q113" s="109" t="s">
        <v>216</v>
      </c>
      <c r="R113" s="109" t="s">
        <v>217</v>
      </c>
      <c r="S113" s="109" t="s">
        <v>220</v>
      </c>
      <c r="T113" s="109" t="s">
        <v>221</v>
      </c>
      <c r="U113" s="109" t="s">
        <v>216</v>
      </c>
      <c r="V113" s="109" t="s">
        <v>217</v>
      </c>
      <c r="W113" s="109" t="s">
        <v>218</v>
      </c>
      <c r="X113" s="109" t="s">
        <v>219</v>
      </c>
      <c r="Y113" s="109" t="s">
        <v>220</v>
      </c>
      <c r="Z113" s="109" t="s">
        <v>221</v>
      </c>
      <c r="AA113" s="109" t="s">
        <v>222</v>
      </c>
      <c r="AB113" s="109" t="s">
        <v>223</v>
      </c>
      <c r="AC113" s="109" t="s">
        <v>645</v>
      </c>
      <c r="AD113" s="109" t="s">
        <v>416</v>
      </c>
      <c r="AE113" s="109">
        <v>134</v>
      </c>
      <c r="AF113" s="109" t="s">
        <v>364</v>
      </c>
      <c r="AG113" s="109" t="s">
        <v>646</v>
      </c>
      <c r="AH113" s="109" t="s">
        <v>297</v>
      </c>
      <c r="AI113" s="109" t="s">
        <v>645</v>
      </c>
      <c r="AJ113" s="109" t="s">
        <v>416</v>
      </c>
      <c r="AK113" s="109" t="s">
        <v>646</v>
      </c>
      <c r="AL113" s="109" t="s">
        <v>297</v>
      </c>
      <c r="AM113" s="109" t="s">
        <v>366</v>
      </c>
      <c r="AN113" s="207" t="s">
        <v>940</v>
      </c>
      <c r="AO113" s="109">
        <v>48.6</v>
      </c>
      <c r="AP113" s="109">
        <v>0</v>
      </c>
      <c r="AQ113" s="109">
        <v>5</v>
      </c>
      <c r="AR113" s="109">
        <v>0</v>
      </c>
      <c r="AS113" s="109" t="s">
        <v>252</v>
      </c>
      <c r="AT113" s="109" t="s">
        <v>229</v>
      </c>
      <c r="AU113" s="110">
        <v>46267</v>
      </c>
      <c r="AV113" s="109">
        <v>416.14</v>
      </c>
      <c r="AW113" s="109" t="s">
        <v>230</v>
      </c>
      <c r="AX113" s="109" t="s">
        <v>230</v>
      </c>
      <c r="AY113" s="109">
        <v>1212.24</v>
      </c>
      <c r="AZ113" s="109" t="s">
        <v>232</v>
      </c>
      <c r="BA113" s="109" t="s">
        <v>557</v>
      </c>
      <c r="BB113" s="109">
        <v>416.14</v>
      </c>
      <c r="BC113" s="109">
        <v>366.2</v>
      </c>
      <c r="BD113" s="109">
        <v>416.14</v>
      </c>
      <c r="BE113" s="109">
        <v>49.94</v>
      </c>
      <c r="BF113" s="111">
        <v>0.12</v>
      </c>
      <c r="BG113" s="109">
        <v>0</v>
      </c>
      <c r="BH113" s="109">
        <v>48.6</v>
      </c>
      <c r="BI113" s="109">
        <v>74.22</v>
      </c>
      <c r="BJ113" s="109">
        <v>0</v>
      </c>
      <c r="BK113" s="109">
        <v>17</v>
      </c>
      <c r="BL113" s="109">
        <v>0</v>
      </c>
      <c r="BM113" s="109">
        <v>9.76</v>
      </c>
      <c r="BN113" s="109">
        <v>2.25</v>
      </c>
      <c r="BO113" s="109">
        <v>5.5</v>
      </c>
      <c r="BP113" s="109">
        <v>3.23</v>
      </c>
      <c r="BQ113" s="109">
        <v>0</v>
      </c>
      <c r="BR113" s="109">
        <v>0</v>
      </c>
      <c r="BS113" s="109">
        <v>0</v>
      </c>
      <c r="BT113" s="109">
        <v>0</v>
      </c>
      <c r="BU113" s="109">
        <v>0</v>
      </c>
      <c r="BV113" s="109">
        <v>0</v>
      </c>
      <c r="BW113" s="109">
        <v>0</v>
      </c>
      <c r="BX113" s="109">
        <v>250</v>
      </c>
      <c r="BY113" s="109">
        <v>0</v>
      </c>
      <c r="BZ113" s="109">
        <v>0</v>
      </c>
      <c r="CA113" s="109">
        <v>4.24</v>
      </c>
      <c r="CB113" s="109" t="s">
        <v>225</v>
      </c>
      <c r="CC113" s="109" t="s">
        <v>558</v>
      </c>
      <c r="CD113" s="109">
        <v>379.86</v>
      </c>
      <c r="CE113" s="109">
        <v>0</v>
      </c>
      <c r="CF113" s="109">
        <v>0</v>
      </c>
      <c r="CG113" s="109">
        <v>0</v>
      </c>
      <c r="CH113" s="109">
        <v>0</v>
      </c>
      <c r="CI113" s="109">
        <v>0</v>
      </c>
      <c r="CJ113" s="109">
        <v>0</v>
      </c>
      <c r="CK113" s="109">
        <v>0</v>
      </c>
      <c r="CL113" s="109"/>
      <c r="CM113" s="109"/>
      <c r="CN113" s="109">
        <v>0</v>
      </c>
      <c r="CO113" s="109">
        <v>0</v>
      </c>
      <c r="CP113" s="109">
        <v>0</v>
      </c>
      <c r="CQ113" s="109">
        <v>0</v>
      </c>
      <c r="CR113" s="109">
        <v>0</v>
      </c>
      <c r="CS113" s="109">
        <v>0</v>
      </c>
      <c r="CT113" s="109">
        <v>0</v>
      </c>
      <c r="CU113" s="109">
        <v>12</v>
      </c>
      <c r="CV113" s="109" t="s">
        <v>235</v>
      </c>
      <c r="CW113" s="109">
        <v>0</v>
      </c>
      <c r="CX113" s="109"/>
      <c r="CY113" s="109">
        <v>214.5</v>
      </c>
      <c r="CZ113" s="109" t="s">
        <v>941</v>
      </c>
      <c r="DA113" s="109">
        <f>CY113</f>
        <v>214.5</v>
      </c>
      <c r="DB113" s="109"/>
      <c r="DE113" s="109">
        <v>0</v>
      </c>
      <c r="DF113" s="109" t="s">
        <v>236</v>
      </c>
      <c r="DG113" s="109" t="s">
        <v>221</v>
      </c>
      <c r="DH113" s="109" t="s">
        <v>220</v>
      </c>
      <c r="DI113" s="109">
        <v>9026067267</v>
      </c>
      <c r="DJ113" s="109" t="s">
        <v>222</v>
      </c>
      <c r="DK113" s="109">
        <v>0</v>
      </c>
      <c r="DL113" s="109" t="s">
        <v>226</v>
      </c>
      <c r="DM113" s="109">
        <v>28.16</v>
      </c>
    </row>
    <row r="114" ht="13.8" hidden="1" spans="1:117">
      <c r="A114" s="109">
        <v>2</v>
      </c>
      <c r="B114" s="109" t="s">
        <v>942</v>
      </c>
      <c r="C114" s="109" t="s">
        <v>203</v>
      </c>
      <c r="D114" s="109" t="s">
        <v>225</v>
      </c>
      <c r="E114" s="109" t="s">
        <v>226</v>
      </c>
      <c r="F114" s="110">
        <v>46251</v>
      </c>
      <c r="G114" s="109" t="s">
        <v>240</v>
      </c>
      <c r="H114" s="109" t="s">
        <v>943</v>
      </c>
      <c r="I114" s="109" t="s">
        <v>216</v>
      </c>
      <c r="J114" s="109" t="s">
        <v>217</v>
      </c>
      <c r="K114" s="109" t="s">
        <v>218</v>
      </c>
      <c r="L114" s="109" t="s">
        <v>219</v>
      </c>
      <c r="M114" s="207" t="s">
        <v>242</v>
      </c>
      <c r="N114" s="109" t="s">
        <v>220</v>
      </c>
      <c r="O114" s="109" t="s">
        <v>221</v>
      </c>
      <c r="P114" s="109" t="s">
        <v>243</v>
      </c>
      <c r="Q114" s="109" t="s">
        <v>216</v>
      </c>
      <c r="R114" s="109" t="s">
        <v>217</v>
      </c>
      <c r="S114" s="109" t="s">
        <v>220</v>
      </c>
      <c r="T114" s="109" t="s">
        <v>221</v>
      </c>
      <c r="U114" s="109" t="s">
        <v>216</v>
      </c>
      <c r="V114" s="109" t="s">
        <v>217</v>
      </c>
      <c r="W114" s="109" t="s">
        <v>218</v>
      </c>
      <c r="X114" s="109" t="s">
        <v>219</v>
      </c>
      <c r="Y114" s="109" t="s">
        <v>220</v>
      </c>
      <c r="Z114" s="109" t="s">
        <v>221</v>
      </c>
      <c r="AA114" s="109" t="s">
        <v>222</v>
      </c>
      <c r="AB114" s="109" t="s">
        <v>223</v>
      </c>
      <c r="AC114" s="109" t="s">
        <v>944</v>
      </c>
      <c r="AD114" s="109" t="s">
        <v>945</v>
      </c>
      <c r="AE114" s="109">
        <v>292</v>
      </c>
      <c r="AF114" s="109" t="s">
        <v>271</v>
      </c>
      <c r="AG114" s="109" t="s">
        <v>946</v>
      </c>
      <c r="AH114" s="109" t="s">
        <v>273</v>
      </c>
      <c r="AI114" s="109" t="s">
        <v>944</v>
      </c>
      <c r="AJ114" s="109" t="s">
        <v>945</v>
      </c>
      <c r="AK114" s="109" t="s">
        <v>946</v>
      </c>
      <c r="AL114" s="109" t="s">
        <v>273</v>
      </c>
      <c r="AM114" s="109" t="s">
        <v>274</v>
      </c>
      <c r="AN114" s="207" t="s">
        <v>947</v>
      </c>
      <c r="AO114" s="109">
        <v>733</v>
      </c>
      <c r="AP114" s="109">
        <v>0</v>
      </c>
      <c r="AQ114" s="109">
        <v>141</v>
      </c>
      <c r="AR114" s="109">
        <v>0</v>
      </c>
      <c r="AS114" s="109" t="s">
        <v>252</v>
      </c>
      <c r="AT114" s="109" t="s">
        <v>229</v>
      </c>
      <c r="AU114" s="110">
        <v>46267</v>
      </c>
      <c r="AV114" s="109">
        <v>1226.91</v>
      </c>
      <c r="AW114" s="109" t="s">
        <v>230</v>
      </c>
      <c r="AX114" s="109" t="s">
        <v>230</v>
      </c>
      <c r="AY114" s="109">
        <v>63774.51</v>
      </c>
      <c r="AZ114" s="109" t="s">
        <v>232</v>
      </c>
      <c r="BA114" s="109" t="s">
        <v>276</v>
      </c>
      <c r="BB114" s="109">
        <v>1226.91</v>
      </c>
      <c r="BC114" s="109">
        <v>1141.03</v>
      </c>
      <c r="BD114" s="109">
        <v>1226.91</v>
      </c>
      <c r="BE114" s="109">
        <v>85.88</v>
      </c>
      <c r="BF114" s="111">
        <v>0.07</v>
      </c>
      <c r="BG114" s="109">
        <v>0</v>
      </c>
      <c r="BH114" s="109">
        <v>733</v>
      </c>
      <c r="BI114" s="109">
        <v>748.17</v>
      </c>
      <c r="BJ114" s="109">
        <v>0</v>
      </c>
      <c r="BK114" s="109">
        <v>17</v>
      </c>
      <c r="BL114" s="109">
        <v>0</v>
      </c>
      <c r="BM114" s="109">
        <v>9.76</v>
      </c>
      <c r="BN114" s="109">
        <v>95.66</v>
      </c>
      <c r="BO114" s="109">
        <v>44</v>
      </c>
      <c r="BP114" s="109">
        <v>3.23</v>
      </c>
      <c r="BQ114" s="109">
        <v>0</v>
      </c>
      <c r="BR114" s="109">
        <v>0</v>
      </c>
      <c r="BS114" s="109">
        <v>0</v>
      </c>
      <c r="BT114" s="109">
        <v>0</v>
      </c>
      <c r="BU114" s="109">
        <v>0</v>
      </c>
      <c r="BV114" s="109">
        <v>0</v>
      </c>
      <c r="BW114" s="109">
        <v>0</v>
      </c>
      <c r="BX114" s="109">
        <v>0</v>
      </c>
      <c r="BY114" s="109">
        <v>0</v>
      </c>
      <c r="BZ114" s="109">
        <v>0</v>
      </c>
      <c r="CA114" s="109">
        <v>223.21</v>
      </c>
      <c r="CB114" s="109" t="s">
        <v>225</v>
      </c>
      <c r="CC114" s="109" t="s">
        <v>277</v>
      </c>
      <c r="CD114" s="109">
        <v>3149.96</v>
      </c>
      <c r="CE114" s="109">
        <v>0</v>
      </c>
      <c r="CF114" s="109">
        <v>0</v>
      </c>
      <c r="CG114" s="109">
        <v>0</v>
      </c>
      <c r="CH114" s="109">
        <v>0</v>
      </c>
      <c r="CI114" s="109">
        <v>0</v>
      </c>
      <c r="CJ114" s="109">
        <v>0</v>
      </c>
      <c r="CK114" s="109">
        <v>0</v>
      </c>
      <c r="CL114" s="109"/>
      <c r="CM114" s="109"/>
      <c r="CN114" s="109">
        <v>0</v>
      </c>
      <c r="CO114" s="109">
        <v>0</v>
      </c>
      <c r="CP114" s="109">
        <v>0</v>
      </c>
      <c r="CQ114" s="109">
        <v>0</v>
      </c>
      <c r="CR114" s="109">
        <v>0</v>
      </c>
      <c r="CS114" s="109">
        <v>0</v>
      </c>
      <c r="CT114" s="109">
        <v>0</v>
      </c>
      <c r="CU114" s="109">
        <v>109.95</v>
      </c>
      <c r="CV114" s="109" t="s">
        <v>235</v>
      </c>
      <c r="CW114" s="109">
        <v>0</v>
      </c>
      <c r="CX114" s="109"/>
      <c r="CY114" s="109">
        <v>547.69</v>
      </c>
      <c r="CZ114" s="109" t="s">
        <v>948</v>
      </c>
      <c r="DA114" s="109">
        <v>588.92</v>
      </c>
      <c r="DB114" s="207" t="s">
        <v>949</v>
      </c>
      <c r="DE114" s="109">
        <v>0</v>
      </c>
      <c r="DF114" s="109" t="s">
        <v>236</v>
      </c>
      <c r="DG114" s="109" t="s">
        <v>221</v>
      </c>
      <c r="DH114" s="109" t="s">
        <v>220</v>
      </c>
      <c r="DI114" s="109">
        <v>9026067267</v>
      </c>
      <c r="DJ114" s="109" t="s">
        <v>222</v>
      </c>
      <c r="DK114" s="109">
        <v>0</v>
      </c>
      <c r="DL114" s="109" t="s">
        <v>226</v>
      </c>
      <c r="DM114" s="109">
        <v>85.88</v>
      </c>
    </row>
    <row r="115" ht="13.8" hidden="1" spans="1:117">
      <c r="A115" s="109">
        <v>2</v>
      </c>
      <c r="B115" s="109" t="s">
        <v>950</v>
      </c>
      <c r="C115" s="109" t="s">
        <v>203</v>
      </c>
      <c r="D115" s="109" t="s">
        <v>225</v>
      </c>
      <c r="E115" s="109" t="s">
        <v>226</v>
      </c>
      <c r="F115" s="110">
        <v>46251</v>
      </c>
      <c r="G115" s="109" t="s">
        <v>240</v>
      </c>
      <c r="H115" s="109" t="s">
        <v>951</v>
      </c>
      <c r="I115" s="109" t="s">
        <v>216</v>
      </c>
      <c r="J115" s="109" t="s">
        <v>217</v>
      </c>
      <c r="K115" s="109" t="s">
        <v>218</v>
      </c>
      <c r="L115" s="109" t="s">
        <v>219</v>
      </c>
      <c r="M115" s="207" t="s">
        <v>242</v>
      </c>
      <c r="N115" s="109" t="s">
        <v>220</v>
      </c>
      <c r="O115" s="109" t="s">
        <v>221</v>
      </c>
      <c r="P115" s="109" t="s">
        <v>243</v>
      </c>
      <c r="Q115" s="109" t="s">
        <v>216</v>
      </c>
      <c r="R115" s="109" t="s">
        <v>217</v>
      </c>
      <c r="S115" s="109" t="s">
        <v>220</v>
      </c>
      <c r="T115" s="109" t="s">
        <v>221</v>
      </c>
      <c r="U115" s="109" t="s">
        <v>216</v>
      </c>
      <c r="V115" s="109" t="s">
        <v>217</v>
      </c>
      <c r="W115" s="109" t="s">
        <v>218</v>
      </c>
      <c r="X115" s="109" t="s">
        <v>219</v>
      </c>
      <c r="Y115" s="109" t="s">
        <v>220</v>
      </c>
      <c r="Z115" s="109" t="s">
        <v>221</v>
      </c>
      <c r="AA115" s="109" t="s">
        <v>222</v>
      </c>
      <c r="AB115" s="109" t="s">
        <v>223</v>
      </c>
      <c r="AC115" s="109" t="s">
        <v>244</v>
      </c>
      <c r="AD115" s="109" t="s">
        <v>245</v>
      </c>
      <c r="AE115" s="109" t="s">
        <v>246</v>
      </c>
      <c r="AF115" s="109" t="s">
        <v>247</v>
      </c>
      <c r="AG115" s="109" t="s">
        <v>248</v>
      </c>
      <c r="AH115" s="109" t="s">
        <v>249</v>
      </c>
      <c r="AI115" s="109" t="s">
        <v>244</v>
      </c>
      <c r="AJ115" s="109" t="s">
        <v>245</v>
      </c>
      <c r="AK115" s="109" t="s">
        <v>248</v>
      </c>
      <c r="AL115" s="109" t="s">
        <v>249</v>
      </c>
      <c r="AM115" s="109" t="s">
        <v>250</v>
      </c>
      <c r="AN115" s="207" t="s">
        <v>952</v>
      </c>
      <c r="AO115" s="109">
        <v>138.385</v>
      </c>
      <c r="AP115" s="109">
        <v>0</v>
      </c>
      <c r="AQ115" s="109">
        <v>10</v>
      </c>
      <c r="AR115" s="109">
        <v>0</v>
      </c>
      <c r="AS115" s="109" t="s">
        <v>252</v>
      </c>
      <c r="AT115" s="109" t="s">
        <v>229</v>
      </c>
      <c r="AU115" s="110">
        <v>46267</v>
      </c>
      <c r="AV115" s="109">
        <v>493.99</v>
      </c>
      <c r="AW115" s="109" t="s">
        <v>230</v>
      </c>
      <c r="AX115" s="109" t="s">
        <v>231</v>
      </c>
      <c r="AY115" s="109">
        <v>3831.7</v>
      </c>
      <c r="AZ115" s="109" t="s">
        <v>232</v>
      </c>
      <c r="BA115" s="109" t="s">
        <v>253</v>
      </c>
      <c r="BB115" s="109">
        <v>493.99</v>
      </c>
      <c r="BC115" s="109">
        <v>434.71</v>
      </c>
      <c r="BD115" s="109">
        <v>493.99</v>
      </c>
      <c r="BE115" s="109">
        <v>59.28</v>
      </c>
      <c r="BF115" s="111">
        <v>0.12</v>
      </c>
      <c r="BG115" s="109">
        <v>0</v>
      </c>
      <c r="BH115" s="109">
        <v>138.385</v>
      </c>
      <c r="BI115" s="109">
        <v>124.56</v>
      </c>
      <c r="BJ115" s="109">
        <v>0</v>
      </c>
      <c r="BK115" s="109">
        <v>17</v>
      </c>
      <c r="BL115" s="109">
        <v>0</v>
      </c>
      <c r="BM115" s="109">
        <v>9.76</v>
      </c>
      <c r="BN115" s="109">
        <v>5.75</v>
      </c>
      <c r="BO115" s="109">
        <v>11</v>
      </c>
      <c r="BP115" s="109">
        <v>3.23</v>
      </c>
      <c r="BQ115" s="109">
        <v>0</v>
      </c>
      <c r="BR115" s="109">
        <v>0</v>
      </c>
      <c r="BS115" s="109">
        <v>0</v>
      </c>
      <c r="BT115" s="109">
        <v>0</v>
      </c>
      <c r="BU115" s="109">
        <v>0</v>
      </c>
      <c r="BV115" s="109">
        <v>0</v>
      </c>
      <c r="BW115" s="109">
        <v>0</v>
      </c>
      <c r="BX115" s="109">
        <v>250</v>
      </c>
      <c r="BY115" s="109">
        <v>0</v>
      </c>
      <c r="BZ115" s="109">
        <v>0</v>
      </c>
      <c r="CA115" s="109">
        <v>13.41</v>
      </c>
      <c r="CB115" s="109" t="s">
        <v>225</v>
      </c>
      <c r="CC115" s="109" t="s">
        <v>247</v>
      </c>
      <c r="CD115" s="109">
        <v>415.33</v>
      </c>
      <c r="CE115" s="109">
        <v>0</v>
      </c>
      <c r="CF115" s="109">
        <v>0</v>
      </c>
      <c r="CG115" s="109">
        <v>0</v>
      </c>
      <c r="CH115" s="109">
        <v>0</v>
      </c>
      <c r="CI115" s="109">
        <v>0</v>
      </c>
      <c r="CJ115" s="109">
        <v>0</v>
      </c>
      <c r="CK115" s="109">
        <v>0</v>
      </c>
      <c r="CL115" s="109"/>
      <c r="CM115" s="109"/>
      <c r="CN115" s="109">
        <v>0</v>
      </c>
      <c r="CO115" s="109">
        <v>0</v>
      </c>
      <c r="CP115" s="109">
        <v>0</v>
      </c>
      <c r="CQ115" s="109">
        <v>0</v>
      </c>
      <c r="CR115" s="109">
        <v>0</v>
      </c>
      <c r="CS115" s="109">
        <v>0</v>
      </c>
      <c r="CT115" s="109">
        <v>0</v>
      </c>
      <c r="CU115" s="109">
        <v>20.76</v>
      </c>
      <c r="CV115" s="109" t="s">
        <v>235</v>
      </c>
      <c r="CW115" s="109">
        <v>0</v>
      </c>
      <c r="CX115" s="109"/>
      <c r="CY115" s="109">
        <v>24.91</v>
      </c>
      <c r="CZ115" s="109" t="s">
        <v>235</v>
      </c>
      <c r="DA115" s="109">
        <v>0</v>
      </c>
      <c r="DB115" s="109"/>
      <c r="DE115" s="109">
        <v>0</v>
      </c>
      <c r="DF115" s="109" t="s">
        <v>236</v>
      </c>
      <c r="DG115" s="109" t="s">
        <v>221</v>
      </c>
      <c r="DH115" s="109" t="s">
        <v>220</v>
      </c>
      <c r="DI115" s="109">
        <v>9026067267</v>
      </c>
      <c r="DJ115" s="109" t="s">
        <v>222</v>
      </c>
      <c r="DK115" s="109">
        <v>0</v>
      </c>
      <c r="DL115" s="109" t="s">
        <v>226</v>
      </c>
      <c r="DM115" s="109">
        <v>59.28</v>
      </c>
    </row>
    <row r="116" ht="13.8" hidden="1" spans="1:117">
      <c r="A116" s="109">
        <v>2</v>
      </c>
      <c r="B116" s="109" t="s">
        <v>953</v>
      </c>
      <c r="C116" s="109" t="s">
        <v>203</v>
      </c>
      <c r="D116" s="109" t="s">
        <v>225</v>
      </c>
      <c r="E116" s="109" t="s">
        <v>226</v>
      </c>
      <c r="F116" s="110">
        <v>46251</v>
      </c>
      <c r="G116" s="109" t="s">
        <v>240</v>
      </c>
      <c r="H116" s="109" t="s">
        <v>954</v>
      </c>
      <c r="I116" s="109" t="s">
        <v>216</v>
      </c>
      <c r="J116" s="109" t="s">
        <v>217</v>
      </c>
      <c r="K116" s="109" t="s">
        <v>218</v>
      </c>
      <c r="L116" s="109" t="s">
        <v>219</v>
      </c>
      <c r="M116" s="207" t="s">
        <v>242</v>
      </c>
      <c r="N116" s="109" t="s">
        <v>220</v>
      </c>
      <c r="O116" s="109" t="s">
        <v>221</v>
      </c>
      <c r="P116" s="109" t="s">
        <v>243</v>
      </c>
      <c r="Q116" s="109" t="s">
        <v>216</v>
      </c>
      <c r="R116" s="109" t="s">
        <v>217</v>
      </c>
      <c r="S116" s="109" t="s">
        <v>220</v>
      </c>
      <c r="T116" s="109" t="s">
        <v>221</v>
      </c>
      <c r="U116" s="109" t="s">
        <v>216</v>
      </c>
      <c r="V116" s="109" t="s">
        <v>217</v>
      </c>
      <c r="W116" s="109" t="s">
        <v>218</v>
      </c>
      <c r="X116" s="109" t="s">
        <v>219</v>
      </c>
      <c r="Y116" s="109" t="s">
        <v>220</v>
      </c>
      <c r="Z116" s="109" t="s">
        <v>221</v>
      </c>
      <c r="AA116" s="109" t="s">
        <v>222</v>
      </c>
      <c r="AB116" s="109" t="s">
        <v>223</v>
      </c>
      <c r="AC116" s="109" t="s">
        <v>303</v>
      </c>
      <c r="AD116" s="109" t="s">
        <v>304</v>
      </c>
      <c r="AE116" s="109" t="s">
        <v>305</v>
      </c>
      <c r="AF116" s="109" t="s">
        <v>204</v>
      </c>
      <c r="AG116" s="109" t="s">
        <v>306</v>
      </c>
      <c r="AH116" s="109" t="s">
        <v>214</v>
      </c>
      <c r="AI116" s="109" t="s">
        <v>303</v>
      </c>
      <c r="AJ116" s="109" t="s">
        <v>304</v>
      </c>
      <c r="AK116" s="109" t="s">
        <v>306</v>
      </c>
      <c r="AL116" s="109" t="s">
        <v>214</v>
      </c>
      <c r="AM116" s="109" t="s">
        <v>205</v>
      </c>
      <c r="AN116" s="207" t="s">
        <v>955</v>
      </c>
      <c r="AO116" s="109">
        <v>154.716</v>
      </c>
      <c r="AP116" s="109">
        <v>0</v>
      </c>
      <c r="AQ116" s="109">
        <v>22</v>
      </c>
      <c r="AR116" s="109">
        <v>0</v>
      </c>
      <c r="AS116" s="109" t="s">
        <v>252</v>
      </c>
      <c r="AT116" s="109" t="s">
        <v>229</v>
      </c>
      <c r="AU116" s="110">
        <v>46267</v>
      </c>
      <c r="AV116" s="109">
        <v>224.93</v>
      </c>
      <c r="AW116" s="109" t="s">
        <v>230</v>
      </c>
      <c r="AX116" s="109" t="s">
        <v>230</v>
      </c>
      <c r="AY116" s="109">
        <v>4131.61</v>
      </c>
      <c r="AZ116" s="109" t="s">
        <v>232</v>
      </c>
      <c r="BA116" s="109" t="s">
        <v>308</v>
      </c>
      <c r="BB116" s="109">
        <v>224.93</v>
      </c>
      <c r="BC116" s="109">
        <v>197.94</v>
      </c>
      <c r="BD116" s="109">
        <v>224.93</v>
      </c>
      <c r="BE116" s="109">
        <v>26.99</v>
      </c>
      <c r="BF116" s="111">
        <v>0.12</v>
      </c>
      <c r="BG116" s="109">
        <v>0</v>
      </c>
      <c r="BH116" s="109">
        <v>154.716</v>
      </c>
      <c r="BI116" s="109">
        <v>136.29</v>
      </c>
      <c r="BJ116" s="109">
        <v>0</v>
      </c>
      <c r="BK116" s="109">
        <v>17</v>
      </c>
      <c r="BL116" s="109">
        <v>0</v>
      </c>
      <c r="BM116" s="109">
        <v>9.76</v>
      </c>
      <c r="BN116" s="109">
        <v>6.2</v>
      </c>
      <c r="BO116" s="109">
        <v>11</v>
      </c>
      <c r="BP116" s="109">
        <v>3.23</v>
      </c>
      <c r="BQ116" s="109">
        <v>0</v>
      </c>
      <c r="BR116" s="109">
        <v>0</v>
      </c>
      <c r="BS116" s="109">
        <v>0</v>
      </c>
      <c r="BT116" s="109">
        <v>0</v>
      </c>
      <c r="BU116" s="109">
        <v>0</v>
      </c>
      <c r="BV116" s="109">
        <v>0</v>
      </c>
      <c r="BW116" s="109">
        <v>0</v>
      </c>
      <c r="BX116" s="109">
        <v>0</v>
      </c>
      <c r="BY116" s="109">
        <v>0</v>
      </c>
      <c r="BZ116" s="109">
        <v>0</v>
      </c>
      <c r="CA116" s="109">
        <v>14.46</v>
      </c>
      <c r="CB116" s="109" t="s">
        <v>225</v>
      </c>
      <c r="CC116" s="109" t="s">
        <v>204</v>
      </c>
      <c r="CD116" s="109">
        <v>419.65</v>
      </c>
      <c r="CE116" s="109">
        <v>0</v>
      </c>
      <c r="CF116" s="109">
        <v>0</v>
      </c>
      <c r="CG116" s="109">
        <v>0</v>
      </c>
      <c r="CH116" s="109">
        <v>0</v>
      </c>
      <c r="CI116" s="109">
        <v>0</v>
      </c>
      <c r="CJ116" s="109">
        <v>0</v>
      </c>
      <c r="CK116" s="109">
        <v>0</v>
      </c>
      <c r="CL116" s="109"/>
      <c r="CM116" s="109"/>
      <c r="CN116" s="109">
        <v>0</v>
      </c>
      <c r="CO116" s="109">
        <v>0</v>
      </c>
      <c r="CP116" s="109">
        <v>0</v>
      </c>
      <c r="CQ116" s="109">
        <v>0</v>
      </c>
      <c r="CR116" s="109">
        <v>0</v>
      </c>
      <c r="CS116" s="109">
        <v>0</v>
      </c>
      <c r="CT116" s="109">
        <v>0</v>
      </c>
      <c r="CU116" s="109">
        <v>23.21</v>
      </c>
      <c r="CV116" s="109" t="s">
        <v>235</v>
      </c>
      <c r="CW116" s="109">
        <v>0</v>
      </c>
      <c r="CX116" s="109"/>
      <c r="CY116" s="109">
        <v>21.66</v>
      </c>
      <c r="CZ116" s="109" t="s">
        <v>235</v>
      </c>
      <c r="DA116" s="109">
        <v>0</v>
      </c>
      <c r="DB116" s="109"/>
      <c r="DE116" s="109">
        <v>0</v>
      </c>
      <c r="DF116" s="109" t="s">
        <v>236</v>
      </c>
      <c r="DG116" s="109" t="s">
        <v>221</v>
      </c>
      <c r="DH116" s="109" t="s">
        <v>220</v>
      </c>
      <c r="DI116" s="109">
        <v>9026067267</v>
      </c>
      <c r="DJ116" s="109" t="s">
        <v>222</v>
      </c>
      <c r="DK116" s="109">
        <v>0</v>
      </c>
      <c r="DL116" s="109" t="s">
        <v>226</v>
      </c>
      <c r="DM116" s="109">
        <v>26.99</v>
      </c>
    </row>
    <row r="117" ht="13.8" hidden="1" spans="1:117">
      <c r="A117" s="109">
        <v>2</v>
      </c>
      <c r="B117" s="109" t="s">
        <v>956</v>
      </c>
      <c r="C117" s="109" t="s">
        <v>203</v>
      </c>
      <c r="D117" s="109" t="s">
        <v>225</v>
      </c>
      <c r="E117" s="109" t="s">
        <v>226</v>
      </c>
      <c r="F117" s="110">
        <v>46252</v>
      </c>
      <c r="G117" s="109" t="s">
        <v>797</v>
      </c>
      <c r="H117" s="109" t="s">
        <v>957</v>
      </c>
      <c r="I117" s="109" t="s">
        <v>216</v>
      </c>
      <c r="J117" s="109" t="s">
        <v>217</v>
      </c>
      <c r="K117" s="109" t="s">
        <v>218</v>
      </c>
      <c r="L117" s="109" t="s">
        <v>219</v>
      </c>
      <c r="M117" s="207" t="s">
        <v>242</v>
      </c>
      <c r="N117" s="109" t="s">
        <v>220</v>
      </c>
      <c r="O117" s="109" t="s">
        <v>221</v>
      </c>
      <c r="P117" s="109" t="s">
        <v>243</v>
      </c>
      <c r="Q117" s="109" t="s">
        <v>216</v>
      </c>
      <c r="R117" s="109" t="s">
        <v>217</v>
      </c>
      <c r="S117" s="109" t="s">
        <v>220</v>
      </c>
      <c r="T117" s="109" t="s">
        <v>221</v>
      </c>
      <c r="U117" s="109" t="s">
        <v>216</v>
      </c>
      <c r="V117" s="109" t="s">
        <v>217</v>
      </c>
      <c r="W117" s="109" t="s">
        <v>218</v>
      </c>
      <c r="X117" s="109" t="s">
        <v>219</v>
      </c>
      <c r="Y117" s="109" t="s">
        <v>220</v>
      </c>
      <c r="Z117" s="109" t="s">
        <v>221</v>
      </c>
      <c r="AA117" s="109" t="s">
        <v>222</v>
      </c>
      <c r="AB117" s="109" t="s">
        <v>223</v>
      </c>
      <c r="AC117" s="109" t="s">
        <v>958</v>
      </c>
      <c r="AD117" s="109" t="s">
        <v>959</v>
      </c>
      <c r="AE117" s="109">
        <v>130</v>
      </c>
      <c r="AF117" s="109" t="s">
        <v>364</v>
      </c>
      <c r="AG117" s="109" t="s">
        <v>960</v>
      </c>
      <c r="AH117" s="109" t="s">
        <v>297</v>
      </c>
      <c r="AI117" s="109" t="s">
        <v>958</v>
      </c>
      <c r="AJ117" s="109" t="s">
        <v>959</v>
      </c>
      <c r="AK117" s="109" t="s">
        <v>960</v>
      </c>
      <c r="AL117" s="109" t="s">
        <v>297</v>
      </c>
      <c r="AM117" s="109" t="s">
        <v>366</v>
      </c>
      <c r="AN117" s="207" t="s">
        <v>961</v>
      </c>
      <c r="AO117" s="109">
        <v>39.469</v>
      </c>
      <c r="AP117" s="109">
        <v>0.4738</v>
      </c>
      <c r="AQ117" s="109">
        <v>2</v>
      </c>
      <c r="AR117" s="109">
        <v>0</v>
      </c>
      <c r="AS117" s="109" t="s">
        <v>252</v>
      </c>
      <c r="AT117" s="109" t="s">
        <v>229</v>
      </c>
      <c r="AU117" s="110">
        <v>46267</v>
      </c>
      <c r="AV117" s="109">
        <v>529.44</v>
      </c>
      <c r="AW117" s="109" t="s">
        <v>230</v>
      </c>
      <c r="AX117" s="109" t="s">
        <v>231</v>
      </c>
      <c r="AY117" s="109">
        <v>1377.77</v>
      </c>
      <c r="AZ117" s="109" t="s">
        <v>232</v>
      </c>
      <c r="BA117" s="109" t="s">
        <v>368</v>
      </c>
      <c r="BB117" s="109">
        <v>529.44</v>
      </c>
      <c r="BC117" s="109">
        <v>465.91</v>
      </c>
      <c r="BD117" s="109">
        <v>529.44</v>
      </c>
      <c r="BE117" s="109">
        <v>63.53</v>
      </c>
      <c r="BF117" s="111">
        <v>0.12</v>
      </c>
      <c r="BG117" s="109">
        <v>0</v>
      </c>
      <c r="BH117" s="109">
        <v>142.14</v>
      </c>
      <c r="BI117" s="109">
        <v>167.85</v>
      </c>
      <c r="BJ117" s="109">
        <v>0</v>
      </c>
      <c r="BK117" s="109">
        <v>17</v>
      </c>
      <c r="BL117" s="109">
        <v>0</v>
      </c>
      <c r="BM117" s="109">
        <v>9.76</v>
      </c>
      <c r="BN117" s="109">
        <v>2.25</v>
      </c>
      <c r="BO117" s="109">
        <v>11</v>
      </c>
      <c r="BP117" s="109">
        <v>3.23</v>
      </c>
      <c r="BQ117" s="109">
        <v>0</v>
      </c>
      <c r="BR117" s="109">
        <v>0</v>
      </c>
      <c r="BS117" s="109">
        <v>0</v>
      </c>
      <c r="BT117" s="109">
        <v>0</v>
      </c>
      <c r="BU117" s="109">
        <v>0</v>
      </c>
      <c r="BV117" s="109">
        <v>0</v>
      </c>
      <c r="BW117" s="109">
        <v>0</v>
      </c>
      <c r="BX117" s="109">
        <v>250</v>
      </c>
      <c r="BY117" s="109">
        <v>0</v>
      </c>
      <c r="BZ117" s="109">
        <v>0</v>
      </c>
      <c r="CA117" s="109">
        <v>4.82</v>
      </c>
      <c r="CB117" s="109" t="s">
        <v>225</v>
      </c>
      <c r="CC117" s="109" t="s">
        <v>369</v>
      </c>
      <c r="CD117" s="109">
        <v>381.55</v>
      </c>
      <c r="CE117" s="109">
        <v>0</v>
      </c>
      <c r="CF117" s="109">
        <v>0</v>
      </c>
      <c r="CG117" s="109">
        <v>0</v>
      </c>
      <c r="CH117" s="109">
        <v>0</v>
      </c>
      <c r="CI117" s="109">
        <v>0</v>
      </c>
      <c r="CJ117" s="109">
        <v>0</v>
      </c>
      <c r="CK117" s="109">
        <v>0</v>
      </c>
      <c r="CL117" s="109"/>
      <c r="CM117" s="109"/>
      <c r="CN117" s="109">
        <v>0</v>
      </c>
      <c r="CO117" s="109">
        <v>0</v>
      </c>
      <c r="CP117" s="109">
        <v>0</v>
      </c>
      <c r="CQ117" s="109">
        <v>0</v>
      </c>
      <c r="CR117" s="109">
        <v>0</v>
      </c>
      <c r="CS117" s="109">
        <v>0</v>
      </c>
      <c r="CT117" s="109">
        <v>0</v>
      </c>
      <c r="CU117" s="109">
        <v>12</v>
      </c>
      <c r="CV117" s="109" t="s">
        <v>235</v>
      </c>
      <c r="CW117" s="109">
        <v>0</v>
      </c>
      <c r="CX117" s="109"/>
      <c r="CY117" s="109">
        <v>247.86</v>
      </c>
      <c r="CZ117" s="109" t="s">
        <v>235</v>
      </c>
      <c r="DA117" s="109">
        <f>CY117</f>
        <v>247.86</v>
      </c>
      <c r="DB117" s="109"/>
      <c r="DE117" s="109">
        <v>0</v>
      </c>
      <c r="DF117" s="109" t="s">
        <v>236</v>
      </c>
      <c r="DG117" s="109" t="s">
        <v>221</v>
      </c>
      <c r="DH117" s="109" t="s">
        <v>220</v>
      </c>
      <c r="DI117" s="109">
        <v>9026067267</v>
      </c>
      <c r="DJ117" s="109" t="s">
        <v>222</v>
      </c>
      <c r="DK117" s="109">
        <v>0</v>
      </c>
      <c r="DL117" s="109" t="s">
        <v>226</v>
      </c>
      <c r="DM117" s="109">
        <v>24.5</v>
      </c>
    </row>
    <row r="118" ht="13.8" hidden="1" spans="1:117">
      <c r="A118" s="109">
        <v>2</v>
      </c>
      <c r="B118" s="109" t="s">
        <v>962</v>
      </c>
      <c r="C118" s="109" t="s">
        <v>203</v>
      </c>
      <c r="D118" s="109" t="s">
        <v>225</v>
      </c>
      <c r="E118" s="109" t="s">
        <v>226</v>
      </c>
      <c r="F118" s="110">
        <v>46252</v>
      </c>
      <c r="G118" s="109" t="s">
        <v>797</v>
      </c>
      <c r="H118" s="109" t="s">
        <v>963</v>
      </c>
      <c r="I118" s="109" t="s">
        <v>216</v>
      </c>
      <c r="J118" s="109" t="s">
        <v>217</v>
      </c>
      <c r="K118" s="109" t="s">
        <v>218</v>
      </c>
      <c r="L118" s="109" t="s">
        <v>219</v>
      </c>
      <c r="M118" s="207" t="s">
        <v>242</v>
      </c>
      <c r="N118" s="109" t="s">
        <v>220</v>
      </c>
      <c r="O118" s="109" t="s">
        <v>221</v>
      </c>
      <c r="P118" s="109" t="s">
        <v>243</v>
      </c>
      <c r="Q118" s="109" t="s">
        <v>216</v>
      </c>
      <c r="R118" s="109" t="s">
        <v>217</v>
      </c>
      <c r="S118" s="109" t="s">
        <v>220</v>
      </c>
      <c r="T118" s="109" t="s">
        <v>221</v>
      </c>
      <c r="U118" s="109" t="s">
        <v>216</v>
      </c>
      <c r="V118" s="109" t="s">
        <v>217</v>
      </c>
      <c r="W118" s="109" t="s">
        <v>218</v>
      </c>
      <c r="X118" s="109" t="s">
        <v>219</v>
      </c>
      <c r="Y118" s="109" t="s">
        <v>220</v>
      </c>
      <c r="Z118" s="109" t="s">
        <v>221</v>
      </c>
      <c r="AA118" s="109" t="s">
        <v>222</v>
      </c>
      <c r="AB118" s="109" t="s">
        <v>223</v>
      </c>
      <c r="AC118" s="109" t="s">
        <v>964</v>
      </c>
      <c r="AD118" s="109" t="s">
        <v>965</v>
      </c>
      <c r="AE118" s="109">
        <v>130</v>
      </c>
      <c r="AF118" s="109" t="s">
        <v>364</v>
      </c>
      <c r="AG118" s="109" t="s">
        <v>960</v>
      </c>
      <c r="AH118" s="109" t="s">
        <v>297</v>
      </c>
      <c r="AI118" s="109" t="s">
        <v>964</v>
      </c>
      <c r="AJ118" s="109" t="s">
        <v>965</v>
      </c>
      <c r="AK118" s="109" t="s">
        <v>960</v>
      </c>
      <c r="AL118" s="109" t="s">
        <v>297</v>
      </c>
      <c r="AM118" s="109" t="s">
        <v>366</v>
      </c>
      <c r="AN118" s="207" t="s">
        <v>966</v>
      </c>
      <c r="AO118" s="109">
        <v>45.4</v>
      </c>
      <c r="AP118" s="109">
        <v>0</v>
      </c>
      <c r="AQ118" s="109">
        <v>4</v>
      </c>
      <c r="AR118" s="109">
        <v>0</v>
      </c>
      <c r="AS118" s="109" t="s">
        <v>252</v>
      </c>
      <c r="AT118" s="109" t="s">
        <v>229</v>
      </c>
      <c r="AU118" s="110">
        <v>46267</v>
      </c>
      <c r="AV118" s="109">
        <v>474.7</v>
      </c>
      <c r="AW118" s="109" t="s">
        <v>230</v>
      </c>
      <c r="AX118" s="109" t="s">
        <v>230</v>
      </c>
      <c r="AY118" s="109">
        <v>6854.97</v>
      </c>
      <c r="AZ118" s="109" t="s">
        <v>232</v>
      </c>
      <c r="BA118" s="109" t="s">
        <v>368</v>
      </c>
      <c r="BB118" s="109">
        <v>474.7</v>
      </c>
      <c r="BC118" s="109">
        <v>417.74</v>
      </c>
      <c r="BD118" s="109">
        <v>474.7</v>
      </c>
      <c r="BE118" s="109">
        <v>56.96</v>
      </c>
      <c r="BF118" s="111">
        <v>0.12</v>
      </c>
      <c r="BG118" s="109">
        <v>0</v>
      </c>
      <c r="BH118" s="109">
        <v>45.4</v>
      </c>
      <c r="BI118" s="109">
        <v>97.98</v>
      </c>
      <c r="BJ118" s="109">
        <v>0</v>
      </c>
      <c r="BK118" s="109">
        <v>17</v>
      </c>
      <c r="BL118" s="109">
        <v>0</v>
      </c>
      <c r="BM118" s="109">
        <v>9.76</v>
      </c>
      <c r="BN118" s="109">
        <v>10.28</v>
      </c>
      <c r="BO118" s="109">
        <v>5.5</v>
      </c>
      <c r="BP118" s="109">
        <v>3.23</v>
      </c>
      <c r="BQ118" s="109">
        <v>0</v>
      </c>
      <c r="BR118" s="109">
        <v>0</v>
      </c>
      <c r="BS118" s="109">
        <v>0</v>
      </c>
      <c r="BT118" s="109">
        <v>0</v>
      </c>
      <c r="BU118" s="109">
        <v>0</v>
      </c>
      <c r="BV118" s="109">
        <v>0</v>
      </c>
      <c r="BW118" s="109">
        <v>0</v>
      </c>
      <c r="BX118" s="109">
        <v>250</v>
      </c>
      <c r="BY118" s="109">
        <v>0</v>
      </c>
      <c r="BZ118" s="109">
        <v>0</v>
      </c>
      <c r="CA118" s="109">
        <v>23.99</v>
      </c>
      <c r="CB118" s="109" t="s">
        <v>225</v>
      </c>
      <c r="CC118" s="109" t="s">
        <v>369</v>
      </c>
      <c r="CD118" s="109">
        <v>459.14</v>
      </c>
      <c r="CE118" s="109">
        <v>0</v>
      </c>
      <c r="CF118" s="109">
        <v>0</v>
      </c>
      <c r="CG118" s="109">
        <v>0</v>
      </c>
      <c r="CH118" s="109">
        <v>0</v>
      </c>
      <c r="CI118" s="109">
        <v>0</v>
      </c>
      <c r="CJ118" s="109">
        <v>0</v>
      </c>
      <c r="CK118" s="109">
        <v>0</v>
      </c>
      <c r="CL118" s="109"/>
      <c r="CM118" s="109"/>
      <c r="CN118" s="109">
        <v>0</v>
      </c>
      <c r="CO118" s="109">
        <v>0</v>
      </c>
      <c r="CP118" s="109">
        <v>0</v>
      </c>
      <c r="CQ118" s="109">
        <v>0</v>
      </c>
      <c r="CR118" s="109">
        <v>0</v>
      </c>
      <c r="CS118" s="109">
        <v>0</v>
      </c>
      <c r="CT118" s="109">
        <v>0</v>
      </c>
      <c r="CU118" s="109">
        <v>12</v>
      </c>
      <c r="CV118" s="109" t="s">
        <v>235</v>
      </c>
      <c r="CW118" s="109">
        <v>0</v>
      </c>
      <c r="CX118" s="109"/>
      <c r="CY118" s="109">
        <v>214.5</v>
      </c>
      <c r="CZ118" s="109" t="s">
        <v>235</v>
      </c>
      <c r="DA118" s="109">
        <f>CY118</f>
        <v>214.5</v>
      </c>
      <c r="DB118" s="109"/>
      <c r="DE118" s="109">
        <v>0</v>
      </c>
      <c r="DF118" s="109" t="s">
        <v>236</v>
      </c>
      <c r="DG118" s="109" t="s">
        <v>221</v>
      </c>
      <c r="DH118" s="109" t="s">
        <v>220</v>
      </c>
      <c r="DI118" s="109">
        <v>9026067267</v>
      </c>
      <c r="DJ118" s="109" t="s">
        <v>222</v>
      </c>
      <c r="DK118" s="109">
        <v>0</v>
      </c>
      <c r="DL118" s="109" t="s">
        <v>226</v>
      </c>
      <c r="DM118" s="109">
        <v>16.11</v>
      </c>
    </row>
    <row r="119" ht="13.8" hidden="1" spans="1:117">
      <c r="A119" s="109">
        <v>2</v>
      </c>
      <c r="B119" s="109" t="s">
        <v>967</v>
      </c>
      <c r="C119" s="109" t="s">
        <v>203</v>
      </c>
      <c r="D119" s="109" t="s">
        <v>225</v>
      </c>
      <c r="E119" s="109" t="s">
        <v>226</v>
      </c>
      <c r="F119" s="110">
        <v>46252</v>
      </c>
      <c r="G119" s="109" t="s">
        <v>797</v>
      </c>
      <c r="H119" s="109" t="s">
        <v>968</v>
      </c>
      <c r="I119" s="109" t="s">
        <v>216</v>
      </c>
      <c r="J119" s="109" t="s">
        <v>217</v>
      </c>
      <c r="K119" s="109" t="s">
        <v>218</v>
      </c>
      <c r="L119" s="109" t="s">
        <v>219</v>
      </c>
      <c r="M119" s="207" t="s">
        <v>242</v>
      </c>
      <c r="N119" s="109" t="s">
        <v>220</v>
      </c>
      <c r="O119" s="109" t="s">
        <v>221</v>
      </c>
      <c r="P119" s="109" t="s">
        <v>243</v>
      </c>
      <c r="Q119" s="109" t="s">
        <v>216</v>
      </c>
      <c r="R119" s="109" t="s">
        <v>217</v>
      </c>
      <c r="S119" s="109" t="s">
        <v>220</v>
      </c>
      <c r="T119" s="109" t="s">
        <v>221</v>
      </c>
      <c r="U119" s="109" t="s">
        <v>216</v>
      </c>
      <c r="V119" s="109" t="s">
        <v>217</v>
      </c>
      <c r="W119" s="109" t="s">
        <v>218</v>
      </c>
      <c r="X119" s="109" t="s">
        <v>219</v>
      </c>
      <c r="Y119" s="109" t="s">
        <v>220</v>
      </c>
      <c r="Z119" s="109" t="s">
        <v>221</v>
      </c>
      <c r="AA119" s="109" t="s">
        <v>222</v>
      </c>
      <c r="AB119" s="109" t="s">
        <v>223</v>
      </c>
      <c r="AC119" s="109" t="s">
        <v>969</v>
      </c>
      <c r="AD119" s="109" t="s">
        <v>970</v>
      </c>
      <c r="AE119" s="109">
        <v>131</v>
      </c>
      <c r="AF119" s="109" t="s">
        <v>364</v>
      </c>
      <c r="AG119" s="109" t="s">
        <v>971</v>
      </c>
      <c r="AH119" s="109" t="s">
        <v>297</v>
      </c>
      <c r="AI119" s="109" t="s">
        <v>969</v>
      </c>
      <c r="AJ119" s="109" t="s">
        <v>970</v>
      </c>
      <c r="AK119" s="109" t="s">
        <v>971</v>
      </c>
      <c r="AL119" s="109" t="s">
        <v>297</v>
      </c>
      <c r="AM119" s="109" t="s">
        <v>366</v>
      </c>
      <c r="AN119" s="207" t="s">
        <v>972</v>
      </c>
      <c r="AO119" s="109">
        <v>54.357</v>
      </c>
      <c r="AP119" s="109">
        <v>0</v>
      </c>
      <c r="AQ119" s="109">
        <v>8</v>
      </c>
      <c r="AR119" s="109">
        <v>0</v>
      </c>
      <c r="AS119" s="109" t="s">
        <v>252</v>
      </c>
      <c r="AT119" s="109" t="s">
        <v>229</v>
      </c>
      <c r="AU119" s="110">
        <v>46267</v>
      </c>
      <c r="AV119" s="109">
        <v>207.11</v>
      </c>
      <c r="AW119" s="109" t="s">
        <v>230</v>
      </c>
      <c r="AX119" s="109" t="s">
        <v>231</v>
      </c>
      <c r="AY119" s="109">
        <v>2205.45</v>
      </c>
      <c r="AZ119" s="109" t="s">
        <v>232</v>
      </c>
      <c r="BA119" s="109" t="s">
        <v>368</v>
      </c>
      <c r="BB119" s="109">
        <v>207.11</v>
      </c>
      <c r="BC119" s="109">
        <v>182.26</v>
      </c>
      <c r="BD119" s="109">
        <v>207.11</v>
      </c>
      <c r="BE119" s="109">
        <v>24.85</v>
      </c>
      <c r="BF119" s="111">
        <v>0.12</v>
      </c>
      <c r="BG119" s="109">
        <v>0</v>
      </c>
      <c r="BH119" s="109">
        <v>54.357</v>
      </c>
      <c r="BI119" s="109">
        <v>135.74</v>
      </c>
      <c r="BJ119" s="109">
        <v>0</v>
      </c>
      <c r="BK119" s="109">
        <v>17</v>
      </c>
      <c r="BL119" s="109">
        <v>0</v>
      </c>
      <c r="BM119" s="109">
        <v>9.76</v>
      </c>
      <c r="BN119" s="109">
        <v>3.31</v>
      </c>
      <c r="BO119" s="109">
        <v>5.5</v>
      </c>
      <c r="BP119" s="109">
        <v>3.23</v>
      </c>
      <c r="BQ119" s="109">
        <v>0</v>
      </c>
      <c r="BR119" s="109">
        <v>0</v>
      </c>
      <c r="BS119" s="109">
        <v>0</v>
      </c>
      <c r="BT119" s="109">
        <v>0</v>
      </c>
      <c r="BU119" s="109">
        <v>0</v>
      </c>
      <c r="BV119" s="109">
        <v>0</v>
      </c>
      <c r="BW119" s="109">
        <v>0</v>
      </c>
      <c r="BX119" s="109">
        <v>0</v>
      </c>
      <c r="BY119" s="109">
        <v>0</v>
      </c>
      <c r="BZ119" s="109">
        <v>0</v>
      </c>
      <c r="CA119" s="109">
        <v>7.72</v>
      </c>
      <c r="CB119" s="109" t="s">
        <v>225</v>
      </c>
      <c r="CC119" s="109" t="s">
        <v>687</v>
      </c>
      <c r="CD119" s="109">
        <v>391.73</v>
      </c>
      <c r="CE119" s="109">
        <v>0</v>
      </c>
      <c r="CF119" s="109">
        <v>0</v>
      </c>
      <c r="CG119" s="109">
        <v>0</v>
      </c>
      <c r="CH119" s="109">
        <v>0</v>
      </c>
      <c r="CI119" s="109">
        <v>0</v>
      </c>
      <c r="CJ119" s="109">
        <v>0</v>
      </c>
      <c r="CK119" s="109">
        <v>0</v>
      </c>
      <c r="CL119" s="109"/>
      <c r="CM119" s="109"/>
      <c r="CN119" s="109">
        <v>0</v>
      </c>
      <c r="CO119" s="109">
        <v>0</v>
      </c>
      <c r="CP119" s="109">
        <v>0</v>
      </c>
      <c r="CQ119" s="109">
        <v>0</v>
      </c>
      <c r="CR119" s="109">
        <v>0</v>
      </c>
      <c r="CS119" s="109">
        <v>0</v>
      </c>
      <c r="CT119" s="109">
        <v>0</v>
      </c>
      <c r="CU119" s="109">
        <v>12</v>
      </c>
      <c r="CV119" s="109" t="s">
        <v>235</v>
      </c>
      <c r="CW119" s="109">
        <v>0</v>
      </c>
      <c r="CX119" s="109"/>
      <c r="CY119" s="109">
        <v>60.5</v>
      </c>
      <c r="CZ119" s="109" t="s">
        <v>235</v>
      </c>
      <c r="DA119" s="109">
        <f>CY119</f>
        <v>60.5</v>
      </c>
      <c r="DB119" s="109"/>
      <c r="DE119" s="109">
        <v>0</v>
      </c>
      <c r="DF119" s="109" t="s">
        <v>236</v>
      </c>
      <c r="DG119" s="109" t="s">
        <v>221</v>
      </c>
      <c r="DH119" s="109" t="s">
        <v>220</v>
      </c>
      <c r="DI119" s="109">
        <v>9026067267</v>
      </c>
      <c r="DJ119" s="109" t="s">
        <v>222</v>
      </c>
      <c r="DK119" s="109">
        <v>0</v>
      </c>
      <c r="DL119" s="109" t="s">
        <v>226</v>
      </c>
      <c r="DM119" s="109">
        <v>49.94</v>
      </c>
    </row>
    <row r="120" ht="13.8" hidden="1" spans="1:117">
      <c r="A120" s="109">
        <v>2</v>
      </c>
      <c r="B120" s="109" t="s">
        <v>973</v>
      </c>
      <c r="C120" s="109" t="s">
        <v>203</v>
      </c>
      <c r="D120" s="109" t="s">
        <v>225</v>
      </c>
      <c r="E120" s="109" t="s">
        <v>226</v>
      </c>
      <c r="F120" s="110">
        <v>46251</v>
      </c>
      <c r="G120" s="109" t="s">
        <v>240</v>
      </c>
      <c r="H120" s="109" t="s">
        <v>974</v>
      </c>
      <c r="I120" s="109" t="s">
        <v>216</v>
      </c>
      <c r="J120" s="109" t="s">
        <v>217</v>
      </c>
      <c r="K120" s="109" t="s">
        <v>218</v>
      </c>
      <c r="L120" s="109" t="s">
        <v>219</v>
      </c>
      <c r="M120" s="207" t="s">
        <v>242</v>
      </c>
      <c r="N120" s="109" t="s">
        <v>220</v>
      </c>
      <c r="O120" s="109" t="s">
        <v>221</v>
      </c>
      <c r="P120" s="109" t="s">
        <v>243</v>
      </c>
      <c r="Q120" s="109" t="s">
        <v>216</v>
      </c>
      <c r="R120" s="109" t="s">
        <v>217</v>
      </c>
      <c r="S120" s="109" t="s">
        <v>220</v>
      </c>
      <c r="T120" s="109" t="s">
        <v>221</v>
      </c>
      <c r="U120" s="109" t="s">
        <v>216</v>
      </c>
      <c r="V120" s="109" t="s">
        <v>217</v>
      </c>
      <c r="W120" s="109" t="s">
        <v>218</v>
      </c>
      <c r="X120" s="109" t="s">
        <v>219</v>
      </c>
      <c r="Y120" s="109" t="s">
        <v>220</v>
      </c>
      <c r="Z120" s="109" t="s">
        <v>221</v>
      </c>
      <c r="AA120" s="109" t="s">
        <v>222</v>
      </c>
      <c r="AB120" s="109" t="s">
        <v>223</v>
      </c>
      <c r="AC120" s="109" t="s">
        <v>311</v>
      </c>
      <c r="AD120" s="109" t="s">
        <v>245</v>
      </c>
      <c r="AE120" s="109" t="s">
        <v>312</v>
      </c>
      <c r="AF120" s="109" t="s">
        <v>295</v>
      </c>
      <c r="AG120" s="109" t="s">
        <v>313</v>
      </c>
      <c r="AH120" s="109" t="s">
        <v>297</v>
      </c>
      <c r="AI120" s="109" t="s">
        <v>311</v>
      </c>
      <c r="AJ120" s="109" t="s">
        <v>245</v>
      </c>
      <c r="AK120" s="109" t="s">
        <v>313</v>
      </c>
      <c r="AL120" s="109" t="s">
        <v>297</v>
      </c>
      <c r="AM120" s="109" t="s">
        <v>298</v>
      </c>
      <c r="AN120" s="207" t="s">
        <v>975</v>
      </c>
      <c r="AO120" s="109">
        <v>61.5</v>
      </c>
      <c r="AP120" s="109">
        <v>0</v>
      </c>
      <c r="AQ120" s="109">
        <v>6</v>
      </c>
      <c r="AR120" s="109">
        <v>0</v>
      </c>
      <c r="AS120" s="109" t="s">
        <v>252</v>
      </c>
      <c r="AT120" s="109" t="s">
        <v>229</v>
      </c>
      <c r="AU120" s="110">
        <v>46267</v>
      </c>
      <c r="AV120" s="109">
        <v>425.59</v>
      </c>
      <c r="AW120" s="109" t="s">
        <v>230</v>
      </c>
      <c r="AX120" s="109" t="s">
        <v>230</v>
      </c>
      <c r="AY120" s="109">
        <v>1945.06</v>
      </c>
      <c r="AZ120" s="109" t="s">
        <v>232</v>
      </c>
      <c r="BA120" s="109" t="s">
        <v>300</v>
      </c>
      <c r="BB120" s="109">
        <v>425.59</v>
      </c>
      <c r="BC120" s="109">
        <v>374.52</v>
      </c>
      <c r="BD120" s="109">
        <v>425.59</v>
      </c>
      <c r="BE120" s="109">
        <v>51.07</v>
      </c>
      <c r="BF120" s="111">
        <v>0.12</v>
      </c>
      <c r="BG120" s="109">
        <v>0</v>
      </c>
      <c r="BH120" s="109">
        <v>61.5</v>
      </c>
      <c r="BI120" s="109">
        <v>79.3</v>
      </c>
      <c r="BJ120" s="109">
        <v>0</v>
      </c>
      <c r="BK120" s="109">
        <v>17</v>
      </c>
      <c r="BL120" s="109">
        <v>0</v>
      </c>
      <c r="BM120" s="109">
        <v>9.76</v>
      </c>
      <c r="BN120" s="109">
        <v>2.92</v>
      </c>
      <c r="BO120" s="109">
        <v>5.5</v>
      </c>
      <c r="BP120" s="109">
        <v>3.23</v>
      </c>
      <c r="BQ120" s="109">
        <v>0</v>
      </c>
      <c r="BR120" s="109">
        <v>0</v>
      </c>
      <c r="BS120" s="109">
        <v>0</v>
      </c>
      <c r="BT120" s="109">
        <v>0</v>
      </c>
      <c r="BU120" s="109">
        <v>0</v>
      </c>
      <c r="BV120" s="109">
        <v>0</v>
      </c>
      <c r="BW120" s="109">
        <v>0</v>
      </c>
      <c r="BX120" s="109">
        <v>250</v>
      </c>
      <c r="BY120" s="109">
        <v>0</v>
      </c>
      <c r="BZ120" s="109">
        <v>0</v>
      </c>
      <c r="CA120" s="109">
        <v>6.81</v>
      </c>
      <c r="CB120" s="109" t="s">
        <v>225</v>
      </c>
      <c r="CC120" s="109" t="s">
        <v>295</v>
      </c>
      <c r="CD120" s="109">
        <v>387.96</v>
      </c>
      <c r="CE120" s="109">
        <v>0</v>
      </c>
      <c r="CF120" s="109">
        <v>0</v>
      </c>
      <c r="CG120" s="109">
        <v>0</v>
      </c>
      <c r="CH120" s="109">
        <v>0</v>
      </c>
      <c r="CI120" s="109">
        <v>0</v>
      </c>
      <c r="CJ120" s="109">
        <v>0</v>
      </c>
      <c r="CK120" s="109">
        <v>0</v>
      </c>
      <c r="CL120" s="109"/>
      <c r="CM120" s="109"/>
      <c r="CN120" s="109">
        <v>0</v>
      </c>
      <c r="CO120" s="109">
        <v>0</v>
      </c>
      <c r="CP120" s="109">
        <v>0</v>
      </c>
      <c r="CQ120" s="109">
        <v>0</v>
      </c>
      <c r="CR120" s="109">
        <v>0</v>
      </c>
      <c r="CS120" s="109">
        <v>0</v>
      </c>
      <c r="CT120" s="109">
        <v>0</v>
      </c>
      <c r="CU120" s="109">
        <v>12</v>
      </c>
      <c r="CV120" s="109" t="s">
        <v>235</v>
      </c>
      <c r="CW120" s="109">
        <v>0</v>
      </c>
      <c r="CX120" s="109"/>
      <c r="CY120" s="109">
        <v>18</v>
      </c>
      <c r="CZ120" s="109" t="s">
        <v>235</v>
      </c>
      <c r="DA120" s="109">
        <v>0</v>
      </c>
      <c r="DB120" s="109"/>
      <c r="DE120" s="109">
        <v>0</v>
      </c>
      <c r="DF120" s="109" t="s">
        <v>236</v>
      </c>
      <c r="DG120" s="109" t="s">
        <v>221</v>
      </c>
      <c r="DH120" s="109" t="s">
        <v>220</v>
      </c>
      <c r="DI120" s="109">
        <v>9026067267</v>
      </c>
      <c r="DJ120" s="109" t="s">
        <v>222</v>
      </c>
      <c r="DK120" s="109">
        <v>0</v>
      </c>
      <c r="DL120" s="109" t="s">
        <v>226</v>
      </c>
      <c r="DM120" s="109">
        <v>51.07</v>
      </c>
    </row>
    <row r="121" ht="13.8" hidden="1" spans="1:117">
      <c r="A121" s="109">
        <v>2</v>
      </c>
      <c r="B121" s="109" t="s">
        <v>976</v>
      </c>
      <c r="C121" s="109" t="s">
        <v>203</v>
      </c>
      <c r="D121" s="109" t="s">
        <v>225</v>
      </c>
      <c r="E121" s="109" t="s">
        <v>226</v>
      </c>
      <c r="F121" s="110">
        <v>46251</v>
      </c>
      <c r="G121" s="109" t="s">
        <v>240</v>
      </c>
      <c r="H121" s="109" t="s">
        <v>977</v>
      </c>
      <c r="I121" s="109" t="s">
        <v>216</v>
      </c>
      <c r="J121" s="109" t="s">
        <v>217</v>
      </c>
      <c r="K121" s="109" t="s">
        <v>218</v>
      </c>
      <c r="L121" s="109" t="s">
        <v>219</v>
      </c>
      <c r="M121" s="207" t="s">
        <v>242</v>
      </c>
      <c r="N121" s="109" t="s">
        <v>220</v>
      </c>
      <c r="O121" s="109" t="s">
        <v>221</v>
      </c>
      <c r="P121" s="109" t="s">
        <v>243</v>
      </c>
      <c r="Q121" s="109" t="s">
        <v>216</v>
      </c>
      <c r="R121" s="109" t="s">
        <v>217</v>
      </c>
      <c r="S121" s="109" t="s">
        <v>220</v>
      </c>
      <c r="T121" s="109" t="s">
        <v>221</v>
      </c>
      <c r="U121" s="109" t="s">
        <v>216</v>
      </c>
      <c r="V121" s="109" t="s">
        <v>217</v>
      </c>
      <c r="W121" s="109" t="s">
        <v>218</v>
      </c>
      <c r="X121" s="109" t="s">
        <v>219</v>
      </c>
      <c r="Y121" s="109" t="s">
        <v>220</v>
      </c>
      <c r="Z121" s="109" t="s">
        <v>221</v>
      </c>
      <c r="AA121" s="109" t="s">
        <v>222</v>
      </c>
      <c r="AB121" s="109" t="s">
        <v>223</v>
      </c>
      <c r="AC121" s="109" t="s">
        <v>317</v>
      </c>
      <c r="AD121" s="109" t="s">
        <v>318</v>
      </c>
      <c r="AE121" s="109" t="s">
        <v>319</v>
      </c>
      <c r="AF121" s="109" t="s">
        <v>247</v>
      </c>
      <c r="AG121" s="109" t="s">
        <v>320</v>
      </c>
      <c r="AH121" s="109" t="s">
        <v>249</v>
      </c>
      <c r="AI121" s="109" t="s">
        <v>317</v>
      </c>
      <c r="AJ121" s="109" t="s">
        <v>318</v>
      </c>
      <c r="AK121" s="109" t="s">
        <v>320</v>
      </c>
      <c r="AL121" s="109" t="s">
        <v>249</v>
      </c>
      <c r="AM121" s="109" t="s">
        <v>250</v>
      </c>
      <c r="AN121" s="207" t="s">
        <v>978</v>
      </c>
      <c r="AO121" s="109">
        <v>70.835</v>
      </c>
      <c r="AP121" s="109">
        <v>0</v>
      </c>
      <c r="AQ121" s="109">
        <v>6</v>
      </c>
      <c r="AR121" s="109">
        <v>0</v>
      </c>
      <c r="AS121" s="109" t="s">
        <v>252</v>
      </c>
      <c r="AT121" s="109" t="s">
        <v>229</v>
      </c>
      <c r="AU121" s="110">
        <v>46267</v>
      </c>
      <c r="AV121" s="109">
        <v>453.18</v>
      </c>
      <c r="AW121" s="109" t="s">
        <v>230</v>
      </c>
      <c r="AX121" s="109" t="s">
        <v>231</v>
      </c>
      <c r="AY121" s="109">
        <v>2623.05</v>
      </c>
      <c r="AZ121" s="109" t="s">
        <v>232</v>
      </c>
      <c r="BA121" s="109" t="s">
        <v>253</v>
      </c>
      <c r="BB121" s="109">
        <v>453.18</v>
      </c>
      <c r="BC121" s="109">
        <v>398.8</v>
      </c>
      <c r="BD121" s="109">
        <v>453.18</v>
      </c>
      <c r="BE121" s="109">
        <v>54.38</v>
      </c>
      <c r="BF121" s="111">
        <v>0.12</v>
      </c>
      <c r="BG121" s="109">
        <v>0</v>
      </c>
      <c r="BH121" s="109">
        <v>70.835</v>
      </c>
      <c r="BI121" s="109">
        <v>100.2</v>
      </c>
      <c r="BJ121" s="109">
        <v>0</v>
      </c>
      <c r="BK121" s="109">
        <v>17</v>
      </c>
      <c r="BL121" s="109">
        <v>0</v>
      </c>
      <c r="BM121" s="109">
        <v>9.76</v>
      </c>
      <c r="BN121" s="109">
        <v>3.93</v>
      </c>
      <c r="BO121" s="109">
        <v>5.5</v>
      </c>
      <c r="BP121" s="109">
        <v>3.23</v>
      </c>
      <c r="BQ121" s="109">
        <v>0</v>
      </c>
      <c r="BR121" s="109">
        <v>0</v>
      </c>
      <c r="BS121" s="109">
        <v>0</v>
      </c>
      <c r="BT121" s="109">
        <v>0</v>
      </c>
      <c r="BU121" s="109">
        <v>0</v>
      </c>
      <c r="BV121" s="109">
        <v>0</v>
      </c>
      <c r="BW121" s="109">
        <v>0</v>
      </c>
      <c r="BX121" s="109">
        <v>250</v>
      </c>
      <c r="BY121" s="109">
        <v>0</v>
      </c>
      <c r="BZ121" s="109">
        <v>0</v>
      </c>
      <c r="CA121" s="109">
        <v>9.18</v>
      </c>
      <c r="CB121" s="109" t="s">
        <v>225</v>
      </c>
      <c r="CC121" s="109" t="s">
        <v>247</v>
      </c>
      <c r="CD121" s="109">
        <v>397.81</v>
      </c>
      <c r="CE121" s="109">
        <v>0</v>
      </c>
      <c r="CF121" s="109">
        <v>0</v>
      </c>
      <c r="CG121" s="109">
        <v>0</v>
      </c>
      <c r="CH121" s="109">
        <v>0</v>
      </c>
      <c r="CI121" s="109">
        <v>0</v>
      </c>
      <c r="CJ121" s="109">
        <v>0</v>
      </c>
      <c r="CK121" s="109">
        <v>0</v>
      </c>
      <c r="CL121" s="109"/>
      <c r="CM121" s="109"/>
      <c r="CN121" s="109">
        <v>0</v>
      </c>
      <c r="CO121" s="109">
        <v>0</v>
      </c>
      <c r="CP121" s="109">
        <v>0</v>
      </c>
      <c r="CQ121" s="109">
        <v>0</v>
      </c>
      <c r="CR121" s="109">
        <v>0</v>
      </c>
      <c r="CS121" s="109">
        <v>0</v>
      </c>
      <c r="CT121" s="109">
        <v>0</v>
      </c>
      <c r="CU121" s="109">
        <v>12</v>
      </c>
      <c r="CV121" s="109" t="s">
        <v>235</v>
      </c>
      <c r="CW121" s="109">
        <v>0</v>
      </c>
      <c r="CX121" s="109"/>
      <c r="CY121" s="109">
        <v>18</v>
      </c>
      <c r="CZ121" s="109" t="s">
        <v>235</v>
      </c>
      <c r="DA121" s="109">
        <v>0</v>
      </c>
      <c r="DB121" s="109"/>
      <c r="DE121" s="109">
        <v>0</v>
      </c>
      <c r="DF121" s="109" t="s">
        <v>236</v>
      </c>
      <c r="DG121" s="109" t="s">
        <v>221</v>
      </c>
      <c r="DH121" s="109" t="s">
        <v>220</v>
      </c>
      <c r="DI121" s="109">
        <v>9026067267</v>
      </c>
      <c r="DJ121" s="109" t="s">
        <v>222</v>
      </c>
      <c r="DK121" s="109">
        <v>0</v>
      </c>
      <c r="DL121" s="109" t="s">
        <v>226</v>
      </c>
      <c r="DM121" s="109">
        <v>54.38</v>
      </c>
    </row>
    <row r="122" ht="13.8" hidden="1" spans="1:117">
      <c r="A122" s="109">
        <v>2</v>
      </c>
      <c r="B122" s="109" t="s">
        <v>979</v>
      </c>
      <c r="C122" s="109" t="s">
        <v>203</v>
      </c>
      <c r="D122" s="109" t="s">
        <v>225</v>
      </c>
      <c r="E122" s="109" t="s">
        <v>226</v>
      </c>
      <c r="F122" s="110">
        <v>46251</v>
      </c>
      <c r="G122" s="109" t="s">
        <v>240</v>
      </c>
      <c r="H122" s="109" t="s">
        <v>980</v>
      </c>
      <c r="I122" s="109" t="s">
        <v>216</v>
      </c>
      <c r="J122" s="109" t="s">
        <v>217</v>
      </c>
      <c r="K122" s="109" t="s">
        <v>218</v>
      </c>
      <c r="L122" s="109" t="s">
        <v>219</v>
      </c>
      <c r="M122" s="207" t="s">
        <v>242</v>
      </c>
      <c r="N122" s="109" t="s">
        <v>220</v>
      </c>
      <c r="O122" s="109" t="s">
        <v>221</v>
      </c>
      <c r="P122" s="109" t="s">
        <v>243</v>
      </c>
      <c r="Q122" s="109" t="s">
        <v>216</v>
      </c>
      <c r="R122" s="109" t="s">
        <v>217</v>
      </c>
      <c r="S122" s="109" t="s">
        <v>220</v>
      </c>
      <c r="T122" s="109" t="s">
        <v>221</v>
      </c>
      <c r="U122" s="109" t="s">
        <v>216</v>
      </c>
      <c r="V122" s="109" t="s">
        <v>217</v>
      </c>
      <c r="W122" s="109" t="s">
        <v>218</v>
      </c>
      <c r="X122" s="109" t="s">
        <v>219</v>
      </c>
      <c r="Y122" s="109" t="s">
        <v>220</v>
      </c>
      <c r="Z122" s="109" t="s">
        <v>221</v>
      </c>
      <c r="AA122" s="109" t="s">
        <v>222</v>
      </c>
      <c r="AB122" s="109" t="s">
        <v>223</v>
      </c>
      <c r="AC122" s="109" t="s">
        <v>697</v>
      </c>
      <c r="AD122" s="109" t="s">
        <v>258</v>
      </c>
      <c r="AE122" s="109" t="s">
        <v>246</v>
      </c>
      <c r="AF122" s="109" t="s">
        <v>247</v>
      </c>
      <c r="AG122" s="109" t="s">
        <v>248</v>
      </c>
      <c r="AH122" s="109" t="s">
        <v>249</v>
      </c>
      <c r="AI122" s="109" t="s">
        <v>697</v>
      </c>
      <c r="AJ122" s="109" t="s">
        <v>258</v>
      </c>
      <c r="AK122" s="109" t="s">
        <v>248</v>
      </c>
      <c r="AL122" s="109" t="s">
        <v>249</v>
      </c>
      <c r="AM122" s="109" t="s">
        <v>250</v>
      </c>
      <c r="AN122" s="207" t="s">
        <v>981</v>
      </c>
      <c r="AO122" s="109">
        <v>88.95</v>
      </c>
      <c r="AP122" s="109">
        <v>0</v>
      </c>
      <c r="AQ122" s="109">
        <v>10</v>
      </c>
      <c r="AR122" s="109">
        <v>0</v>
      </c>
      <c r="AS122" s="109" t="s">
        <v>252</v>
      </c>
      <c r="AT122" s="109" t="s">
        <v>229</v>
      </c>
      <c r="AU122" s="110">
        <v>46267</v>
      </c>
      <c r="AV122" s="109">
        <v>452.86</v>
      </c>
      <c r="AW122" s="109" t="s">
        <v>230</v>
      </c>
      <c r="AX122" s="109" t="s">
        <v>230</v>
      </c>
      <c r="AY122" s="109">
        <v>2566.32</v>
      </c>
      <c r="AZ122" s="109" t="s">
        <v>232</v>
      </c>
      <c r="BA122" s="109" t="s">
        <v>253</v>
      </c>
      <c r="BB122" s="109">
        <v>452.86</v>
      </c>
      <c r="BC122" s="109">
        <v>398.52</v>
      </c>
      <c r="BD122" s="109">
        <v>452.86</v>
      </c>
      <c r="BE122" s="109">
        <v>54.34</v>
      </c>
      <c r="BF122" s="111">
        <v>0.12</v>
      </c>
      <c r="BG122" s="109">
        <v>0</v>
      </c>
      <c r="BH122" s="109">
        <v>88.95</v>
      </c>
      <c r="BI122" s="109">
        <v>100.2</v>
      </c>
      <c r="BJ122" s="109">
        <v>0</v>
      </c>
      <c r="BK122" s="109">
        <v>17</v>
      </c>
      <c r="BL122" s="109">
        <v>0</v>
      </c>
      <c r="BM122" s="109">
        <v>9.76</v>
      </c>
      <c r="BN122" s="109">
        <v>3.85</v>
      </c>
      <c r="BO122" s="109">
        <v>5.5</v>
      </c>
      <c r="BP122" s="109">
        <v>3.23</v>
      </c>
      <c r="BQ122" s="109">
        <v>0</v>
      </c>
      <c r="BR122" s="109">
        <v>0</v>
      </c>
      <c r="BS122" s="109">
        <v>0</v>
      </c>
      <c r="BT122" s="109">
        <v>0</v>
      </c>
      <c r="BU122" s="109">
        <v>0</v>
      </c>
      <c r="BV122" s="109">
        <v>0</v>
      </c>
      <c r="BW122" s="109">
        <v>0</v>
      </c>
      <c r="BX122" s="109">
        <v>250</v>
      </c>
      <c r="BY122" s="109">
        <v>0</v>
      </c>
      <c r="BZ122" s="109">
        <v>0</v>
      </c>
      <c r="CA122" s="109">
        <v>8.98</v>
      </c>
      <c r="CB122" s="109" t="s">
        <v>225</v>
      </c>
      <c r="CC122" s="109" t="s">
        <v>247</v>
      </c>
      <c r="CD122" s="109">
        <v>396.97</v>
      </c>
      <c r="CE122" s="109">
        <v>0</v>
      </c>
      <c r="CF122" s="109">
        <v>0</v>
      </c>
      <c r="CG122" s="109">
        <v>0</v>
      </c>
      <c r="CH122" s="109">
        <v>0</v>
      </c>
      <c r="CI122" s="109">
        <v>0</v>
      </c>
      <c r="CJ122" s="109">
        <v>0</v>
      </c>
      <c r="CK122" s="109">
        <v>0</v>
      </c>
      <c r="CL122" s="109"/>
      <c r="CM122" s="109"/>
      <c r="CN122" s="109">
        <v>0</v>
      </c>
      <c r="CO122" s="109">
        <v>0</v>
      </c>
      <c r="CP122" s="109">
        <v>0</v>
      </c>
      <c r="CQ122" s="109">
        <v>0</v>
      </c>
      <c r="CR122" s="109">
        <v>0</v>
      </c>
      <c r="CS122" s="109">
        <v>0</v>
      </c>
      <c r="CT122" s="109">
        <v>0</v>
      </c>
      <c r="CU122" s="109">
        <v>13.34</v>
      </c>
      <c r="CV122" s="109" t="s">
        <v>235</v>
      </c>
      <c r="CW122" s="109">
        <v>0</v>
      </c>
      <c r="CX122" s="109"/>
      <c r="CY122" s="109">
        <v>18</v>
      </c>
      <c r="CZ122" s="109" t="s">
        <v>235</v>
      </c>
      <c r="DA122" s="109">
        <v>0</v>
      </c>
      <c r="DB122" s="109"/>
      <c r="DE122" s="109">
        <v>0</v>
      </c>
      <c r="DF122" s="109" t="s">
        <v>236</v>
      </c>
      <c r="DG122" s="109" t="s">
        <v>221</v>
      </c>
      <c r="DH122" s="109" t="s">
        <v>220</v>
      </c>
      <c r="DI122" s="109">
        <v>9026067267</v>
      </c>
      <c r="DJ122" s="109" t="s">
        <v>222</v>
      </c>
      <c r="DK122" s="109">
        <v>0</v>
      </c>
      <c r="DL122" s="109" t="s">
        <v>226</v>
      </c>
      <c r="DM122" s="109">
        <v>54.34</v>
      </c>
    </row>
    <row r="123" ht="13.8" hidden="1" spans="1:117">
      <c r="A123" s="109">
        <v>2</v>
      </c>
      <c r="B123" s="109" t="s">
        <v>982</v>
      </c>
      <c r="C123" s="109" t="s">
        <v>203</v>
      </c>
      <c r="D123" s="109" t="s">
        <v>225</v>
      </c>
      <c r="E123" s="109" t="s">
        <v>226</v>
      </c>
      <c r="F123" s="110">
        <v>46251</v>
      </c>
      <c r="G123" s="109" t="s">
        <v>240</v>
      </c>
      <c r="H123" s="109" t="s">
        <v>983</v>
      </c>
      <c r="I123" s="109" t="s">
        <v>216</v>
      </c>
      <c r="J123" s="109" t="s">
        <v>217</v>
      </c>
      <c r="K123" s="109" t="s">
        <v>218</v>
      </c>
      <c r="L123" s="109" t="s">
        <v>219</v>
      </c>
      <c r="M123" s="207" t="s">
        <v>242</v>
      </c>
      <c r="N123" s="109" t="s">
        <v>220</v>
      </c>
      <c r="O123" s="109" t="s">
        <v>221</v>
      </c>
      <c r="P123" s="109" t="s">
        <v>243</v>
      </c>
      <c r="Q123" s="109" t="s">
        <v>216</v>
      </c>
      <c r="R123" s="109" t="s">
        <v>217</v>
      </c>
      <c r="S123" s="109" t="s">
        <v>220</v>
      </c>
      <c r="T123" s="109" t="s">
        <v>221</v>
      </c>
      <c r="U123" s="109" t="s">
        <v>216</v>
      </c>
      <c r="V123" s="109" t="s">
        <v>217</v>
      </c>
      <c r="W123" s="109" t="s">
        <v>218</v>
      </c>
      <c r="X123" s="109" t="s">
        <v>219</v>
      </c>
      <c r="Y123" s="109" t="s">
        <v>220</v>
      </c>
      <c r="Z123" s="109" t="s">
        <v>221</v>
      </c>
      <c r="AA123" s="109" t="s">
        <v>222</v>
      </c>
      <c r="AB123" s="109" t="s">
        <v>223</v>
      </c>
      <c r="AC123" s="109" t="s">
        <v>657</v>
      </c>
      <c r="AD123" s="109" t="s">
        <v>658</v>
      </c>
      <c r="AE123" s="109" t="s">
        <v>659</v>
      </c>
      <c r="AF123" s="109" t="s">
        <v>247</v>
      </c>
      <c r="AG123" s="109" t="s">
        <v>660</v>
      </c>
      <c r="AH123" s="109" t="s">
        <v>249</v>
      </c>
      <c r="AI123" s="109" t="s">
        <v>657</v>
      </c>
      <c r="AJ123" s="109" t="s">
        <v>658</v>
      </c>
      <c r="AK123" s="109" t="s">
        <v>660</v>
      </c>
      <c r="AL123" s="109" t="s">
        <v>249</v>
      </c>
      <c r="AM123" s="109" t="s">
        <v>250</v>
      </c>
      <c r="AN123" s="207" t="s">
        <v>984</v>
      </c>
      <c r="AO123" s="109">
        <v>82.05</v>
      </c>
      <c r="AP123" s="109">
        <v>0</v>
      </c>
      <c r="AQ123" s="109">
        <v>8</v>
      </c>
      <c r="AR123" s="109">
        <v>0</v>
      </c>
      <c r="AS123" s="109" t="s">
        <v>252</v>
      </c>
      <c r="AT123" s="109" t="s">
        <v>229</v>
      </c>
      <c r="AU123" s="110">
        <v>46267</v>
      </c>
      <c r="AV123" s="109">
        <v>451.81</v>
      </c>
      <c r="AW123" s="109" t="s">
        <v>230</v>
      </c>
      <c r="AX123" s="109" t="s">
        <v>230</v>
      </c>
      <c r="AY123" s="109">
        <v>2378.92</v>
      </c>
      <c r="AZ123" s="109" t="s">
        <v>232</v>
      </c>
      <c r="BA123" s="109" t="s">
        <v>253</v>
      </c>
      <c r="BB123" s="109">
        <v>451.81</v>
      </c>
      <c r="BC123" s="109">
        <v>397.59</v>
      </c>
      <c r="BD123" s="109">
        <v>451.81</v>
      </c>
      <c r="BE123" s="109">
        <v>54.22</v>
      </c>
      <c r="BF123" s="111">
        <v>0.12</v>
      </c>
      <c r="BG123" s="109">
        <v>0</v>
      </c>
      <c r="BH123" s="109">
        <v>82.05</v>
      </c>
      <c r="BI123" s="109">
        <v>100.2</v>
      </c>
      <c r="BJ123" s="109">
        <v>0</v>
      </c>
      <c r="BK123" s="109">
        <v>17</v>
      </c>
      <c r="BL123" s="109">
        <v>0</v>
      </c>
      <c r="BM123" s="109">
        <v>9.76</v>
      </c>
      <c r="BN123" s="109">
        <v>3.57</v>
      </c>
      <c r="BO123" s="109">
        <v>5.5</v>
      </c>
      <c r="BP123" s="109">
        <v>3.23</v>
      </c>
      <c r="BQ123" s="109">
        <v>0</v>
      </c>
      <c r="BR123" s="109">
        <v>0</v>
      </c>
      <c r="BS123" s="109">
        <v>0</v>
      </c>
      <c r="BT123" s="109">
        <v>0</v>
      </c>
      <c r="BU123" s="109">
        <v>0</v>
      </c>
      <c r="BV123" s="109">
        <v>0</v>
      </c>
      <c r="BW123" s="109">
        <v>0</v>
      </c>
      <c r="BX123" s="109">
        <v>250</v>
      </c>
      <c r="BY123" s="109">
        <v>0</v>
      </c>
      <c r="BZ123" s="109">
        <v>0</v>
      </c>
      <c r="CA123" s="109">
        <v>8.33</v>
      </c>
      <c r="CB123" s="109" t="s">
        <v>225</v>
      </c>
      <c r="CC123" s="109" t="s">
        <v>247</v>
      </c>
      <c r="CD123" s="109">
        <v>394.25</v>
      </c>
      <c r="CE123" s="109">
        <v>0</v>
      </c>
      <c r="CF123" s="109">
        <v>0</v>
      </c>
      <c r="CG123" s="109">
        <v>0</v>
      </c>
      <c r="CH123" s="109">
        <v>0</v>
      </c>
      <c r="CI123" s="109">
        <v>0</v>
      </c>
      <c r="CJ123" s="109">
        <v>0</v>
      </c>
      <c r="CK123" s="109">
        <v>0</v>
      </c>
      <c r="CL123" s="109"/>
      <c r="CM123" s="109"/>
      <c r="CN123" s="109">
        <v>0</v>
      </c>
      <c r="CO123" s="109">
        <v>0</v>
      </c>
      <c r="CP123" s="109">
        <v>0</v>
      </c>
      <c r="CQ123" s="109">
        <v>0</v>
      </c>
      <c r="CR123" s="109">
        <v>0</v>
      </c>
      <c r="CS123" s="109">
        <v>0</v>
      </c>
      <c r="CT123" s="109">
        <v>0</v>
      </c>
      <c r="CU123" s="109">
        <v>12.31</v>
      </c>
      <c r="CV123" s="109" t="s">
        <v>235</v>
      </c>
      <c r="CW123" s="109">
        <v>0</v>
      </c>
      <c r="CX123" s="109"/>
      <c r="CY123" s="109">
        <v>18</v>
      </c>
      <c r="CZ123" s="109" t="s">
        <v>235</v>
      </c>
      <c r="DA123" s="109">
        <v>0</v>
      </c>
      <c r="DB123" s="109"/>
      <c r="DE123" s="109">
        <v>0</v>
      </c>
      <c r="DF123" s="109" t="s">
        <v>236</v>
      </c>
      <c r="DG123" s="109" t="s">
        <v>221</v>
      </c>
      <c r="DH123" s="109" t="s">
        <v>220</v>
      </c>
      <c r="DI123" s="109">
        <v>9026067267</v>
      </c>
      <c r="DJ123" s="109" t="s">
        <v>222</v>
      </c>
      <c r="DK123" s="109">
        <v>0</v>
      </c>
      <c r="DL123" s="109" t="s">
        <v>226</v>
      </c>
      <c r="DM123" s="109">
        <v>54.22</v>
      </c>
    </row>
    <row r="124" ht="13.8" hidden="1" spans="1:117">
      <c r="A124" s="109">
        <v>2</v>
      </c>
      <c r="B124" s="109" t="s">
        <v>985</v>
      </c>
      <c r="C124" s="109" t="s">
        <v>203</v>
      </c>
      <c r="D124" s="109" t="s">
        <v>225</v>
      </c>
      <c r="E124" s="109" t="s">
        <v>226</v>
      </c>
      <c r="F124" s="110">
        <v>46252</v>
      </c>
      <c r="G124" s="109" t="s">
        <v>797</v>
      </c>
      <c r="H124" s="109" t="s">
        <v>986</v>
      </c>
      <c r="I124" s="109" t="s">
        <v>216</v>
      </c>
      <c r="J124" s="109" t="s">
        <v>217</v>
      </c>
      <c r="K124" s="109" t="s">
        <v>218</v>
      </c>
      <c r="L124" s="109" t="s">
        <v>219</v>
      </c>
      <c r="M124" s="207" t="s">
        <v>242</v>
      </c>
      <c r="N124" s="109" t="s">
        <v>220</v>
      </c>
      <c r="O124" s="109" t="s">
        <v>221</v>
      </c>
      <c r="P124" s="109" t="s">
        <v>243</v>
      </c>
      <c r="Q124" s="109" t="s">
        <v>216</v>
      </c>
      <c r="R124" s="109" t="s">
        <v>217</v>
      </c>
      <c r="S124" s="109" t="s">
        <v>220</v>
      </c>
      <c r="T124" s="109" t="s">
        <v>221</v>
      </c>
      <c r="U124" s="109" t="s">
        <v>216</v>
      </c>
      <c r="V124" s="109" t="s">
        <v>217</v>
      </c>
      <c r="W124" s="109" t="s">
        <v>218</v>
      </c>
      <c r="X124" s="109" t="s">
        <v>219</v>
      </c>
      <c r="Y124" s="109" t="s">
        <v>220</v>
      </c>
      <c r="Z124" s="109" t="s">
        <v>221</v>
      </c>
      <c r="AA124" s="109" t="s">
        <v>222</v>
      </c>
      <c r="AB124" s="109" t="s">
        <v>223</v>
      </c>
      <c r="AC124" s="109" t="s">
        <v>987</v>
      </c>
      <c r="AD124" s="109" t="s">
        <v>988</v>
      </c>
      <c r="AE124" s="109">
        <v>365</v>
      </c>
      <c r="AF124" s="109" t="s">
        <v>284</v>
      </c>
      <c r="AG124" s="109" t="s">
        <v>285</v>
      </c>
      <c r="AH124" s="109" t="s">
        <v>214</v>
      </c>
      <c r="AI124" s="109" t="s">
        <v>987</v>
      </c>
      <c r="AJ124" s="109" t="s">
        <v>988</v>
      </c>
      <c r="AK124" s="109" t="s">
        <v>285</v>
      </c>
      <c r="AL124" s="109" t="s">
        <v>214</v>
      </c>
      <c r="AM124" s="109" t="s">
        <v>286</v>
      </c>
      <c r="AN124" s="207" t="s">
        <v>989</v>
      </c>
      <c r="AO124" s="109">
        <v>25</v>
      </c>
      <c r="AP124" s="109">
        <v>0.4738</v>
      </c>
      <c r="AQ124" s="109">
        <v>1</v>
      </c>
      <c r="AR124" s="109">
        <v>0</v>
      </c>
      <c r="AS124" s="109" t="s">
        <v>252</v>
      </c>
      <c r="AT124" s="109" t="s">
        <v>229</v>
      </c>
      <c r="AU124" s="110">
        <v>46267</v>
      </c>
      <c r="AV124" s="109">
        <v>217.48</v>
      </c>
      <c r="AW124" s="109" t="s">
        <v>230</v>
      </c>
      <c r="AX124" s="109" t="s">
        <v>230</v>
      </c>
      <c r="AY124" s="109">
        <v>805.75</v>
      </c>
      <c r="AZ124" s="109" t="s">
        <v>232</v>
      </c>
      <c r="BA124" s="109" t="s">
        <v>288</v>
      </c>
      <c r="BB124" s="109">
        <v>217.48</v>
      </c>
      <c r="BC124" s="109">
        <v>191.38</v>
      </c>
      <c r="BD124" s="109">
        <v>217.48</v>
      </c>
      <c r="BE124" s="109">
        <v>26.1</v>
      </c>
      <c r="BF124" s="111">
        <v>0.12</v>
      </c>
      <c r="BG124" s="109">
        <v>0</v>
      </c>
      <c r="BH124" s="109">
        <v>142.14</v>
      </c>
      <c r="BI124" s="109">
        <v>145.32</v>
      </c>
      <c r="BJ124" s="109">
        <v>0</v>
      </c>
      <c r="BK124" s="109">
        <v>17</v>
      </c>
      <c r="BL124" s="109">
        <v>0</v>
      </c>
      <c r="BM124" s="109">
        <v>9.76</v>
      </c>
      <c r="BN124" s="109">
        <v>2.25</v>
      </c>
      <c r="BO124" s="109">
        <v>11</v>
      </c>
      <c r="BP124" s="109">
        <v>3.23</v>
      </c>
      <c r="BQ124" s="109">
        <v>0</v>
      </c>
      <c r="BR124" s="109">
        <v>0</v>
      </c>
      <c r="BS124" s="109">
        <v>0</v>
      </c>
      <c r="BT124" s="109">
        <v>0</v>
      </c>
      <c r="BU124" s="109">
        <v>0</v>
      </c>
      <c r="BV124" s="109">
        <v>0</v>
      </c>
      <c r="BW124" s="109">
        <v>0</v>
      </c>
      <c r="BX124" s="109">
        <v>0</v>
      </c>
      <c r="BY124" s="109">
        <v>0</v>
      </c>
      <c r="BZ124" s="109">
        <v>0</v>
      </c>
      <c r="CA124" s="109">
        <v>2.82</v>
      </c>
      <c r="CB124" s="109" t="s">
        <v>225</v>
      </c>
      <c r="CC124" s="109" t="s">
        <v>284</v>
      </c>
      <c r="CD124" s="109">
        <v>375.81</v>
      </c>
      <c r="CE124" s="109">
        <v>0</v>
      </c>
      <c r="CF124" s="109">
        <v>0</v>
      </c>
      <c r="CG124" s="109">
        <v>0</v>
      </c>
      <c r="CH124" s="109">
        <v>0</v>
      </c>
      <c r="CI124" s="109">
        <v>0</v>
      </c>
      <c r="CJ124" s="109">
        <v>0</v>
      </c>
      <c r="CK124" s="109">
        <v>0</v>
      </c>
      <c r="CL124" s="109"/>
      <c r="CM124" s="109"/>
      <c r="CN124" s="109">
        <v>0</v>
      </c>
      <c r="CO124" s="109">
        <v>0</v>
      </c>
      <c r="CP124" s="109">
        <v>0</v>
      </c>
      <c r="CQ124" s="109">
        <v>0</v>
      </c>
      <c r="CR124" s="109">
        <v>0</v>
      </c>
      <c r="CS124" s="109">
        <v>0</v>
      </c>
      <c r="CT124" s="109">
        <v>0</v>
      </c>
      <c r="CU124" s="109">
        <v>12</v>
      </c>
      <c r="CV124" s="109" t="s">
        <v>235</v>
      </c>
      <c r="CW124" s="109">
        <v>0</v>
      </c>
      <c r="CX124" s="109"/>
      <c r="CY124" s="109">
        <v>71.07</v>
      </c>
      <c r="CZ124" s="109" t="s">
        <v>990</v>
      </c>
      <c r="DA124" s="109">
        <v>71.07</v>
      </c>
      <c r="DB124" s="207" t="s">
        <v>991</v>
      </c>
      <c r="DE124" s="109">
        <v>0</v>
      </c>
      <c r="DF124" s="109" t="s">
        <v>236</v>
      </c>
      <c r="DG124" s="109" t="s">
        <v>221</v>
      </c>
      <c r="DH124" s="109" t="s">
        <v>220</v>
      </c>
      <c r="DI124" s="109">
        <v>9026067267</v>
      </c>
      <c r="DJ124" s="109" t="s">
        <v>222</v>
      </c>
      <c r="DK124" s="109">
        <v>0</v>
      </c>
      <c r="DL124" s="109" t="s">
        <v>226</v>
      </c>
      <c r="DM124" s="109">
        <v>26.1</v>
      </c>
    </row>
    <row r="125" ht="13.8" hidden="1" spans="1:117">
      <c r="A125" s="109">
        <v>2</v>
      </c>
      <c r="B125" s="109" t="s">
        <v>992</v>
      </c>
      <c r="C125" s="109" t="s">
        <v>203</v>
      </c>
      <c r="D125" s="109" t="s">
        <v>225</v>
      </c>
      <c r="E125" s="109" t="s">
        <v>226</v>
      </c>
      <c r="F125" s="110">
        <v>46252</v>
      </c>
      <c r="G125" s="109" t="s">
        <v>797</v>
      </c>
      <c r="H125" s="109" t="s">
        <v>993</v>
      </c>
      <c r="I125" s="109" t="s">
        <v>216</v>
      </c>
      <c r="J125" s="109" t="s">
        <v>217</v>
      </c>
      <c r="K125" s="109" t="s">
        <v>218</v>
      </c>
      <c r="L125" s="109" t="s">
        <v>219</v>
      </c>
      <c r="M125" s="207" t="s">
        <v>242</v>
      </c>
      <c r="N125" s="109" t="s">
        <v>220</v>
      </c>
      <c r="O125" s="109" t="s">
        <v>221</v>
      </c>
      <c r="P125" s="109" t="s">
        <v>243</v>
      </c>
      <c r="Q125" s="109" t="s">
        <v>216</v>
      </c>
      <c r="R125" s="109" t="s">
        <v>217</v>
      </c>
      <c r="S125" s="109" t="s">
        <v>220</v>
      </c>
      <c r="T125" s="109" t="s">
        <v>221</v>
      </c>
      <c r="U125" s="109" t="s">
        <v>216</v>
      </c>
      <c r="V125" s="109" t="s">
        <v>217</v>
      </c>
      <c r="W125" s="109" t="s">
        <v>218</v>
      </c>
      <c r="X125" s="109" t="s">
        <v>219</v>
      </c>
      <c r="Y125" s="109" t="s">
        <v>220</v>
      </c>
      <c r="Z125" s="109" t="s">
        <v>221</v>
      </c>
      <c r="AA125" s="109" t="s">
        <v>222</v>
      </c>
      <c r="AB125" s="109" t="s">
        <v>223</v>
      </c>
      <c r="AC125" s="109" t="s">
        <v>994</v>
      </c>
      <c r="AD125" s="109" t="s">
        <v>995</v>
      </c>
      <c r="AE125" s="109">
        <v>368</v>
      </c>
      <c r="AF125" s="109" t="s">
        <v>284</v>
      </c>
      <c r="AG125" s="109" t="s">
        <v>996</v>
      </c>
      <c r="AH125" s="109" t="s">
        <v>214</v>
      </c>
      <c r="AI125" s="109" t="s">
        <v>994</v>
      </c>
      <c r="AJ125" s="109" t="s">
        <v>995</v>
      </c>
      <c r="AK125" s="109" t="s">
        <v>996</v>
      </c>
      <c r="AL125" s="109" t="s">
        <v>214</v>
      </c>
      <c r="AM125" s="109" t="s">
        <v>286</v>
      </c>
      <c r="AN125" s="207" t="s">
        <v>997</v>
      </c>
      <c r="AO125" s="109">
        <v>201.01</v>
      </c>
      <c r="AP125" s="109">
        <v>0</v>
      </c>
      <c r="AQ125" s="109">
        <v>24</v>
      </c>
      <c r="AR125" s="109">
        <v>0</v>
      </c>
      <c r="AS125" s="109" t="s">
        <v>252</v>
      </c>
      <c r="AT125" s="109" t="s">
        <v>229</v>
      </c>
      <c r="AU125" s="110">
        <v>46267</v>
      </c>
      <c r="AV125" s="109">
        <v>322.08</v>
      </c>
      <c r="AW125" s="109" t="s">
        <v>230</v>
      </c>
      <c r="AX125" s="109" t="s">
        <v>230</v>
      </c>
      <c r="AY125" s="109">
        <v>6287.11</v>
      </c>
      <c r="AZ125" s="109" t="s">
        <v>232</v>
      </c>
      <c r="BA125" s="109" t="s">
        <v>288</v>
      </c>
      <c r="BB125" s="109">
        <v>322.08</v>
      </c>
      <c r="BC125" s="109">
        <v>283.43</v>
      </c>
      <c r="BD125" s="109">
        <v>322.08</v>
      </c>
      <c r="BE125" s="109">
        <v>38.65</v>
      </c>
      <c r="BF125" s="111">
        <v>0.12</v>
      </c>
      <c r="BG125" s="109">
        <v>0</v>
      </c>
      <c r="BH125" s="109">
        <v>201.01</v>
      </c>
      <c r="BI125" s="109">
        <v>205.51</v>
      </c>
      <c r="BJ125" s="109">
        <v>0</v>
      </c>
      <c r="BK125" s="109">
        <v>17</v>
      </c>
      <c r="BL125" s="109">
        <v>0</v>
      </c>
      <c r="BM125" s="109">
        <v>9.76</v>
      </c>
      <c r="BN125" s="109">
        <v>9.43</v>
      </c>
      <c r="BO125" s="109">
        <v>16.5</v>
      </c>
      <c r="BP125" s="109">
        <v>3.23</v>
      </c>
      <c r="BQ125" s="109">
        <v>0</v>
      </c>
      <c r="BR125" s="109">
        <v>0</v>
      </c>
      <c r="BS125" s="109">
        <v>0</v>
      </c>
      <c r="BT125" s="109">
        <v>0</v>
      </c>
      <c r="BU125" s="109">
        <v>0</v>
      </c>
      <c r="BV125" s="109">
        <v>0</v>
      </c>
      <c r="BW125" s="109">
        <v>0</v>
      </c>
      <c r="BX125" s="109">
        <v>0</v>
      </c>
      <c r="BY125" s="109">
        <v>0</v>
      </c>
      <c r="BZ125" s="109">
        <v>0</v>
      </c>
      <c r="CA125" s="109">
        <v>22</v>
      </c>
      <c r="CB125" s="109" t="s">
        <v>225</v>
      </c>
      <c r="CC125" s="109" t="s">
        <v>284</v>
      </c>
      <c r="CD125" s="109">
        <v>454.47</v>
      </c>
      <c r="CE125" s="109">
        <v>0</v>
      </c>
      <c r="CF125" s="109">
        <v>0</v>
      </c>
      <c r="CG125" s="109">
        <v>0</v>
      </c>
      <c r="CH125" s="109">
        <v>0</v>
      </c>
      <c r="CI125" s="109">
        <v>0</v>
      </c>
      <c r="CJ125" s="109">
        <v>0</v>
      </c>
      <c r="CK125" s="109">
        <v>0</v>
      </c>
      <c r="CL125" s="109"/>
      <c r="CM125" s="109"/>
      <c r="CN125" s="109">
        <v>0</v>
      </c>
      <c r="CO125" s="109">
        <v>0</v>
      </c>
      <c r="CP125" s="109">
        <v>0</v>
      </c>
      <c r="CQ125" s="109">
        <v>0</v>
      </c>
      <c r="CR125" s="109">
        <v>0</v>
      </c>
      <c r="CS125" s="109">
        <v>0</v>
      </c>
      <c r="CT125" s="109">
        <v>0</v>
      </c>
      <c r="CU125" s="109">
        <v>30.15</v>
      </c>
      <c r="CV125" s="109" t="s">
        <v>235</v>
      </c>
      <c r="CW125" s="109">
        <v>0</v>
      </c>
      <c r="CX125" s="109"/>
      <c r="CY125" s="109">
        <v>100.51</v>
      </c>
      <c r="CZ125" s="109" t="s">
        <v>990</v>
      </c>
      <c r="DA125" s="109">
        <v>100.51</v>
      </c>
      <c r="DB125" s="207" t="s">
        <v>991</v>
      </c>
      <c r="DE125" s="109">
        <v>0</v>
      </c>
      <c r="DF125" s="109" t="s">
        <v>236</v>
      </c>
      <c r="DG125" s="109" t="s">
        <v>221</v>
      </c>
      <c r="DH125" s="109" t="s">
        <v>220</v>
      </c>
      <c r="DI125" s="109">
        <v>9026067267</v>
      </c>
      <c r="DJ125" s="109" t="s">
        <v>222</v>
      </c>
      <c r="DK125" s="109">
        <v>0</v>
      </c>
      <c r="DL125" s="109" t="s">
        <v>226</v>
      </c>
      <c r="DM125" s="109">
        <v>38.65</v>
      </c>
    </row>
    <row r="126" ht="13.8" hidden="1" spans="1:117">
      <c r="A126" s="109">
        <v>2</v>
      </c>
      <c r="B126" s="109" t="s">
        <v>998</v>
      </c>
      <c r="C126" s="109" t="s">
        <v>203</v>
      </c>
      <c r="D126" s="109" t="s">
        <v>225</v>
      </c>
      <c r="E126" s="109" t="s">
        <v>226</v>
      </c>
      <c r="F126" s="110">
        <v>46254</v>
      </c>
      <c r="G126" s="109" t="s">
        <v>240</v>
      </c>
      <c r="H126" s="109" t="s">
        <v>999</v>
      </c>
      <c r="I126" s="109" t="s">
        <v>216</v>
      </c>
      <c r="J126" s="109" t="s">
        <v>217</v>
      </c>
      <c r="K126" s="109" t="s">
        <v>218</v>
      </c>
      <c r="L126" s="109" t="s">
        <v>219</v>
      </c>
      <c r="M126" s="207" t="s">
        <v>242</v>
      </c>
      <c r="N126" s="109" t="s">
        <v>220</v>
      </c>
      <c r="O126" s="109" t="s">
        <v>221</v>
      </c>
      <c r="P126" s="109" t="s">
        <v>243</v>
      </c>
      <c r="Q126" s="109" t="s">
        <v>216</v>
      </c>
      <c r="R126" s="109" t="s">
        <v>217</v>
      </c>
      <c r="S126" s="109" t="s">
        <v>220</v>
      </c>
      <c r="T126" s="109" t="s">
        <v>221</v>
      </c>
      <c r="U126" s="109" t="s">
        <v>216</v>
      </c>
      <c r="V126" s="109" t="s">
        <v>217</v>
      </c>
      <c r="W126" s="109" t="s">
        <v>218</v>
      </c>
      <c r="X126" s="109" t="s">
        <v>219</v>
      </c>
      <c r="Y126" s="109" t="s">
        <v>220</v>
      </c>
      <c r="Z126" s="109" t="s">
        <v>221</v>
      </c>
      <c r="AA126" s="109" t="s">
        <v>222</v>
      </c>
      <c r="AB126" s="109" t="s">
        <v>223</v>
      </c>
      <c r="AC126" s="109" t="s">
        <v>1000</v>
      </c>
      <c r="AD126" s="109" t="s">
        <v>1001</v>
      </c>
      <c r="AE126" s="109">
        <v>131</v>
      </c>
      <c r="AF126" s="109" t="s">
        <v>364</v>
      </c>
      <c r="AG126" s="109" t="s">
        <v>971</v>
      </c>
      <c r="AH126" s="109" t="s">
        <v>297</v>
      </c>
      <c r="AI126" s="109" t="s">
        <v>1000</v>
      </c>
      <c r="AJ126" s="109" t="s">
        <v>1001</v>
      </c>
      <c r="AK126" s="109" t="s">
        <v>971</v>
      </c>
      <c r="AL126" s="109" t="s">
        <v>297</v>
      </c>
      <c r="AM126" s="109" t="s">
        <v>366</v>
      </c>
      <c r="AN126" s="207" t="s">
        <v>1002</v>
      </c>
      <c r="AO126" s="109">
        <v>48.235</v>
      </c>
      <c r="AP126" s="109">
        <v>0</v>
      </c>
      <c r="AQ126" s="109">
        <v>5</v>
      </c>
      <c r="AR126" s="109">
        <v>0</v>
      </c>
      <c r="AS126" s="109" t="s">
        <v>252</v>
      </c>
      <c r="AT126" s="109" t="s">
        <v>229</v>
      </c>
      <c r="AU126" s="110">
        <v>46267</v>
      </c>
      <c r="AV126" s="109">
        <v>160.18</v>
      </c>
      <c r="AW126" s="109" t="s">
        <v>230</v>
      </c>
      <c r="AX126" s="109" t="s">
        <v>230</v>
      </c>
      <c r="AY126" s="109">
        <v>1497.2</v>
      </c>
      <c r="AZ126" s="109" t="s">
        <v>232</v>
      </c>
      <c r="BA126" s="109" t="s">
        <v>368</v>
      </c>
      <c r="BB126" s="109">
        <v>160.18</v>
      </c>
      <c r="BC126" s="109">
        <v>140.96</v>
      </c>
      <c r="BD126" s="109">
        <v>160.18</v>
      </c>
      <c r="BE126" s="109">
        <v>19.22</v>
      </c>
      <c r="BF126" s="111">
        <v>0.12</v>
      </c>
      <c r="BG126" s="109">
        <v>0</v>
      </c>
      <c r="BH126" s="109">
        <v>48.235</v>
      </c>
      <c r="BI126" s="109">
        <v>97.98</v>
      </c>
      <c r="BJ126" s="109">
        <v>0</v>
      </c>
      <c r="BK126" s="109">
        <v>17</v>
      </c>
      <c r="BL126" s="109">
        <v>0</v>
      </c>
      <c r="BM126" s="109">
        <v>9.76</v>
      </c>
      <c r="BN126" s="109">
        <v>2.25</v>
      </c>
      <c r="BO126" s="109">
        <v>5.5</v>
      </c>
      <c r="BP126" s="109">
        <v>3.23</v>
      </c>
      <c r="BQ126" s="109">
        <v>0</v>
      </c>
      <c r="BR126" s="109">
        <v>0</v>
      </c>
      <c r="BS126" s="109">
        <v>0</v>
      </c>
      <c r="BT126" s="109">
        <v>0</v>
      </c>
      <c r="BU126" s="109">
        <v>0</v>
      </c>
      <c r="BV126" s="109">
        <v>0</v>
      </c>
      <c r="BW126" s="109">
        <v>0</v>
      </c>
      <c r="BX126" s="109">
        <v>0</v>
      </c>
      <c r="BY126" s="109">
        <v>0</v>
      </c>
      <c r="BZ126" s="109">
        <v>0</v>
      </c>
      <c r="CA126" s="109">
        <v>5.24</v>
      </c>
      <c r="CB126" s="109" t="s">
        <v>225</v>
      </c>
      <c r="CC126" s="109" t="s">
        <v>687</v>
      </c>
      <c r="CD126" s="109">
        <v>382.75</v>
      </c>
      <c r="CE126" s="109">
        <v>0</v>
      </c>
      <c r="CF126" s="109">
        <v>0</v>
      </c>
      <c r="CG126" s="109">
        <v>0</v>
      </c>
      <c r="CH126" s="109">
        <v>0</v>
      </c>
      <c r="CI126" s="109">
        <v>0</v>
      </c>
      <c r="CJ126" s="109">
        <v>0</v>
      </c>
      <c r="CK126" s="109">
        <v>0</v>
      </c>
      <c r="CL126" s="109"/>
      <c r="CM126" s="109"/>
      <c r="CN126" s="109">
        <v>0</v>
      </c>
      <c r="CO126" s="109">
        <v>0</v>
      </c>
      <c r="CP126" s="109">
        <v>0</v>
      </c>
      <c r="CQ126" s="109">
        <v>0</v>
      </c>
      <c r="CR126" s="109">
        <v>0</v>
      </c>
      <c r="CS126" s="109">
        <v>0</v>
      </c>
      <c r="CT126" s="109">
        <v>0</v>
      </c>
      <c r="CU126" s="109">
        <v>12</v>
      </c>
      <c r="CV126" s="109" t="s">
        <v>235</v>
      </c>
      <c r="CW126" s="109">
        <v>0</v>
      </c>
      <c r="CX126" s="109"/>
      <c r="CY126" s="109">
        <v>49.5</v>
      </c>
      <c r="CZ126" s="109" t="s">
        <v>235</v>
      </c>
      <c r="DA126" s="109">
        <f>CY126</f>
        <v>49.5</v>
      </c>
      <c r="DB126" s="109"/>
      <c r="DE126" s="109">
        <v>0</v>
      </c>
      <c r="DF126" s="109" t="s">
        <v>236</v>
      </c>
      <c r="DG126" s="109" t="s">
        <v>221</v>
      </c>
      <c r="DH126" s="109" t="s">
        <v>220</v>
      </c>
      <c r="DI126" s="109">
        <v>9026067267</v>
      </c>
      <c r="DJ126" s="109" t="s">
        <v>222</v>
      </c>
      <c r="DK126" s="109">
        <v>0</v>
      </c>
      <c r="DL126" s="109" t="s">
        <v>226</v>
      </c>
      <c r="DM126" s="109">
        <v>63.53</v>
      </c>
    </row>
    <row r="127" ht="13.8" hidden="1" spans="1:117">
      <c r="A127" s="109">
        <v>2</v>
      </c>
      <c r="B127" s="109" t="s">
        <v>1003</v>
      </c>
      <c r="C127" s="109" t="s">
        <v>203</v>
      </c>
      <c r="D127" s="109" t="s">
        <v>225</v>
      </c>
      <c r="E127" s="109" t="s">
        <v>226</v>
      </c>
      <c r="F127" s="110">
        <v>46252</v>
      </c>
      <c r="G127" s="109" t="s">
        <v>797</v>
      </c>
      <c r="H127" s="109" t="s">
        <v>1004</v>
      </c>
      <c r="I127" s="109" t="s">
        <v>216</v>
      </c>
      <c r="J127" s="109" t="s">
        <v>217</v>
      </c>
      <c r="K127" s="109" t="s">
        <v>218</v>
      </c>
      <c r="L127" s="109" t="s">
        <v>219</v>
      </c>
      <c r="M127" s="207" t="s">
        <v>242</v>
      </c>
      <c r="N127" s="109" t="s">
        <v>220</v>
      </c>
      <c r="O127" s="109" t="s">
        <v>221</v>
      </c>
      <c r="P127" s="109" t="s">
        <v>243</v>
      </c>
      <c r="Q127" s="109" t="s">
        <v>216</v>
      </c>
      <c r="R127" s="109" t="s">
        <v>217</v>
      </c>
      <c r="S127" s="109" t="s">
        <v>220</v>
      </c>
      <c r="T127" s="109" t="s">
        <v>221</v>
      </c>
      <c r="U127" s="109" t="s">
        <v>216</v>
      </c>
      <c r="V127" s="109" t="s">
        <v>217</v>
      </c>
      <c r="W127" s="109" t="s">
        <v>218</v>
      </c>
      <c r="X127" s="109" t="s">
        <v>219</v>
      </c>
      <c r="Y127" s="109" t="s">
        <v>220</v>
      </c>
      <c r="Z127" s="109" t="s">
        <v>221</v>
      </c>
      <c r="AA127" s="109" t="s">
        <v>222</v>
      </c>
      <c r="AB127" s="109" t="s">
        <v>223</v>
      </c>
      <c r="AC127" s="109" t="s">
        <v>244</v>
      </c>
      <c r="AD127" s="109" t="s">
        <v>245</v>
      </c>
      <c r="AE127" s="109" t="s">
        <v>246</v>
      </c>
      <c r="AF127" s="109" t="s">
        <v>247</v>
      </c>
      <c r="AG127" s="109" t="s">
        <v>248</v>
      </c>
      <c r="AH127" s="109" t="s">
        <v>249</v>
      </c>
      <c r="AI127" s="109" t="s">
        <v>244</v>
      </c>
      <c r="AJ127" s="109" t="s">
        <v>245</v>
      </c>
      <c r="AK127" s="109" t="s">
        <v>248</v>
      </c>
      <c r="AL127" s="109" t="s">
        <v>249</v>
      </c>
      <c r="AM127" s="109" t="s">
        <v>250</v>
      </c>
      <c r="AN127" s="207" t="s">
        <v>1005</v>
      </c>
      <c r="AO127" s="109">
        <v>140.69</v>
      </c>
      <c r="AP127" s="109">
        <v>0</v>
      </c>
      <c r="AQ127" s="109">
        <v>12</v>
      </c>
      <c r="AR127" s="109">
        <v>0</v>
      </c>
      <c r="AS127" s="109" t="s">
        <v>252</v>
      </c>
      <c r="AT127" s="109" t="s">
        <v>229</v>
      </c>
      <c r="AU127" s="110">
        <v>46267</v>
      </c>
      <c r="AV127" s="109">
        <v>505.72</v>
      </c>
      <c r="AW127" s="109" t="s">
        <v>230</v>
      </c>
      <c r="AX127" s="109" t="s">
        <v>231</v>
      </c>
      <c r="AY127" s="109">
        <v>5480.29</v>
      </c>
      <c r="AZ127" s="109" t="s">
        <v>232</v>
      </c>
      <c r="BA127" s="109" t="s">
        <v>253</v>
      </c>
      <c r="BB127" s="109">
        <v>505.72</v>
      </c>
      <c r="BC127" s="109">
        <v>445.03</v>
      </c>
      <c r="BD127" s="109">
        <v>505.72</v>
      </c>
      <c r="BE127" s="109">
        <v>60.69</v>
      </c>
      <c r="BF127" s="111">
        <v>0.12</v>
      </c>
      <c r="BG127" s="109">
        <v>0</v>
      </c>
      <c r="BH127" s="109">
        <v>140.69</v>
      </c>
      <c r="BI127" s="109">
        <v>126.64</v>
      </c>
      <c r="BJ127" s="109">
        <v>0</v>
      </c>
      <c r="BK127" s="109">
        <v>17</v>
      </c>
      <c r="BL127" s="109">
        <v>0</v>
      </c>
      <c r="BM127" s="109">
        <v>9.76</v>
      </c>
      <c r="BN127" s="109">
        <v>8.22</v>
      </c>
      <c r="BO127" s="109">
        <v>11</v>
      </c>
      <c r="BP127" s="109">
        <v>3.23</v>
      </c>
      <c r="BQ127" s="109">
        <v>0</v>
      </c>
      <c r="BR127" s="109">
        <v>0</v>
      </c>
      <c r="BS127" s="109">
        <v>0</v>
      </c>
      <c r="BT127" s="109">
        <v>0</v>
      </c>
      <c r="BU127" s="109">
        <v>0</v>
      </c>
      <c r="BV127" s="109">
        <v>0</v>
      </c>
      <c r="BW127" s="109">
        <v>0</v>
      </c>
      <c r="BX127" s="109">
        <v>250</v>
      </c>
      <c r="BY127" s="109">
        <v>0</v>
      </c>
      <c r="BZ127" s="109">
        <v>0</v>
      </c>
      <c r="CA127" s="109">
        <v>19.18</v>
      </c>
      <c r="CB127" s="109" t="s">
        <v>225</v>
      </c>
      <c r="CC127" s="109" t="s">
        <v>247</v>
      </c>
      <c r="CD127" s="109">
        <v>439.22</v>
      </c>
      <c r="CE127" s="109">
        <v>0</v>
      </c>
      <c r="CF127" s="109">
        <v>0</v>
      </c>
      <c r="CG127" s="109">
        <v>0</v>
      </c>
      <c r="CH127" s="109">
        <v>0</v>
      </c>
      <c r="CI127" s="109">
        <v>0</v>
      </c>
      <c r="CJ127" s="109">
        <v>0</v>
      </c>
      <c r="CK127" s="109">
        <v>0</v>
      </c>
      <c r="CL127" s="109"/>
      <c r="CM127" s="109"/>
      <c r="CN127" s="109">
        <v>0</v>
      </c>
      <c r="CO127" s="109">
        <v>0</v>
      </c>
      <c r="CP127" s="109">
        <v>0</v>
      </c>
      <c r="CQ127" s="109">
        <v>0</v>
      </c>
      <c r="CR127" s="109">
        <v>0</v>
      </c>
      <c r="CS127" s="109">
        <v>0</v>
      </c>
      <c r="CT127" s="109">
        <v>0</v>
      </c>
      <c r="CU127" s="109">
        <v>21.1</v>
      </c>
      <c r="CV127" s="109" t="s">
        <v>235</v>
      </c>
      <c r="CW127" s="109">
        <v>0</v>
      </c>
      <c r="CX127" s="109"/>
      <c r="CY127" s="109">
        <v>25.32</v>
      </c>
      <c r="CZ127" s="109" t="s">
        <v>235</v>
      </c>
      <c r="DA127" s="109">
        <v>0</v>
      </c>
      <c r="DB127" s="109"/>
      <c r="DE127" s="109">
        <v>0</v>
      </c>
      <c r="DF127" s="109" t="s">
        <v>236</v>
      </c>
      <c r="DG127" s="109" t="s">
        <v>221</v>
      </c>
      <c r="DH127" s="109" t="s">
        <v>220</v>
      </c>
      <c r="DI127" s="109">
        <v>9026067267</v>
      </c>
      <c r="DJ127" s="109" t="s">
        <v>222</v>
      </c>
      <c r="DK127" s="109">
        <v>0</v>
      </c>
      <c r="DL127" s="109" t="s">
        <v>226</v>
      </c>
      <c r="DM127" s="109">
        <v>60.69</v>
      </c>
    </row>
    <row r="128" ht="13.8" hidden="1" spans="1:117">
      <c r="A128" s="109">
        <v>2</v>
      </c>
      <c r="B128" s="109" t="s">
        <v>1006</v>
      </c>
      <c r="C128" s="109" t="s">
        <v>203</v>
      </c>
      <c r="D128" s="109" t="s">
        <v>225</v>
      </c>
      <c r="E128" s="109" t="s">
        <v>226</v>
      </c>
      <c r="F128" s="110">
        <v>46254</v>
      </c>
      <c r="G128" s="109" t="s">
        <v>240</v>
      </c>
      <c r="H128" s="109" t="s">
        <v>1007</v>
      </c>
      <c r="I128" s="109" t="s">
        <v>216</v>
      </c>
      <c r="J128" s="109" t="s">
        <v>217</v>
      </c>
      <c r="K128" s="109" t="s">
        <v>218</v>
      </c>
      <c r="L128" s="109" t="s">
        <v>219</v>
      </c>
      <c r="M128" s="207" t="s">
        <v>242</v>
      </c>
      <c r="N128" s="109" t="s">
        <v>220</v>
      </c>
      <c r="O128" s="109" t="s">
        <v>221</v>
      </c>
      <c r="P128" s="109" t="s">
        <v>243</v>
      </c>
      <c r="Q128" s="109" t="s">
        <v>216</v>
      </c>
      <c r="R128" s="109" t="s">
        <v>217</v>
      </c>
      <c r="S128" s="109" t="s">
        <v>220</v>
      </c>
      <c r="T128" s="109" t="s">
        <v>221</v>
      </c>
      <c r="U128" s="109" t="s">
        <v>216</v>
      </c>
      <c r="V128" s="109" t="s">
        <v>217</v>
      </c>
      <c r="W128" s="109" t="s">
        <v>218</v>
      </c>
      <c r="X128" s="109" t="s">
        <v>219</v>
      </c>
      <c r="Y128" s="109" t="s">
        <v>220</v>
      </c>
      <c r="Z128" s="109" t="s">
        <v>221</v>
      </c>
      <c r="AA128" s="109" t="s">
        <v>222</v>
      </c>
      <c r="AB128" s="109" t="s">
        <v>223</v>
      </c>
      <c r="AC128" s="109" t="s">
        <v>1008</v>
      </c>
      <c r="AD128" s="109" t="s">
        <v>1009</v>
      </c>
      <c r="AE128" s="109">
        <v>134</v>
      </c>
      <c r="AF128" s="109" t="s">
        <v>364</v>
      </c>
      <c r="AG128" s="109" t="s">
        <v>646</v>
      </c>
      <c r="AH128" s="109" t="s">
        <v>297</v>
      </c>
      <c r="AI128" s="109" t="s">
        <v>1008</v>
      </c>
      <c r="AJ128" s="109" t="s">
        <v>1009</v>
      </c>
      <c r="AK128" s="109" t="s">
        <v>646</v>
      </c>
      <c r="AL128" s="109" t="s">
        <v>297</v>
      </c>
      <c r="AM128" s="109" t="s">
        <v>366</v>
      </c>
      <c r="AN128" s="207" t="s">
        <v>1010</v>
      </c>
      <c r="AO128" s="109">
        <v>66.15</v>
      </c>
      <c r="AP128" s="109">
        <v>0</v>
      </c>
      <c r="AQ128" s="109">
        <v>6</v>
      </c>
      <c r="AR128" s="109">
        <v>0</v>
      </c>
      <c r="AS128" s="109" t="s">
        <v>252</v>
      </c>
      <c r="AT128" s="109" t="s">
        <v>229</v>
      </c>
      <c r="AU128" s="110">
        <v>46267</v>
      </c>
      <c r="AV128" s="109">
        <v>453.67</v>
      </c>
      <c r="AW128" s="109" t="s">
        <v>230</v>
      </c>
      <c r="AX128" s="109" t="s">
        <v>230</v>
      </c>
      <c r="AY128" s="109">
        <v>2328.15</v>
      </c>
      <c r="AZ128" s="109" t="s">
        <v>232</v>
      </c>
      <c r="BA128" s="109" t="s">
        <v>557</v>
      </c>
      <c r="BB128" s="109">
        <v>453.67</v>
      </c>
      <c r="BC128" s="109">
        <v>399.23</v>
      </c>
      <c r="BD128" s="109">
        <v>453.67</v>
      </c>
      <c r="BE128" s="109">
        <v>54.44</v>
      </c>
      <c r="BF128" s="111">
        <v>0.12</v>
      </c>
      <c r="BG128" s="109">
        <v>0</v>
      </c>
      <c r="BH128" s="109">
        <v>66.15</v>
      </c>
      <c r="BI128" s="109">
        <v>102.1</v>
      </c>
      <c r="BJ128" s="109">
        <v>0</v>
      </c>
      <c r="BK128" s="109">
        <v>17</v>
      </c>
      <c r="BL128" s="109">
        <v>0</v>
      </c>
      <c r="BM128" s="109">
        <v>9.76</v>
      </c>
      <c r="BN128" s="109">
        <v>3.49</v>
      </c>
      <c r="BO128" s="109">
        <v>5.5</v>
      </c>
      <c r="BP128" s="109">
        <v>3.23</v>
      </c>
      <c r="BQ128" s="109">
        <v>0</v>
      </c>
      <c r="BR128" s="109">
        <v>0</v>
      </c>
      <c r="BS128" s="109">
        <v>0</v>
      </c>
      <c r="BT128" s="109">
        <v>0</v>
      </c>
      <c r="BU128" s="109">
        <v>0</v>
      </c>
      <c r="BV128" s="109">
        <v>0</v>
      </c>
      <c r="BW128" s="109">
        <v>0</v>
      </c>
      <c r="BX128" s="109">
        <v>250</v>
      </c>
      <c r="BY128" s="109">
        <v>0</v>
      </c>
      <c r="BZ128" s="109">
        <v>0</v>
      </c>
      <c r="CA128" s="109">
        <v>8.15</v>
      </c>
      <c r="CB128" s="109" t="s">
        <v>225</v>
      </c>
      <c r="CC128" s="109" t="s">
        <v>558</v>
      </c>
      <c r="CD128" s="109">
        <v>393.5</v>
      </c>
      <c r="CE128" s="109">
        <v>0</v>
      </c>
      <c r="CF128" s="109">
        <v>0</v>
      </c>
      <c r="CG128" s="109">
        <v>0</v>
      </c>
      <c r="CH128" s="109">
        <v>0</v>
      </c>
      <c r="CI128" s="109">
        <v>0</v>
      </c>
      <c r="CJ128" s="109">
        <v>0</v>
      </c>
      <c r="CK128" s="109">
        <v>0</v>
      </c>
      <c r="CL128" s="109"/>
      <c r="CM128" s="109"/>
      <c r="CN128" s="109">
        <v>0</v>
      </c>
      <c r="CO128" s="109">
        <v>0</v>
      </c>
      <c r="CP128" s="109">
        <v>0</v>
      </c>
      <c r="CQ128" s="109">
        <v>0</v>
      </c>
      <c r="CR128" s="109">
        <v>0</v>
      </c>
      <c r="CS128" s="109">
        <v>0</v>
      </c>
      <c r="CT128" s="109">
        <v>0</v>
      </c>
      <c r="CU128" s="109">
        <v>12</v>
      </c>
      <c r="CV128" s="109" t="s">
        <v>235</v>
      </c>
      <c r="CW128" s="109">
        <v>0</v>
      </c>
      <c r="CX128" s="109"/>
      <c r="CY128" s="109">
        <v>225.5</v>
      </c>
      <c r="CZ128" s="109" t="s">
        <v>235</v>
      </c>
      <c r="DA128" s="109">
        <f>CY128</f>
        <v>225.5</v>
      </c>
      <c r="DB128" s="109"/>
      <c r="DE128" s="109">
        <v>0</v>
      </c>
      <c r="DF128" s="109" t="s">
        <v>236</v>
      </c>
      <c r="DG128" s="109" t="s">
        <v>221</v>
      </c>
      <c r="DH128" s="109" t="s">
        <v>220</v>
      </c>
      <c r="DI128" s="109">
        <v>9026067267</v>
      </c>
      <c r="DJ128" s="109" t="s">
        <v>222</v>
      </c>
      <c r="DK128" s="109">
        <v>0</v>
      </c>
      <c r="DL128" s="109" t="s">
        <v>226</v>
      </c>
      <c r="DM128" s="109">
        <v>56.96</v>
      </c>
    </row>
    <row r="129" ht="13.8" hidden="1" spans="1:117">
      <c r="A129" s="109">
        <v>2</v>
      </c>
      <c r="B129" s="109" t="s">
        <v>1011</v>
      </c>
      <c r="C129" s="109" t="s">
        <v>203</v>
      </c>
      <c r="D129" s="109" t="s">
        <v>225</v>
      </c>
      <c r="E129" s="109" t="s">
        <v>226</v>
      </c>
      <c r="F129" s="110">
        <v>46252</v>
      </c>
      <c r="G129" s="109" t="s">
        <v>797</v>
      </c>
      <c r="H129" s="109" t="s">
        <v>1012</v>
      </c>
      <c r="I129" s="109" t="s">
        <v>216</v>
      </c>
      <c r="J129" s="109" t="s">
        <v>217</v>
      </c>
      <c r="K129" s="109" t="s">
        <v>218</v>
      </c>
      <c r="L129" s="109" t="s">
        <v>219</v>
      </c>
      <c r="M129" s="207" t="s">
        <v>242</v>
      </c>
      <c r="N129" s="109" t="s">
        <v>220</v>
      </c>
      <c r="O129" s="109" t="s">
        <v>221</v>
      </c>
      <c r="P129" s="109" t="s">
        <v>243</v>
      </c>
      <c r="Q129" s="109" t="s">
        <v>216</v>
      </c>
      <c r="R129" s="109" t="s">
        <v>217</v>
      </c>
      <c r="S129" s="109" t="s">
        <v>220</v>
      </c>
      <c r="T129" s="109" t="s">
        <v>221</v>
      </c>
      <c r="U129" s="109" t="s">
        <v>216</v>
      </c>
      <c r="V129" s="109" t="s">
        <v>217</v>
      </c>
      <c r="W129" s="109" t="s">
        <v>218</v>
      </c>
      <c r="X129" s="109" t="s">
        <v>219</v>
      </c>
      <c r="Y129" s="109" t="s">
        <v>220</v>
      </c>
      <c r="Z129" s="109" t="s">
        <v>221</v>
      </c>
      <c r="AA129" s="109" t="s">
        <v>222</v>
      </c>
      <c r="AB129" s="109" t="s">
        <v>223</v>
      </c>
      <c r="AC129" s="109" t="s">
        <v>257</v>
      </c>
      <c r="AD129" s="109" t="s">
        <v>258</v>
      </c>
      <c r="AE129" s="109" t="s">
        <v>259</v>
      </c>
      <c r="AF129" s="109" t="s">
        <v>247</v>
      </c>
      <c r="AG129" s="109" t="s">
        <v>260</v>
      </c>
      <c r="AH129" s="109" t="s">
        <v>249</v>
      </c>
      <c r="AI129" s="109" t="s">
        <v>257</v>
      </c>
      <c r="AJ129" s="109" t="s">
        <v>258</v>
      </c>
      <c r="AK129" s="109" t="s">
        <v>260</v>
      </c>
      <c r="AL129" s="109" t="s">
        <v>249</v>
      </c>
      <c r="AM129" s="109" t="s">
        <v>250</v>
      </c>
      <c r="AN129" s="207" t="s">
        <v>1013</v>
      </c>
      <c r="AO129" s="109">
        <v>53.3</v>
      </c>
      <c r="AP129" s="109">
        <v>0</v>
      </c>
      <c r="AQ129" s="109">
        <v>6</v>
      </c>
      <c r="AR129" s="109">
        <v>0</v>
      </c>
      <c r="AS129" s="109" t="s">
        <v>252</v>
      </c>
      <c r="AT129" s="109" t="s">
        <v>229</v>
      </c>
      <c r="AU129" s="110">
        <v>46267</v>
      </c>
      <c r="AV129" s="109">
        <v>430.34</v>
      </c>
      <c r="AW129" s="109" t="s">
        <v>230</v>
      </c>
      <c r="AX129" s="109" t="s">
        <v>230</v>
      </c>
      <c r="AY129" s="109">
        <v>2122.2</v>
      </c>
      <c r="AZ129" s="109" t="s">
        <v>232</v>
      </c>
      <c r="BA129" s="109" t="s">
        <v>253</v>
      </c>
      <c r="BB129" s="109">
        <v>430.34</v>
      </c>
      <c r="BC129" s="109">
        <v>378.7</v>
      </c>
      <c r="BD129" s="109">
        <v>430.34</v>
      </c>
      <c r="BE129" s="109">
        <v>51.64</v>
      </c>
      <c r="BF129" s="111">
        <v>0.12</v>
      </c>
      <c r="BG129" s="109">
        <v>0</v>
      </c>
      <c r="BH129" s="109">
        <v>53.3</v>
      </c>
      <c r="BI129" s="109">
        <v>82.6</v>
      </c>
      <c r="BJ129" s="109">
        <v>0</v>
      </c>
      <c r="BK129" s="109">
        <v>17</v>
      </c>
      <c r="BL129" s="109">
        <v>0</v>
      </c>
      <c r="BM129" s="109">
        <v>9.76</v>
      </c>
      <c r="BN129" s="109">
        <v>3.18</v>
      </c>
      <c r="BO129" s="109">
        <v>5.5</v>
      </c>
      <c r="BP129" s="109">
        <v>3.23</v>
      </c>
      <c r="BQ129" s="109">
        <v>0</v>
      </c>
      <c r="BR129" s="109">
        <v>0</v>
      </c>
      <c r="BS129" s="109">
        <v>0</v>
      </c>
      <c r="BT129" s="109">
        <v>0</v>
      </c>
      <c r="BU129" s="109">
        <v>0</v>
      </c>
      <c r="BV129" s="109">
        <v>0</v>
      </c>
      <c r="BW129" s="109">
        <v>0</v>
      </c>
      <c r="BX129" s="109">
        <v>250</v>
      </c>
      <c r="BY129" s="109">
        <v>0</v>
      </c>
      <c r="BZ129" s="109">
        <v>0</v>
      </c>
      <c r="CA129" s="109">
        <v>7.43</v>
      </c>
      <c r="CB129" s="109" t="s">
        <v>225</v>
      </c>
      <c r="CC129" s="109" t="s">
        <v>247</v>
      </c>
      <c r="CD129" s="109">
        <v>390.54</v>
      </c>
      <c r="CE129" s="109">
        <v>0</v>
      </c>
      <c r="CF129" s="109">
        <v>0</v>
      </c>
      <c r="CG129" s="109">
        <v>0</v>
      </c>
      <c r="CH129" s="109">
        <v>0</v>
      </c>
      <c r="CI129" s="109">
        <v>0</v>
      </c>
      <c r="CJ129" s="109">
        <v>0</v>
      </c>
      <c r="CK129" s="109">
        <v>0</v>
      </c>
      <c r="CL129" s="109"/>
      <c r="CM129" s="109"/>
      <c r="CN129" s="109">
        <v>0</v>
      </c>
      <c r="CO129" s="109">
        <v>0</v>
      </c>
      <c r="CP129" s="109">
        <v>0</v>
      </c>
      <c r="CQ129" s="109">
        <v>0</v>
      </c>
      <c r="CR129" s="109">
        <v>0</v>
      </c>
      <c r="CS129" s="109">
        <v>0</v>
      </c>
      <c r="CT129" s="109">
        <v>0</v>
      </c>
      <c r="CU129" s="109">
        <v>12</v>
      </c>
      <c r="CV129" s="109" t="s">
        <v>235</v>
      </c>
      <c r="CW129" s="109">
        <v>0</v>
      </c>
      <c r="CX129" s="109"/>
      <c r="CY129" s="109">
        <v>18</v>
      </c>
      <c r="CZ129" s="109" t="s">
        <v>235</v>
      </c>
      <c r="DA129" s="109">
        <v>0</v>
      </c>
      <c r="DB129" s="109"/>
      <c r="DE129" s="109">
        <v>0</v>
      </c>
      <c r="DF129" s="109" t="s">
        <v>236</v>
      </c>
      <c r="DG129" s="109" t="s">
        <v>221</v>
      </c>
      <c r="DH129" s="109" t="s">
        <v>220</v>
      </c>
      <c r="DI129" s="109">
        <v>9026067267</v>
      </c>
      <c r="DJ129" s="109" t="s">
        <v>222</v>
      </c>
      <c r="DK129" s="109">
        <v>0</v>
      </c>
      <c r="DL129" s="109" t="s">
        <v>226</v>
      </c>
      <c r="DM129" s="109">
        <v>51.64</v>
      </c>
    </row>
    <row r="130" ht="13.8" hidden="1" spans="1:117">
      <c r="A130" s="109">
        <v>2</v>
      </c>
      <c r="B130" s="109" t="s">
        <v>1014</v>
      </c>
      <c r="C130" s="109" t="s">
        <v>203</v>
      </c>
      <c r="D130" s="109" t="s">
        <v>225</v>
      </c>
      <c r="E130" s="109" t="s">
        <v>226</v>
      </c>
      <c r="F130" s="110">
        <v>46252</v>
      </c>
      <c r="G130" s="109" t="s">
        <v>797</v>
      </c>
      <c r="H130" s="109" t="s">
        <v>1015</v>
      </c>
      <c r="I130" s="109" t="s">
        <v>216</v>
      </c>
      <c r="J130" s="109" t="s">
        <v>217</v>
      </c>
      <c r="K130" s="109" t="s">
        <v>218</v>
      </c>
      <c r="L130" s="109" t="s">
        <v>219</v>
      </c>
      <c r="M130" s="207" t="s">
        <v>242</v>
      </c>
      <c r="N130" s="109" t="s">
        <v>220</v>
      </c>
      <c r="O130" s="109" t="s">
        <v>221</v>
      </c>
      <c r="P130" s="109" t="s">
        <v>243</v>
      </c>
      <c r="Q130" s="109" t="s">
        <v>216</v>
      </c>
      <c r="R130" s="109" t="s">
        <v>217</v>
      </c>
      <c r="S130" s="109" t="s">
        <v>220</v>
      </c>
      <c r="T130" s="109" t="s">
        <v>221</v>
      </c>
      <c r="U130" s="109" t="s">
        <v>216</v>
      </c>
      <c r="V130" s="109" t="s">
        <v>217</v>
      </c>
      <c r="W130" s="109" t="s">
        <v>218</v>
      </c>
      <c r="X130" s="109" t="s">
        <v>219</v>
      </c>
      <c r="Y130" s="109" t="s">
        <v>220</v>
      </c>
      <c r="Z130" s="109" t="s">
        <v>221</v>
      </c>
      <c r="AA130" s="109" t="s">
        <v>222</v>
      </c>
      <c r="AB130" s="109" t="s">
        <v>223</v>
      </c>
      <c r="AC130" s="109" t="s">
        <v>1016</v>
      </c>
      <c r="AD130" s="109" t="s">
        <v>1017</v>
      </c>
      <c r="AE130" s="109">
        <v>120</v>
      </c>
      <c r="AF130" s="109" t="s">
        <v>777</v>
      </c>
      <c r="AG130" s="109" t="s">
        <v>1018</v>
      </c>
      <c r="AH130" s="109" t="s">
        <v>297</v>
      </c>
      <c r="AI130" s="109" t="s">
        <v>1016</v>
      </c>
      <c r="AJ130" s="109" t="s">
        <v>1017</v>
      </c>
      <c r="AK130" s="109" t="s">
        <v>1018</v>
      </c>
      <c r="AL130" s="109" t="s">
        <v>297</v>
      </c>
      <c r="AM130" s="109" t="s">
        <v>779</v>
      </c>
      <c r="AN130" s="207" t="s">
        <v>1019</v>
      </c>
      <c r="AO130" s="109">
        <v>41.34</v>
      </c>
      <c r="AP130" s="109">
        <v>0</v>
      </c>
      <c r="AQ130" s="109">
        <v>5</v>
      </c>
      <c r="AR130" s="109">
        <v>0</v>
      </c>
      <c r="AS130" s="109" t="s">
        <v>252</v>
      </c>
      <c r="AT130" s="109" t="s">
        <v>229</v>
      </c>
      <c r="AU130" s="110">
        <v>46267</v>
      </c>
      <c r="AV130" s="109">
        <v>424.44</v>
      </c>
      <c r="AW130" s="109" t="s">
        <v>230</v>
      </c>
      <c r="AX130" s="109" t="s">
        <v>230</v>
      </c>
      <c r="AY130" s="109">
        <v>2761.27</v>
      </c>
      <c r="AZ130" s="109" t="s">
        <v>232</v>
      </c>
      <c r="BA130" s="109" t="s">
        <v>557</v>
      </c>
      <c r="BB130" s="109">
        <v>424.44</v>
      </c>
      <c r="BC130" s="109">
        <v>373.51</v>
      </c>
      <c r="BD130" s="109">
        <v>424.44</v>
      </c>
      <c r="BE130" s="109">
        <v>50.93</v>
      </c>
      <c r="BF130" s="111">
        <v>0.12</v>
      </c>
      <c r="BG130" s="109">
        <v>0</v>
      </c>
      <c r="BH130" s="109">
        <v>41.34</v>
      </c>
      <c r="BI130" s="109">
        <v>74.22</v>
      </c>
      <c r="BJ130" s="109">
        <v>0</v>
      </c>
      <c r="BK130" s="109">
        <v>17</v>
      </c>
      <c r="BL130" s="109">
        <v>0</v>
      </c>
      <c r="BM130" s="109">
        <v>9.76</v>
      </c>
      <c r="BN130" s="109">
        <v>4.14</v>
      </c>
      <c r="BO130" s="109">
        <v>5.5</v>
      </c>
      <c r="BP130" s="109">
        <v>3.23</v>
      </c>
      <c r="BQ130" s="109">
        <v>0</v>
      </c>
      <c r="BR130" s="109">
        <v>0</v>
      </c>
      <c r="BS130" s="109">
        <v>0</v>
      </c>
      <c r="BT130" s="109">
        <v>0</v>
      </c>
      <c r="BU130" s="109">
        <v>0</v>
      </c>
      <c r="BV130" s="109">
        <v>0</v>
      </c>
      <c r="BW130" s="109">
        <v>0</v>
      </c>
      <c r="BX130" s="109">
        <v>250</v>
      </c>
      <c r="BY130" s="109">
        <v>0</v>
      </c>
      <c r="BZ130" s="109">
        <v>0</v>
      </c>
      <c r="CA130" s="109">
        <v>9.66</v>
      </c>
      <c r="CB130" s="109" t="s">
        <v>225</v>
      </c>
      <c r="CC130" s="109" t="s">
        <v>558</v>
      </c>
      <c r="CD130" s="109">
        <v>399.81</v>
      </c>
      <c r="CE130" s="109">
        <v>0</v>
      </c>
      <c r="CF130" s="109">
        <v>0</v>
      </c>
      <c r="CG130" s="109">
        <v>0</v>
      </c>
      <c r="CH130" s="109">
        <v>0</v>
      </c>
      <c r="CI130" s="109">
        <v>0</v>
      </c>
      <c r="CJ130" s="109">
        <v>0</v>
      </c>
      <c r="CK130" s="109">
        <v>0</v>
      </c>
      <c r="CL130" s="109"/>
      <c r="CM130" s="109"/>
      <c r="CN130" s="109">
        <v>0</v>
      </c>
      <c r="CO130" s="109">
        <v>0</v>
      </c>
      <c r="CP130" s="109">
        <v>0</v>
      </c>
      <c r="CQ130" s="109">
        <v>0</v>
      </c>
      <c r="CR130" s="109">
        <v>0</v>
      </c>
      <c r="CS130" s="109">
        <v>0</v>
      </c>
      <c r="CT130" s="109">
        <v>0</v>
      </c>
      <c r="CU130" s="109">
        <v>12</v>
      </c>
      <c r="CV130" s="109" t="s">
        <v>235</v>
      </c>
      <c r="CW130" s="109">
        <v>0</v>
      </c>
      <c r="CX130" s="109"/>
      <c r="CY130" s="109">
        <v>192.02</v>
      </c>
      <c r="CZ130" s="109" t="s">
        <v>1020</v>
      </c>
      <c r="DA130" s="109">
        <v>192.02</v>
      </c>
      <c r="DB130" s="207" t="s">
        <v>1021</v>
      </c>
      <c r="DE130" s="109">
        <v>0</v>
      </c>
      <c r="DF130" s="109" t="s">
        <v>236</v>
      </c>
      <c r="DG130" s="109" t="s">
        <v>221</v>
      </c>
      <c r="DH130" s="109" t="s">
        <v>220</v>
      </c>
      <c r="DI130" s="109">
        <v>9026067267</v>
      </c>
      <c r="DJ130" s="109" t="s">
        <v>222</v>
      </c>
      <c r="DK130" s="109">
        <v>0</v>
      </c>
      <c r="DL130" s="109" t="s">
        <v>226</v>
      </c>
      <c r="DM130" s="109">
        <v>50.93</v>
      </c>
    </row>
    <row r="131" ht="13.8" hidden="1" spans="1:117">
      <c r="A131" s="109">
        <v>2</v>
      </c>
      <c r="B131" s="109" t="s">
        <v>1022</v>
      </c>
      <c r="C131" s="109" t="s">
        <v>203</v>
      </c>
      <c r="D131" s="109" t="s">
        <v>225</v>
      </c>
      <c r="E131" s="109" t="s">
        <v>226</v>
      </c>
      <c r="F131" s="110">
        <v>46252</v>
      </c>
      <c r="G131" s="109" t="s">
        <v>797</v>
      </c>
      <c r="H131" s="109" t="s">
        <v>1023</v>
      </c>
      <c r="I131" s="109" t="s">
        <v>216</v>
      </c>
      <c r="J131" s="109" t="s">
        <v>217</v>
      </c>
      <c r="K131" s="109" t="s">
        <v>218</v>
      </c>
      <c r="L131" s="109" t="s">
        <v>219</v>
      </c>
      <c r="M131" s="207" t="s">
        <v>242</v>
      </c>
      <c r="N131" s="109" t="s">
        <v>220</v>
      </c>
      <c r="O131" s="109" t="s">
        <v>221</v>
      </c>
      <c r="P131" s="109" t="s">
        <v>243</v>
      </c>
      <c r="Q131" s="109" t="s">
        <v>216</v>
      </c>
      <c r="R131" s="109" t="s">
        <v>217</v>
      </c>
      <c r="S131" s="109" t="s">
        <v>220</v>
      </c>
      <c r="T131" s="109" t="s">
        <v>221</v>
      </c>
      <c r="U131" s="109" t="s">
        <v>216</v>
      </c>
      <c r="V131" s="109" t="s">
        <v>217</v>
      </c>
      <c r="W131" s="109" t="s">
        <v>218</v>
      </c>
      <c r="X131" s="109" t="s">
        <v>219</v>
      </c>
      <c r="Y131" s="109" t="s">
        <v>220</v>
      </c>
      <c r="Z131" s="109" t="s">
        <v>221</v>
      </c>
      <c r="AA131" s="109" t="s">
        <v>222</v>
      </c>
      <c r="AB131" s="109" t="s">
        <v>223</v>
      </c>
      <c r="AC131" s="109" t="s">
        <v>1024</v>
      </c>
      <c r="AD131" s="109" t="s">
        <v>1025</v>
      </c>
      <c r="AE131" s="109" t="s">
        <v>1026</v>
      </c>
      <c r="AF131" s="109" t="s">
        <v>295</v>
      </c>
      <c r="AG131" s="109" t="s">
        <v>296</v>
      </c>
      <c r="AH131" s="109" t="s">
        <v>297</v>
      </c>
      <c r="AI131" s="109" t="s">
        <v>1024</v>
      </c>
      <c r="AJ131" s="109" t="s">
        <v>1025</v>
      </c>
      <c r="AK131" s="109" t="s">
        <v>296</v>
      </c>
      <c r="AL131" s="109" t="s">
        <v>297</v>
      </c>
      <c r="AM131" s="109" t="s">
        <v>298</v>
      </c>
      <c r="AN131" s="207" t="s">
        <v>1027</v>
      </c>
      <c r="AO131" s="109">
        <v>7.65</v>
      </c>
      <c r="AP131" s="109">
        <v>0</v>
      </c>
      <c r="AQ131" s="109">
        <v>1</v>
      </c>
      <c r="AR131" s="109">
        <v>0</v>
      </c>
      <c r="AS131" s="109" t="s">
        <v>252</v>
      </c>
      <c r="AT131" s="109" t="s">
        <v>229</v>
      </c>
      <c r="AU131" s="110">
        <v>46267</v>
      </c>
      <c r="AV131" s="109">
        <v>371.44</v>
      </c>
      <c r="AW131" s="109" t="s">
        <v>230</v>
      </c>
      <c r="AX131" s="109" t="s">
        <v>230</v>
      </c>
      <c r="AY131" s="109">
        <v>1437.55</v>
      </c>
      <c r="AZ131" s="109" t="s">
        <v>232</v>
      </c>
      <c r="BA131" s="109" t="s">
        <v>300</v>
      </c>
      <c r="BB131" s="109">
        <v>371.44</v>
      </c>
      <c r="BC131" s="109">
        <v>326.87</v>
      </c>
      <c r="BD131" s="109">
        <v>371.44</v>
      </c>
      <c r="BE131" s="109">
        <v>44.57</v>
      </c>
      <c r="BF131" s="111">
        <v>0.12</v>
      </c>
      <c r="BG131" s="109">
        <v>0</v>
      </c>
      <c r="BH131" s="109">
        <v>7.65</v>
      </c>
      <c r="BI131" s="109">
        <v>34.1</v>
      </c>
      <c r="BJ131" s="109">
        <v>0</v>
      </c>
      <c r="BK131" s="109">
        <v>17</v>
      </c>
      <c r="BL131" s="109">
        <v>0</v>
      </c>
      <c r="BM131" s="109">
        <v>9.76</v>
      </c>
      <c r="BN131" s="109">
        <v>2.25</v>
      </c>
      <c r="BO131" s="109">
        <v>5.5</v>
      </c>
      <c r="BP131" s="109">
        <v>3.23</v>
      </c>
      <c r="BQ131" s="109">
        <v>0</v>
      </c>
      <c r="BR131" s="109">
        <v>0</v>
      </c>
      <c r="BS131" s="109">
        <v>0</v>
      </c>
      <c r="BT131" s="109">
        <v>0</v>
      </c>
      <c r="BU131" s="109">
        <v>0</v>
      </c>
      <c r="BV131" s="109">
        <v>0</v>
      </c>
      <c r="BW131" s="109">
        <v>0</v>
      </c>
      <c r="BX131" s="109">
        <v>250</v>
      </c>
      <c r="BY131" s="109">
        <v>0</v>
      </c>
      <c r="BZ131" s="109">
        <v>0</v>
      </c>
      <c r="CA131" s="109">
        <v>5.03</v>
      </c>
      <c r="CB131" s="109" t="s">
        <v>225</v>
      </c>
      <c r="CC131" s="109" t="s">
        <v>295</v>
      </c>
      <c r="CD131" s="109">
        <v>382.14</v>
      </c>
      <c r="CE131" s="109">
        <v>0</v>
      </c>
      <c r="CF131" s="109">
        <v>0</v>
      </c>
      <c r="CG131" s="109">
        <v>0</v>
      </c>
      <c r="CH131" s="109">
        <v>0</v>
      </c>
      <c r="CI131" s="109">
        <v>0</v>
      </c>
      <c r="CJ131" s="109">
        <v>0</v>
      </c>
      <c r="CK131" s="109">
        <v>0</v>
      </c>
      <c r="CL131" s="109"/>
      <c r="CM131" s="109"/>
      <c r="CN131" s="109">
        <v>0</v>
      </c>
      <c r="CO131" s="109">
        <v>0</v>
      </c>
      <c r="CP131" s="109">
        <v>0</v>
      </c>
      <c r="CQ131" s="109">
        <v>0</v>
      </c>
      <c r="CR131" s="109">
        <v>0</v>
      </c>
      <c r="CS131" s="109">
        <v>0</v>
      </c>
      <c r="CT131" s="109">
        <v>0</v>
      </c>
      <c r="CU131" s="109">
        <v>12</v>
      </c>
      <c r="CV131" s="109" t="s">
        <v>235</v>
      </c>
      <c r="CW131" s="109">
        <v>0</v>
      </c>
      <c r="CX131" s="109"/>
      <c r="CY131" s="109">
        <v>18</v>
      </c>
      <c r="CZ131" s="109" t="s">
        <v>235</v>
      </c>
      <c r="DA131" s="109">
        <v>0</v>
      </c>
      <c r="DB131" s="109"/>
      <c r="DE131" s="109">
        <v>0</v>
      </c>
      <c r="DF131" s="109" t="s">
        <v>236</v>
      </c>
      <c r="DG131" s="109" t="s">
        <v>221</v>
      </c>
      <c r="DH131" s="109" t="s">
        <v>220</v>
      </c>
      <c r="DI131" s="109">
        <v>9026067267</v>
      </c>
      <c r="DJ131" s="109" t="s">
        <v>222</v>
      </c>
      <c r="DK131" s="109">
        <v>0</v>
      </c>
      <c r="DL131" s="109" t="s">
        <v>226</v>
      </c>
      <c r="DM131" s="109">
        <v>44.57</v>
      </c>
    </row>
    <row r="132" ht="13.8" hidden="1" spans="1:117">
      <c r="A132" s="109">
        <v>2</v>
      </c>
      <c r="B132" s="109" t="s">
        <v>1028</v>
      </c>
      <c r="C132" s="109" t="s">
        <v>203</v>
      </c>
      <c r="D132" s="109" t="s">
        <v>225</v>
      </c>
      <c r="E132" s="109" t="s">
        <v>226</v>
      </c>
      <c r="F132" s="110">
        <v>46252</v>
      </c>
      <c r="G132" s="109" t="s">
        <v>797</v>
      </c>
      <c r="H132" s="109" t="s">
        <v>1029</v>
      </c>
      <c r="I132" s="109" t="s">
        <v>216</v>
      </c>
      <c r="J132" s="109" t="s">
        <v>217</v>
      </c>
      <c r="K132" s="109" t="s">
        <v>218</v>
      </c>
      <c r="L132" s="109" t="s">
        <v>219</v>
      </c>
      <c r="M132" s="207" t="s">
        <v>242</v>
      </c>
      <c r="N132" s="109" t="s">
        <v>220</v>
      </c>
      <c r="O132" s="109" t="s">
        <v>221</v>
      </c>
      <c r="P132" s="109" t="s">
        <v>243</v>
      </c>
      <c r="Q132" s="109" t="s">
        <v>216</v>
      </c>
      <c r="R132" s="109" t="s">
        <v>217</v>
      </c>
      <c r="S132" s="109" t="s">
        <v>220</v>
      </c>
      <c r="T132" s="109" t="s">
        <v>221</v>
      </c>
      <c r="U132" s="109" t="s">
        <v>216</v>
      </c>
      <c r="V132" s="109" t="s">
        <v>217</v>
      </c>
      <c r="W132" s="109" t="s">
        <v>218</v>
      </c>
      <c r="X132" s="109" t="s">
        <v>219</v>
      </c>
      <c r="Y132" s="109" t="s">
        <v>220</v>
      </c>
      <c r="Z132" s="109" t="s">
        <v>221</v>
      </c>
      <c r="AA132" s="109" t="s">
        <v>222</v>
      </c>
      <c r="AB132" s="109" t="s">
        <v>223</v>
      </c>
      <c r="AC132" s="109" t="s">
        <v>1030</v>
      </c>
      <c r="AD132" s="109" t="s">
        <v>1031</v>
      </c>
      <c r="AE132" s="109">
        <v>385</v>
      </c>
      <c r="AF132" s="109" t="s">
        <v>574</v>
      </c>
      <c r="AG132" s="109" t="s">
        <v>1032</v>
      </c>
      <c r="AH132" s="109" t="s">
        <v>214</v>
      </c>
      <c r="AI132" s="109" t="s">
        <v>1030</v>
      </c>
      <c r="AJ132" s="109" t="s">
        <v>1031</v>
      </c>
      <c r="AK132" s="109" t="s">
        <v>1032</v>
      </c>
      <c r="AL132" s="109" t="s">
        <v>214</v>
      </c>
      <c r="AM132" s="109" t="s">
        <v>333</v>
      </c>
      <c r="AN132" s="207" t="s">
        <v>1033</v>
      </c>
      <c r="AO132" s="109">
        <v>172</v>
      </c>
      <c r="AP132" s="109">
        <v>0</v>
      </c>
      <c r="AQ132" s="109">
        <v>16</v>
      </c>
      <c r="AR132" s="109">
        <v>0</v>
      </c>
      <c r="AS132" s="109" t="s">
        <v>252</v>
      </c>
      <c r="AT132" s="109" t="s">
        <v>229</v>
      </c>
      <c r="AU132" s="110">
        <v>46267</v>
      </c>
      <c r="AV132" s="109">
        <v>320.2</v>
      </c>
      <c r="AW132" s="109" t="s">
        <v>230</v>
      </c>
      <c r="AX132" s="109" t="s">
        <v>230</v>
      </c>
      <c r="AY132" s="109">
        <v>6866.74</v>
      </c>
      <c r="AZ132" s="109" t="s">
        <v>232</v>
      </c>
      <c r="BA132" s="109" t="s">
        <v>335</v>
      </c>
      <c r="BB132" s="109">
        <v>320.2</v>
      </c>
      <c r="BC132" s="109">
        <v>281.78</v>
      </c>
      <c r="BD132" s="109">
        <v>320.2</v>
      </c>
      <c r="BE132" s="109">
        <v>38.42</v>
      </c>
      <c r="BF132" s="111">
        <v>0.12</v>
      </c>
      <c r="BG132" s="109">
        <v>0</v>
      </c>
      <c r="BH132" s="109">
        <v>172</v>
      </c>
      <c r="BI132" s="109">
        <v>206.46</v>
      </c>
      <c r="BJ132" s="109">
        <v>0</v>
      </c>
      <c r="BK132" s="109">
        <v>17</v>
      </c>
      <c r="BL132" s="109">
        <v>0</v>
      </c>
      <c r="BM132" s="109">
        <v>9.76</v>
      </c>
      <c r="BN132" s="109">
        <v>10.3</v>
      </c>
      <c r="BO132" s="109">
        <v>11</v>
      </c>
      <c r="BP132" s="109">
        <v>3.23</v>
      </c>
      <c r="BQ132" s="109">
        <v>0</v>
      </c>
      <c r="BR132" s="109">
        <v>0</v>
      </c>
      <c r="BS132" s="109">
        <v>0</v>
      </c>
      <c r="BT132" s="109">
        <v>0</v>
      </c>
      <c r="BU132" s="109">
        <v>0</v>
      </c>
      <c r="BV132" s="109">
        <v>0</v>
      </c>
      <c r="BW132" s="109">
        <v>0</v>
      </c>
      <c r="BX132" s="109">
        <v>0</v>
      </c>
      <c r="BY132" s="109">
        <v>0</v>
      </c>
      <c r="BZ132" s="109">
        <v>0</v>
      </c>
      <c r="CA132" s="109">
        <v>24.03</v>
      </c>
      <c r="CB132" s="109" t="s">
        <v>225</v>
      </c>
      <c r="CC132" s="109" t="s">
        <v>336</v>
      </c>
      <c r="CD132" s="109">
        <v>459.33</v>
      </c>
      <c r="CE132" s="109">
        <v>0</v>
      </c>
      <c r="CF132" s="109">
        <v>0</v>
      </c>
      <c r="CG132" s="109">
        <v>0</v>
      </c>
      <c r="CH132" s="109">
        <v>0</v>
      </c>
      <c r="CI132" s="109">
        <v>0</v>
      </c>
      <c r="CJ132" s="109">
        <v>0</v>
      </c>
      <c r="CK132" s="109">
        <v>0</v>
      </c>
      <c r="CL132" s="109"/>
      <c r="CM132" s="109"/>
      <c r="CN132" s="109">
        <v>0</v>
      </c>
      <c r="CO132" s="109">
        <v>0</v>
      </c>
      <c r="CP132" s="109">
        <v>0</v>
      </c>
      <c r="CQ132" s="109">
        <v>0</v>
      </c>
      <c r="CR132" s="109">
        <v>0</v>
      </c>
      <c r="CS132" s="109">
        <v>0</v>
      </c>
      <c r="CT132" s="109">
        <v>0</v>
      </c>
      <c r="CU132" s="109">
        <v>25.8</v>
      </c>
      <c r="CV132" s="109" t="s">
        <v>235</v>
      </c>
      <c r="CW132" s="109">
        <v>0</v>
      </c>
      <c r="CX132" s="109"/>
      <c r="CY132" s="109">
        <v>128.08</v>
      </c>
      <c r="CZ132" s="109" t="s">
        <v>1034</v>
      </c>
      <c r="DA132" s="109">
        <v>137.58</v>
      </c>
      <c r="DB132" s="109">
        <v>233142</v>
      </c>
      <c r="DE132" s="109">
        <v>0</v>
      </c>
      <c r="DF132" s="109" t="s">
        <v>236</v>
      </c>
      <c r="DG132" s="109" t="s">
        <v>221</v>
      </c>
      <c r="DH132" s="109" t="s">
        <v>220</v>
      </c>
      <c r="DI132" s="109">
        <v>9026067267</v>
      </c>
      <c r="DJ132" s="109" t="s">
        <v>222</v>
      </c>
      <c r="DK132" s="109">
        <v>0</v>
      </c>
      <c r="DL132" s="109" t="s">
        <v>226</v>
      </c>
      <c r="DM132" s="109">
        <v>38.42</v>
      </c>
    </row>
    <row r="133" ht="13.8" hidden="1" spans="1:117">
      <c r="A133" s="109">
        <v>2</v>
      </c>
      <c r="B133" s="109" t="s">
        <v>1035</v>
      </c>
      <c r="C133" s="109" t="s">
        <v>203</v>
      </c>
      <c r="D133" s="109" t="s">
        <v>225</v>
      </c>
      <c r="E133" s="109" t="s">
        <v>226</v>
      </c>
      <c r="F133" s="110">
        <v>46255</v>
      </c>
      <c r="G133" s="109" t="s">
        <v>797</v>
      </c>
      <c r="H133" s="109" t="s">
        <v>1036</v>
      </c>
      <c r="I133" s="109" t="s">
        <v>216</v>
      </c>
      <c r="J133" s="109" t="s">
        <v>217</v>
      </c>
      <c r="K133" s="109" t="s">
        <v>218</v>
      </c>
      <c r="L133" s="109" t="s">
        <v>219</v>
      </c>
      <c r="M133" s="207" t="s">
        <v>242</v>
      </c>
      <c r="N133" s="109" t="s">
        <v>220</v>
      </c>
      <c r="O133" s="109" t="s">
        <v>221</v>
      </c>
      <c r="P133" s="109" t="s">
        <v>243</v>
      </c>
      <c r="Q133" s="109" t="s">
        <v>216</v>
      </c>
      <c r="R133" s="109" t="s">
        <v>217</v>
      </c>
      <c r="S133" s="109" t="s">
        <v>220</v>
      </c>
      <c r="T133" s="109" t="s">
        <v>221</v>
      </c>
      <c r="U133" s="109" t="s">
        <v>216</v>
      </c>
      <c r="V133" s="109" t="s">
        <v>217</v>
      </c>
      <c r="W133" s="109" t="s">
        <v>218</v>
      </c>
      <c r="X133" s="109" t="s">
        <v>219</v>
      </c>
      <c r="Y133" s="109" t="s">
        <v>220</v>
      </c>
      <c r="Z133" s="109" t="s">
        <v>221</v>
      </c>
      <c r="AA133" s="109" t="s">
        <v>222</v>
      </c>
      <c r="AB133" s="109" t="s">
        <v>223</v>
      </c>
      <c r="AC133" s="109" t="s">
        <v>1037</v>
      </c>
      <c r="AD133" s="109" t="s">
        <v>1038</v>
      </c>
      <c r="AE133" s="109">
        <v>133</v>
      </c>
      <c r="AF133" s="109" t="s">
        <v>364</v>
      </c>
      <c r="AG133" s="109" t="s">
        <v>365</v>
      </c>
      <c r="AH133" s="109" t="s">
        <v>297</v>
      </c>
      <c r="AI133" s="109" t="s">
        <v>1037</v>
      </c>
      <c r="AJ133" s="109" t="s">
        <v>1038</v>
      </c>
      <c r="AK133" s="109" t="s">
        <v>365</v>
      </c>
      <c r="AL133" s="109" t="s">
        <v>297</v>
      </c>
      <c r="AM133" s="109" t="s">
        <v>366</v>
      </c>
      <c r="AN133" s="207" t="s">
        <v>1039</v>
      </c>
      <c r="AO133" s="109">
        <v>41.568</v>
      </c>
      <c r="AP133" s="109">
        <v>0</v>
      </c>
      <c r="AQ133" s="109">
        <v>4</v>
      </c>
      <c r="AR133" s="109">
        <v>0</v>
      </c>
      <c r="AS133" s="109" t="s">
        <v>252</v>
      </c>
      <c r="AT133" s="109" t="s">
        <v>229</v>
      </c>
      <c r="AU133" s="110">
        <v>46267</v>
      </c>
      <c r="AV133" s="109">
        <v>198.39</v>
      </c>
      <c r="AW133" s="109" t="s">
        <v>230</v>
      </c>
      <c r="AX133" s="109" t="s">
        <v>230</v>
      </c>
      <c r="AY133" s="109">
        <v>8222</v>
      </c>
      <c r="AZ133" s="109" t="s">
        <v>232</v>
      </c>
      <c r="BA133" s="109" t="s">
        <v>368</v>
      </c>
      <c r="BB133" s="109">
        <v>198.39</v>
      </c>
      <c r="BC133" s="109">
        <v>174.58</v>
      </c>
      <c r="BD133" s="109">
        <v>198.39</v>
      </c>
      <c r="BE133" s="109">
        <v>23.81</v>
      </c>
      <c r="BF133" s="111">
        <v>0.12</v>
      </c>
      <c r="BG133" s="109">
        <v>0</v>
      </c>
      <c r="BH133" s="109">
        <v>41.568</v>
      </c>
      <c r="BI133" s="109">
        <v>97.98</v>
      </c>
      <c r="BJ133" s="109">
        <v>0</v>
      </c>
      <c r="BK133" s="109">
        <v>17</v>
      </c>
      <c r="BL133" s="109">
        <v>0</v>
      </c>
      <c r="BM133" s="109">
        <v>9.76</v>
      </c>
      <c r="BN133" s="109">
        <v>12.33</v>
      </c>
      <c r="BO133" s="109">
        <v>5.5</v>
      </c>
      <c r="BP133" s="109">
        <v>3.23</v>
      </c>
      <c r="BQ133" s="109">
        <v>0</v>
      </c>
      <c r="BR133" s="109">
        <v>0</v>
      </c>
      <c r="BS133" s="109">
        <v>0</v>
      </c>
      <c r="BT133" s="109">
        <v>0</v>
      </c>
      <c r="BU133" s="109">
        <v>0</v>
      </c>
      <c r="BV133" s="109">
        <v>0</v>
      </c>
      <c r="BW133" s="109">
        <v>0</v>
      </c>
      <c r="BX133" s="109">
        <v>0</v>
      </c>
      <c r="BY133" s="109">
        <v>0</v>
      </c>
      <c r="BZ133" s="109">
        <v>0</v>
      </c>
      <c r="CA133" s="109">
        <v>28.78</v>
      </c>
      <c r="CB133" s="109" t="s">
        <v>225</v>
      </c>
      <c r="CC133" s="109" t="s">
        <v>369</v>
      </c>
      <c r="CD133" s="109">
        <v>478.97</v>
      </c>
      <c r="CE133" s="109">
        <v>0</v>
      </c>
      <c r="CF133" s="109">
        <v>0</v>
      </c>
      <c r="CG133" s="109">
        <v>0</v>
      </c>
      <c r="CH133" s="109">
        <v>0</v>
      </c>
      <c r="CI133" s="109">
        <v>0</v>
      </c>
      <c r="CJ133" s="109">
        <v>0</v>
      </c>
      <c r="CK133" s="109">
        <v>0</v>
      </c>
      <c r="CL133" s="109"/>
      <c r="CM133" s="109"/>
      <c r="CN133" s="109">
        <v>0</v>
      </c>
      <c r="CO133" s="109">
        <v>0</v>
      </c>
      <c r="CP133" s="109">
        <v>0</v>
      </c>
      <c r="CQ133" s="109">
        <v>0</v>
      </c>
      <c r="CR133" s="109">
        <v>0</v>
      </c>
      <c r="CS133" s="109">
        <v>0</v>
      </c>
      <c r="CT133" s="109">
        <v>0</v>
      </c>
      <c r="CU133" s="109">
        <v>12</v>
      </c>
      <c r="CV133" s="109" t="s">
        <v>235</v>
      </c>
      <c r="CW133" s="109">
        <v>0</v>
      </c>
      <c r="CX133" s="109"/>
      <c r="CY133" s="109">
        <v>49.5</v>
      </c>
      <c r="CZ133" s="109" t="s">
        <v>235</v>
      </c>
      <c r="DA133" s="109">
        <f>CY133</f>
        <v>49.5</v>
      </c>
      <c r="DB133" s="109"/>
      <c r="DE133" s="109">
        <v>0</v>
      </c>
      <c r="DF133" s="109" t="s">
        <v>236</v>
      </c>
      <c r="DG133" s="109" t="s">
        <v>221</v>
      </c>
      <c r="DH133" s="109" t="s">
        <v>220</v>
      </c>
      <c r="DI133" s="109">
        <v>9026067267</v>
      </c>
      <c r="DJ133" s="109" t="s">
        <v>222</v>
      </c>
      <c r="DK133" s="109">
        <v>0</v>
      </c>
      <c r="DL133" s="109" t="s">
        <v>226</v>
      </c>
      <c r="DM133" s="109">
        <v>24.85</v>
      </c>
    </row>
    <row r="134" ht="13.8" hidden="1" spans="1:117">
      <c r="A134" s="109">
        <v>2</v>
      </c>
      <c r="B134" s="109" t="s">
        <v>1040</v>
      </c>
      <c r="C134" s="109" t="s">
        <v>203</v>
      </c>
      <c r="D134" s="109" t="s">
        <v>225</v>
      </c>
      <c r="E134" s="109" t="s">
        <v>226</v>
      </c>
      <c r="F134" s="110">
        <v>46252</v>
      </c>
      <c r="G134" s="109" t="s">
        <v>797</v>
      </c>
      <c r="H134" s="109" t="s">
        <v>1041</v>
      </c>
      <c r="I134" s="109" t="s">
        <v>216</v>
      </c>
      <c r="J134" s="109" t="s">
        <v>217</v>
      </c>
      <c r="K134" s="109" t="s">
        <v>218</v>
      </c>
      <c r="L134" s="109" t="s">
        <v>219</v>
      </c>
      <c r="M134" s="207" t="s">
        <v>242</v>
      </c>
      <c r="N134" s="109" t="s">
        <v>220</v>
      </c>
      <c r="O134" s="109" t="s">
        <v>221</v>
      </c>
      <c r="P134" s="109" t="s">
        <v>243</v>
      </c>
      <c r="Q134" s="109" t="s">
        <v>216</v>
      </c>
      <c r="R134" s="109" t="s">
        <v>217</v>
      </c>
      <c r="S134" s="109" t="s">
        <v>220</v>
      </c>
      <c r="T134" s="109" t="s">
        <v>221</v>
      </c>
      <c r="U134" s="109" t="s">
        <v>216</v>
      </c>
      <c r="V134" s="109" t="s">
        <v>217</v>
      </c>
      <c r="W134" s="109" t="s">
        <v>218</v>
      </c>
      <c r="X134" s="109" t="s">
        <v>219</v>
      </c>
      <c r="Y134" s="109" t="s">
        <v>220</v>
      </c>
      <c r="Z134" s="109" t="s">
        <v>221</v>
      </c>
      <c r="AA134" s="109" t="s">
        <v>222</v>
      </c>
      <c r="AB134" s="109" t="s">
        <v>223</v>
      </c>
      <c r="AC134" s="109" t="s">
        <v>1042</v>
      </c>
      <c r="AD134" s="109" t="s">
        <v>1043</v>
      </c>
      <c r="AE134" s="109" t="s">
        <v>1044</v>
      </c>
      <c r="AF134" s="109" t="s">
        <v>204</v>
      </c>
      <c r="AG134" s="109" t="s">
        <v>1045</v>
      </c>
      <c r="AH134" s="109" t="s">
        <v>214</v>
      </c>
      <c r="AI134" s="109" t="s">
        <v>1042</v>
      </c>
      <c r="AJ134" s="109" t="s">
        <v>1043</v>
      </c>
      <c r="AK134" s="109" t="s">
        <v>1045</v>
      </c>
      <c r="AL134" s="109" t="s">
        <v>214</v>
      </c>
      <c r="AM134" s="109" t="s">
        <v>205</v>
      </c>
      <c r="AN134" s="207" t="s">
        <v>1046</v>
      </c>
      <c r="AO134" s="109">
        <v>102.816</v>
      </c>
      <c r="AP134" s="109">
        <v>0</v>
      </c>
      <c r="AQ134" s="109">
        <v>6</v>
      </c>
      <c r="AR134" s="109">
        <v>0</v>
      </c>
      <c r="AS134" s="109" t="s">
        <v>252</v>
      </c>
      <c r="AT134" s="109" t="s">
        <v>229</v>
      </c>
      <c r="AU134" s="110">
        <v>46267</v>
      </c>
      <c r="AV134" s="109">
        <v>487.1</v>
      </c>
      <c r="AW134" s="109" t="s">
        <v>230</v>
      </c>
      <c r="AX134" s="109" t="s">
        <v>230</v>
      </c>
      <c r="AY134" s="109">
        <v>9417.14</v>
      </c>
      <c r="AZ134" s="109" t="s">
        <v>232</v>
      </c>
      <c r="BA134" s="109" t="s">
        <v>308</v>
      </c>
      <c r="BB134" s="109">
        <v>487.1</v>
      </c>
      <c r="BC134" s="109">
        <v>428.65</v>
      </c>
      <c r="BD134" s="109">
        <v>487.1</v>
      </c>
      <c r="BE134" s="109">
        <v>58.45</v>
      </c>
      <c r="BF134" s="111">
        <v>0.12</v>
      </c>
      <c r="BG134" s="109">
        <v>0</v>
      </c>
      <c r="BH134" s="109">
        <v>102.816</v>
      </c>
      <c r="BI134" s="109">
        <v>90.57</v>
      </c>
      <c r="BJ134" s="109">
        <v>0</v>
      </c>
      <c r="BK134" s="109">
        <v>17</v>
      </c>
      <c r="BL134" s="109">
        <v>0</v>
      </c>
      <c r="BM134" s="109">
        <v>9.76</v>
      </c>
      <c r="BN134" s="109">
        <v>14.13</v>
      </c>
      <c r="BO134" s="109">
        <v>11</v>
      </c>
      <c r="BP134" s="109">
        <v>3.23</v>
      </c>
      <c r="BQ134" s="109">
        <v>0</v>
      </c>
      <c r="BR134" s="109">
        <v>0</v>
      </c>
      <c r="BS134" s="109">
        <v>0</v>
      </c>
      <c r="BT134" s="109">
        <v>0</v>
      </c>
      <c r="BU134" s="109">
        <v>0</v>
      </c>
      <c r="BV134" s="109">
        <v>0</v>
      </c>
      <c r="BW134" s="109">
        <v>0</v>
      </c>
      <c r="BX134" s="109">
        <v>250</v>
      </c>
      <c r="BY134" s="109">
        <v>0</v>
      </c>
      <c r="BZ134" s="109">
        <v>0</v>
      </c>
      <c r="CA134" s="109">
        <v>32.96</v>
      </c>
      <c r="CB134" s="109" t="s">
        <v>225</v>
      </c>
      <c r="CC134" s="109" t="s">
        <v>204</v>
      </c>
      <c r="CD134" s="109">
        <v>496.33</v>
      </c>
      <c r="CE134" s="109">
        <v>0</v>
      </c>
      <c r="CF134" s="109">
        <v>0</v>
      </c>
      <c r="CG134" s="109">
        <v>0</v>
      </c>
      <c r="CH134" s="109">
        <v>0</v>
      </c>
      <c r="CI134" s="109">
        <v>0</v>
      </c>
      <c r="CJ134" s="109">
        <v>0</v>
      </c>
      <c r="CK134" s="109">
        <v>0</v>
      </c>
      <c r="CL134" s="109"/>
      <c r="CM134" s="109"/>
      <c r="CN134" s="109">
        <v>0</v>
      </c>
      <c r="CO134" s="109">
        <v>0</v>
      </c>
      <c r="CP134" s="109">
        <v>0</v>
      </c>
      <c r="CQ134" s="109">
        <v>0</v>
      </c>
      <c r="CR134" s="109">
        <v>0</v>
      </c>
      <c r="CS134" s="109">
        <v>0</v>
      </c>
      <c r="CT134" s="109">
        <v>0</v>
      </c>
      <c r="CU134" s="109">
        <v>15.42</v>
      </c>
      <c r="CV134" s="109" t="s">
        <v>235</v>
      </c>
      <c r="CW134" s="109">
        <v>0</v>
      </c>
      <c r="CX134" s="109"/>
      <c r="CY134" s="109">
        <v>15</v>
      </c>
      <c r="CZ134" s="109" t="s">
        <v>235</v>
      </c>
      <c r="DA134" s="109">
        <v>0</v>
      </c>
      <c r="DB134" s="109"/>
      <c r="DE134" s="109">
        <v>0</v>
      </c>
      <c r="DF134" s="109" t="s">
        <v>236</v>
      </c>
      <c r="DG134" s="109" t="s">
        <v>221</v>
      </c>
      <c r="DH134" s="109" t="s">
        <v>220</v>
      </c>
      <c r="DI134" s="109">
        <v>9026067267</v>
      </c>
      <c r="DJ134" s="109" t="s">
        <v>222</v>
      </c>
      <c r="DK134" s="109">
        <v>0</v>
      </c>
      <c r="DL134" s="109" t="s">
        <v>226</v>
      </c>
      <c r="DM134" s="109">
        <v>58.45</v>
      </c>
    </row>
    <row r="135" ht="13.8" hidden="1" spans="1:117">
      <c r="A135" s="109">
        <v>2</v>
      </c>
      <c r="B135" s="109" t="s">
        <v>1047</v>
      </c>
      <c r="C135" s="109" t="s">
        <v>203</v>
      </c>
      <c r="D135" s="109" t="s">
        <v>225</v>
      </c>
      <c r="E135" s="109" t="s">
        <v>226</v>
      </c>
      <c r="F135" s="110">
        <v>46253</v>
      </c>
      <c r="G135" s="109" t="s">
        <v>1048</v>
      </c>
      <c r="H135" s="109" t="s">
        <v>1049</v>
      </c>
      <c r="I135" s="109" t="s">
        <v>216</v>
      </c>
      <c r="J135" s="109" t="s">
        <v>217</v>
      </c>
      <c r="K135" s="109" t="s">
        <v>218</v>
      </c>
      <c r="L135" s="109" t="s">
        <v>219</v>
      </c>
      <c r="M135" s="207" t="s">
        <v>242</v>
      </c>
      <c r="N135" s="109" t="s">
        <v>220</v>
      </c>
      <c r="O135" s="109" t="s">
        <v>221</v>
      </c>
      <c r="P135" s="109" t="s">
        <v>243</v>
      </c>
      <c r="Q135" s="109" t="s">
        <v>216</v>
      </c>
      <c r="R135" s="109" t="s">
        <v>217</v>
      </c>
      <c r="S135" s="109" t="s">
        <v>220</v>
      </c>
      <c r="T135" s="109" t="s">
        <v>221</v>
      </c>
      <c r="U135" s="109" t="s">
        <v>216</v>
      </c>
      <c r="V135" s="109" t="s">
        <v>217</v>
      </c>
      <c r="W135" s="109" t="s">
        <v>218</v>
      </c>
      <c r="X135" s="109" t="s">
        <v>219</v>
      </c>
      <c r="Y135" s="109" t="s">
        <v>220</v>
      </c>
      <c r="Z135" s="109" t="s">
        <v>221</v>
      </c>
      <c r="AA135" s="109" t="s">
        <v>222</v>
      </c>
      <c r="AB135" s="109" t="s">
        <v>223</v>
      </c>
      <c r="AC135" s="109" t="s">
        <v>1050</v>
      </c>
      <c r="AD135" s="109" t="s">
        <v>1051</v>
      </c>
      <c r="AE135" s="109">
        <v>369</v>
      </c>
      <c r="AF135" s="109" t="s">
        <v>431</v>
      </c>
      <c r="AG135" s="109" t="s">
        <v>432</v>
      </c>
      <c r="AH135" s="109" t="s">
        <v>214</v>
      </c>
      <c r="AI135" s="109" t="s">
        <v>1050</v>
      </c>
      <c r="AJ135" s="109" t="s">
        <v>1051</v>
      </c>
      <c r="AK135" s="109" t="s">
        <v>432</v>
      </c>
      <c r="AL135" s="109" t="s">
        <v>214</v>
      </c>
      <c r="AM135" s="109" t="s">
        <v>433</v>
      </c>
      <c r="AN135" s="207" t="s">
        <v>1052</v>
      </c>
      <c r="AO135" s="109">
        <v>145</v>
      </c>
      <c r="AP135" s="109">
        <v>0</v>
      </c>
      <c r="AQ135" s="109">
        <v>10</v>
      </c>
      <c r="AR135" s="109">
        <v>0</v>
      </c>
      <c r="AS135" s="109" t="s">
        <v>252</v>
      </c>
      <c r="AT135" s="109" t="s">
        <v>229</v>
      </c>
      <c r="AU135" s="110">
        <v>46267</v>
      </c>
      <c r="AV135" s="109">
        <v>265.91</v>
      </c>
      <c r="AW135" s="109" t="s">
        <v>230</v>
      </c>
      <c r="AX135" s="109" t="s">
        <v>230</v>
      </c>
      <c r="AY135" s="109">
        <v>3791.58</v>
      </c>
      <c r="AZ135" s="109" t="s">
        <v>232</v>
      </c>
      <c r="BA135" s="109" t="s">
        <v>233</v>
      </c>
      <c r="BB135" s="109">
        <v>265.91</v>
      </c>
      <c r="BC135" s="109">
        <v>234</v>
      </c>
      <c r="BD135" s="109">
        <v>265.91</v>
      </c>
      <c r="BE135" s="109">
        <v>31.91</v>
      </c>
      <c r="BF135" s="111">
        <v>0.12</v>
      </c>
      <c r="BG135" s="109">
        <v>0</v>
      </c>
      <c r="BH135" s="109">
        <v>145</v>
      </c>
      <c r="BI135" s="109">
        <v>174.05</v>
      </c>
      <c r="BJ135" s="109">
        <v>0</v>
      </c>
      <c r="BK135" s="109">
        <v>17</v>
      </c>
      <c r="BL135" s="109">
        <v>0</v>
      </c>
      <c r="BM135" s="109">
        <v>9.76</v>
      </c>
      <c r="BN135" s="109">
        <v>5.69</v>
      </c>
      <c r="BO135" s="109">
        <v>11</v>
      </c>
      <c r="BP135" s="109">
        <v>3.23</v>
      </c>
      <c r="BQ135" s="109">
        <v>0</v>
      </c>
      <c r="BR135" s="109">
        <v>0</v>
      </c>
      <c r="BS135" s="109">
        <v>0</v>
      </c>
      <c r="BT135" s="109">
        <v>0</v>
      </c>
      <c r="BU135" s="109">
        <v>0</v>
      </c>
      <c r="BV135" s="109">
        <v>0</v>
      </c>
      <c r="BW135" s="109">
        <v>0</v>
      </c>
      <c r="BX135" s="109">
        <v>0</v>
      </c>
      <c r="BY135" s="109">
        <v>0</v>
      </c>
      <c r="BZ135" s="109">
        <v>0</v>
      </c>
      <c r="CA135" s="109">
        <v>13.27</v>
      </c>
      <c r="CB135" s="109" t="s">
        <v>225</v>
      </c>
      <c r="CC135" s="109" t="s">
        <v>234</v>
      </c>
      <c r="CD135" s="109">
        <v>414.77</v>
      </c>
      <c r="CE135" s="109">
        <v>0</v>
      </c>
      <c r="CF135" s="109">
        <v>0</v>
      </c>
      <c r="CG135" s="109">
        <v>0</v>
      </c>
      <c r="CH135" s="109">
        <v>0</v>
      </c>
      <c r="CI135" s="109">
        <v>0</v>
      </c>
      <c r="CJ135" s="109">
        <v>0</v>
      </c>
      <c r="CK135" s="109">
        <v>0</v>
      </c>
      <c r="CL135" s="109"/>
      <c r="CM135" s="109"/>
      <c r="CN135" s="109">
        <v>0</v>
      </c>
      <c r="CO135" s="109">
        <v>0</v>
      </c>
      <c r="CP135" s="109">
        <v>0</v>
      </c>
      <c r="CQ135" s="109">
        <v>0</v>
      </c>
      <c r="CR135" s="109">
        <v>0</v>
      </c>
      <c r="CS135" s="109">
        <v>0</v>
      </c>
      <c r="CT135" s="109">
        <v>0</v>
      </c>
      <c r="CU135" s="109">
        <v>21.75</v>
      </c>
      <c r="CV135" s="109" t="s">
        <v>235</v>
      </c>
      <c r="CW135" s="109">
        <v>0</v>
      </c>
      <c r="CX135" s="109"/>
      <c r="CY135" s="109">
        <v>102.07</v>
      </c>
      <c r="CZ135" s="109" t="s">
        <v>1053</v>
      </c>
      <c r="DA135" s="109">
        <v>102.07</v>
      </c>
      <c r="DB135" s="207" t="s">
        <v>1054</v>
      </c>
      <c r="DE135" s="109">
        <v>0</v>
      </c>
      <c r="DF135" s="109" t="s">
        <v>236</v>
      </c>
      <c r="DG135" s="109" t="s">
        <v>221</v>
      </c>
      <c r="DH135" s="109" t="s">
        <v>220</v>
      </c>
      <c r="DI135" s="109">
        <v>9026067267</v>
      </c>
      <c r="DJ135" s="109" t="s">
        <v>222</v>
      </c>
      <c r="DK135" s="109">
        <v>0</v>
      </c>
      <c r="DL135" s="109" t="s">
        <v>226</v>
      </c>
      <c r="DM135" s="109">
        <v>31.91</v>
      </c>
    </row>
    <row r="136" ht="13.8" hidden="1" spans="1:117">
      <c r="A136" s="109">
        <v>2</v>
      </c>
      <c r="B136" s="109" t="s">
        <v>1055</v>
      </c>
      <c r="C136" s="109" t="s">
        <v>203</v>
      </c>
      <c r="D136" s="109" t="s">
        <v>225</v>
      </c>
      <c r="E136" s="109" t="s">
        <v>226</v>
      </c>
      <c r="F136" s="110">
        <v>46253</v>
      </c>
      <c r="G136" s="109" t="s">
        <v>1048</v>
      </c>
      <c r="H136" s="109" t="s">
        <v>1056</v>
      </c>
      <c r="I136" s="109" t="s">
        <v>216</v>
      </c>
      <c r="J136" s="109" t="s">
        <v>217</v>
      </c>
      <c r="K136" s="109" t="s">
        <v>218</v>
      </c>
      <c r="L136" s="109" t="s">
        <v>219</v>
      </c>
      <c r="M136" s="207" t="s">
        <v>242</v>
      </c>
      <c r="N136" s="109" t="s">
        <v>220</v>
      </c>
      <c r="O136" s="109" t="s">
        <v>221</v>
      </c>
      <c r="P136" s="109" t="s">
        <v>243</v>
      </c>
      <c r="Q136" s="109" t="s">
        <v>216</v>
      </c>
      <c r="R136" s="109" t="s">
        <v>217</v>
      </c>
      <c r="S136" s="109" t="s">
        <v>220</v>
      </c>
      <c r="T136" s="109" t="s">
        <v>221</v>
      </c>
      <c r="U136" s="109" t="s">
        <v>216</v>
      </c>
      <c r="V136" s="109" t="s">
        <v>217</v>
      </c>
      <c r="W136" s="109" t="s">
        <v>218</v>
      </c>
      <c r="X136" s="109" t="s">
        <v>219</v>
      </c>
      <c r="Y136" s="109" t="s">
        <v>220</v>
      </c>
      <c r="Z136" s="109" t="s">
        <v>221</v>
      </c>
      <c r="AA136" s="109" t="s">
        <v>222</v>
      </c>
      <c r="AB136" s="109" t="s">
        <v>223</v>
      </c>
      <c r="AC136" s="109" t="s">
        <v>1057</v>
      </c>
      <c r="AD136" s="109" t="s">
        <v>1058</v>
      </c>
      <c r="AE136" s="109">
        <v>289</v>
      </c>
      <c r="AF136" s="109" t="s">
        <v>564</v>
      </c>
      <c r="AG136" s="109" t="s">
        <v>1059</v>
      </c>
      <c r="AH136" s="109" t="s">
        <v>249</v>
      </c>
      <c r="AI136" s="109" t="s">
        <v>1057</v>
      </c>
      <c r="AJ136" s="109" t="s">
        <v>1058</v>
      </c>
      <c r="AK136" s="109" t="s">
        <v>1059</v>
      </c>
      <c r="AL136" s="109" t="s">
        <v>249</v>
      </c>
      <c r="AM136" s="109" t="s">
        <v>566</v>
      </c>
      <c r="AN136" s="207" t="s">
        <v>1060</v>
      </c>
      <c r="AO136" s="109">
        <v>181.814</v>
      </c>
      <c r="AP136" s="109">
        <v>0</v>
      </c>
      <c r="AQ136" s="109">
        <v>24</v>
      </c>
      <c r="AR136" s="109">
        <v>0</v>
      </c>
      <c r="AS136" s="109" t="s">
        <v>252</v>
      </c>
      <c r="AT136" s="109" t="s">
        <v>229</v>
      </c>
      <c r="AU136" s="110">
        <v>46267</v>
      </c>
      <c r="AV136" s="109">
        <v>322.25</v>
      </c>
      <c r="AW136" s="109" t="s">
        <v>230</v>
      </c>
      <c r="AX136" s="109" t="s">
        <v>231</v>
      </c>
      <c r="AY136" s="109">
        <v>5974.66</v>
      </c>
      <c r="AZ136" s="109" t="s">
        <v>232</v>
      </c>
      <c r="BA136" s="109" t="s">
        <v>356</v>
      </c>
      <c r="BB136" s="109">
        <v>322.25</v>
      </c>
      <c r="BC136" s="109">
        <v>283.58</v>
      </c>
      <c r="BD136" s="109">
        <v>322.25</v>
      </c>
      <c r="BE136" s="109">
        <v>38.67</v>
      </c>
      <c r="BF136" s="111">
        <v>0.12</v>
      </c>
      <c r="BG136" s="109">
        <v>0</v>
      </c>
      <c r="BH136" s="109">
        <v>181.814</v>
      </c>
      <c r="BI136" s="109">
        <v>212.72</v>
      </c>
      <c r="BJ136" s="109">
        <v>0</v>
      </c>
      <c r="BK136" s="109">
        <v>17</v>
      </c>
      <c r="BL136" s="109">
        <v>0</v>
      </c>
      <c r="BM136" s="109">
        <v>9.76</v>
      </c>
      <c r="BN136" s="109">
        <v>8.96</v>
      </c>
      <c r="BO136" s="109">
        <v>11</v>
      </c>
      <c r="BP136" s="109">
        <v>3.23</v>
      </c>
      <c r="BQ136" s="109">
        <v>0</v>
      </c>
      <c r="BR136" s="109">
        <v>0</v>
      </c>
      <c r="BS136" s="109">
        <v>0</v>
      </c>
      <c r="BT136" s="109">
        <v>0</v>
      </c>
      <c r="BU136" s="109">
        <v>0</v>
      </c>
      <c r="BV136" s="109">
        <v>0</v>
      </c>
      <c r="BW136" s="109">
        <v>0</v>
      </c>
      <c r="BX136" s="109">
        <v>0</v>
      </c>
      <c r="BY136" s="109">
        <v>0</v>
      </c>
      <c r="BZ136" s="109">
        <v>0</v>
      </c>
      <c r="CA136" s="109">
        <v>20.91</v>
      </c>
      <c r="CB136" s="109" t="s">
        <v>225</v>
      </c>
      <c r="CC136" s="109" t="s">
        <v>1061</v>
      </c>
      <c r="CD136" s="109">
        <v>446.39</v>
      </c>
      <c r="CE136" s="109">
        <v>0</v>
      </c>
      <c r="CF136" s="109">
        <v>0</v>
      </c>
      <c r="CG136" s="109">
        <v>0</v>
      </c>
      <c r="CH136" s="109">
        <v>0</v>
      </c>
      <c r="CI136" s="109">
        <v>0</v>
      </c>
      <c r="CJ136" s="109">
        <v>0</v>
      </c>
      <c r="CK136" s="109">
        <v>0</v>
      </c>
      <c r="CL136" s="109"/>
      <c r="CM136" s="109"/>
      <c r="CN136" s="109">
        <v>0</v>
      </c>
      <c r="CO136" s="109">
        <v>0</v>
      </c>
      <c r="CP136" s="109">
        <v>0</v>
      </c>
      <c r="CQ136" s="109">
        <v>0</v>
      </c>
      <c r="CR136" s="109">
        <v>0</v>
      </c>
      <c r="CS136" s="109">
        <v>0</v>
      </c>
      <c r="CT136" s="109">
        <v>0</v>
      </c>
      <c r="CU136" s="109">
        <v>27.27</v>
      </c>
      <c r="CV136" s="109" t="s">
        <v>235</v>
      </c>
      <c r="CW136" s="109">
        <v>0</v>
      </c>
      <c r="CX136" s="109"/>
      <c r="CY136" s="109">
        <v>104.68</v>
      </c>
      <c r="CZ136" s="109" t="s">
        <v>1062</v>
      </c>
      <c r="DA136" s="109">
        <v>117.45</v>
      </c>
      <c r="DB136" s="207" t="s">
        <v>1063</v>
      </c>
      <c r="DE136" s="109">
        <v>0</v>
      </c>
      <c r="DF136" s="109" t="s">
        <v>236</v>
      </c>
      <c r="DG136" s="109" t="s">
        <v>221</v>
      </c>
      <c r="DH136" s="109" t="s">
        <v>220</v>
      </c>
      <c r="DI136" s="109">
        <v>9026067267</v>
      </c>
      <c r="DJ136" s="109" t="s">
        <v>222</v>
      </c>
      <c r="DK136" s="109">
        <v>0</v>
      </c>
      <c r="DL136" s="109" t="s">
        <v>226</v>
      </c>
      <c r="DM136" s="109">
        <v>38.67</v>
      </c>
    </row>
    <row r="137" ht="13.8" hidden="1" spans="1:117">
      <c r="A137" s="109">
        <v>2</v>
      </c>
      <c r="B137" s="109" t="s">
        <v>1064</v>
      </c>
      <c r="C137" s="109" t="s">
        <v>203</v>
      </c>
      <c r="D137" s="109" t="s">
        <v>225</v>
      </c>
      <c r="E137" s="109" t="s">
        <v>226</v>
      </c>
      <c r="F137" s="110">
        <v>46253</v>
      </c>
      <c r="G137" s="109" t="s">
        <v>1048</v>
      </c>
      <c r="H137" s="109" t="s">
        <v>1065</v>
      </c>
      <c r="I137" s="109" t="s">
        <v>216</v>
      </c>
      <c r="J137" s="109" t="s">
        <v>217</v>
      </c>
      <c r="K137" s="109" t="s">
        <v>218</v>
      </c>
      <c r="L137" s="109" t="s">
        <v>219</v>
      </c>
      <c r="M137" s="207" t="s">
        <v>242</v>
      </c>
      <c r="N137" s="109" t="s">
        <v>220</v>
      </c>
      <c r="O137" s="109" t="s">
        <v>221</v>
      </c>
      <c r="P137" s="109" t="s">
        <v>243</v>
      </c>
      <c r="Q137" s="109" t="s">
        <v>216</v>
      </c>
      <c r="R137" s="109" t="s">
        <v>217</v>
      </c>
      <c r="S137" s="109" t="s">
        <v>220</v>
      </c>
      <c r="T137" s="109" t="s">
        <v>221</v>
      </c>
      <c r="U137" s="109" t="s">
        <v>216</v>
      </c>
      <c r="V137" s="109" t="s">
        <v>217</v>
      </c>
      <c r="W137" s="109" t="s">
        <v>218</v>
      </c>
      <c r="X137" s="109" t="s">
        <v>219</v>
      </c>
      <c r="Y137" s="109" t="s">
        <v>220</v>
      </c>
      <c r="Z137" s="109" t="s">
        <v>221</v>
      </c>
      <c r="AA137" s="109" t="s">
        <v>222</v>
      </c>
      <c r="AB137" s="109" t="s">
        <v>223</v>
      </c>
      <c r="AC137" s="109" t="s">
        <v>1066</v>
      </c>
      <c r="AD137" s="109" t="s">
        <v>1067</v>
      </c>
      <c r="AE137" s="109" t="s">
        <v>246</v>
      </c>
      <c r="AF137" s="109" t="s">
        <v>247</v>
      </c>
      <c r="AG137" s="109" t="s">
        <v>248</v>
      </c>
      <c r="AH137" s="109" t="s">
        <v>249</v>
      </c>
      <c r="AI137" s="109" t="s">
        <v>1066</v>
      </c>
      <c r="AJ137" s="109" t="s">
        <v>1067</v>
      </c>
      <c r="AK137" s="109" t="s">
        <v>248</v>
      </c>
      <c r="AL137" s="109" t="s">
        <v>249</v>
      </c>
      <c r="AM137" s="109" t="s">
        <v>250</v>
      </c>
      <c r="AN137" s="207" t="s">
        <v>1068</v>
      </c>
      <c r="AO137" s="109">
        <v>301.225</v>
      </c>
      <c r="AP137" s="109">
        <v>0</v>
      </c>
      <c r="AQ137" s="109">
        <v>31</v>
      </c>
      <c r="AR137" s="109">
        <v>0</v>
      </c>
      <c r="AS137" s="109" t="s">
        <v>252</v>
      </c>
      <c r="AT137" s="109" t="s">
        <v>229</v>
      </c>
      <c r="AU137" s="110">
        <v>46267</v>
      </c>
      <c r="AV137" s="109">
        <v>410.51</v>
      </c>
      <c r="AW137" s="109" t="s">
        <v>230</v>
      </c>
      <c r="AX137" s="109" t="s">
        <v>230</v>
      </c>
      <c r="AY137" s="109">
        <v>7625.28</v>
      </c>
      <c r="AZ137" s="109" t="s">
        <v>232</v>
      </c>
      <c r="BA137" s="109" t="s">
        <v>253</v>
      </c>
      <c r="BB137" s="109">
        <v>410.51</v>
      </c>
      <c r="BC137" s="109">
        <v>361.25</v>
      </c>
      <c r="BD137" s="109">
        <v>410.51</v>
      </c>
      <c r="BE137" s="109">
        <v>49.26</v>
      </c>
      <c r="BF137" s="111">
        <v>0.12</v>
      </c>
      <c r="BG137" s="109">
        <v>0</v>
      </c>
      <c r="BH137" s="109">
        <v>301.225</v>
      </c>
      <c r="BI137" s="109">
        <v>271.13</v>
      </c>
      <c r="BJ137" s="109">
        <v>0</v>
      </c>
      <c r="BK137" s="109">
        <v>17</v>
      </c>
      <c r="BL137" s="109">
        <v>0</v>
      </c>
      <c r="BM137" s="109">
        <v>9.76</v>
      </c>
      <c r="BN137" s="109">
        <v>11.44</v>
      </c>
      <c r="BO137" s="109">
        <v>22</v>
      </c>
      <c r="BP137" s="109">
        <v>3.23</v>
      </c>
      <c r="BQ137" s="109">
        <v>0</v>
      </c>
      <c r="BR137" s="109">
        <v>0</v>
      </c>
      <c r="BS137" s="109">
        <v>0</v>
      </c>
      <c r="BT137" s="109">
        <v>0</v>
      </c>
      <c r="BU137" s="109">
        <v>0</v>
      </c>
      <c r="BV137" s="109">
        <v>0</v>
      </c>
      <c r="BW137" s="109">
        <v>0</v>
      </c>
      <c r="BX137" s="109">
        <v>0</v>
      </c>
      <c r="BY137" s="109">
        <v>0</v>
      </c>
      <c r="BZ137" s="109">
        <v>0</v>
      </c>
      <c r="CA137" s="109">
        <v>26.69</v>
      </c>
      <c r="CB137" s="109" t="s">
        <v>225</v>
      </c>
      <c r="CC137" s="109" t="s">
        <v>247</v>
      </c>
      <c r="CD137" s="109">
        <v>824.65</v>
      </c>
      <c r="CE137" s="109">
        <v>0</v>
      </c>
      <c r="CF137" s="109">
        <v>0</v>
      </c>
      <c r="CG137" s="109">
        <v>0</v>
      </c>
      <c r="CH137" s="109">
        <v>0</v>
      </c>
      <c r="CI137" s="109">
        <v>0</v>
      </c>
      <c r="CJ137" s="109">
        <v>0</v>
      </c>
      <c r="CK137" s="109">
        <v>0</v>
      </c>
      <c r="CL137" s="109"/>
      <c r="CM137" s="109"/>
      <c r="CN137" s="109">
        <v>0</v>
      </c>
      <c r="CO137" s="109">
        <v>0</v>
      </c>
      <c r="CP137" s="109">
        <v>0</v>
      </c>
      <c r="CQ137" s="109">
        <v>0</v>
      </c>
      <c r="CR137" s="109">
        <v>0</v>
      </c>
      <c r="CS137" s="109">
        <v>0</v>
      </c>
      <c r="CT137" s="109">
        <v>0</v>
      </c>
      <c r="CU137" s="109">
        <v>45.18</v>
      </c>
      <c r="CV137" s="109" t="s">
        <v>235</v>
      </c>
      <c r="CW137" s="109">
        <v>0</v>
      </c>
      <c r="CX137" s="109"/>
      <c r="CY137" s="109">
        <v>54.22</v>
      </c>
      <c r="CZ137" s="109" t="s">
        <v>235</v>
      </c>
      <c r="DA137" s="109">
        <v>0</v>
      </c>
      <c r="DB137" s="109"/>
      <c r="DE137" s="109">
        <v>0</v>
      </c>
      <c r="DF137" s="109" t="s">
        <v>236</v>
      </c>
      <c r="DG137" s="109" t="s">
        <v>221</v>
      </c>
      <c r="DH137" s="109" t="s">
        <v>220</v>
      </c>
      <c r="DI137" s="109">
        <v>9026067267</v>
      </c>
      <c r="DJ137" s="109" t="s">
        <v>222</v>
      </c>
      <c r="DK137" s="109">
        <v>0</v>
      </c>
      <c r="DL137" s="109" t="s">
        <v>226</v>
      </c>
      <c r="DM137" s="109">
        <v>49.26</v>
      </c>
    </row>
    <row r="138" ht="13.8" hidden="1" spans="1:117">
      <c r="A138" s="109">
        <v>2</v>
      </c>
      <c r="B138" s="109" t="s">
        <v>1069</v>
      </c>
      <c r="C138" s="109" t="s">
        <v>203</v>
      </c>
      <c r="D138" s="109" t="s">
        <v>225</v>
      </c>
      <c r="E138" s="109" t="s">
        <v>226</v>
      </c>
      <c r="F138" s="110">
        <v>46253</v>
      </c>
      <c r="G138" s="109" t="s">
        <v>1048</v>
      </c>
      <c r="H138" s="109" t="s">
        <v>1070</v>
      </c>
      <c r="I138" s="109" t="s">
        <v>216</v>
      </c>
      <c r="J138" s="109" t="s">
        <v>217</v>
      </c>
      <c r="K138" s="109" t="s">
        <v>218</v>
      </c>
      <c r="L138" s="109" t="s">
        <v>219</v>
      </c>
      <c r="M138" s="207" t="s">
        <v>242</v>
      </c>
      <c r="N138" s="109" t="s">
        <v>220</v>
      </c>
      <c r="O138" s="109" t="s">
        <v>221</v>
      </c>
      <c r="P138" s="109" t="s">
        <v>243</v>
      </c>
      <c r="Q138" s="109" t="s">
        <v>216</v>
      </c>
      <c r="R138" s="109" t="s">
        <v>217</v>
      </c>
      <c r="S138" s="109" t="s">
        <v>220</v>
      </c>
      <c r="T138" s="109" t="s">
        <v>221</v>
      </c>
      <c r="U138" s="109" t="s">
        <v>216</v>
      </c>
      <c r="V138" s="109" t="s">
        <v>217</v>
      </c>
      <c r="W138" s="109" t="s">
        <v>218</v>
      </c>
      <c r="X138" s="109" t="s">
        <v>219</v>
      </c>
      <c r="Y138" s="109" t="s">
        <v>220</v>
      </c>
      <c r="Z138" s="109" t="s">
        <v>221</v>
      </c>
      <c r="AA138" s="109" t="s">
        <v>222</v>
      </c>
      <c r="AB138" s="109" t="s">
        <v>223</v>
      </c>
      <c r="AC138" s="109" t="s">
        <v>1071</v>
      </c>
      <c r="AD138" s="109" t="s">
        <v>1072</v>
      </c>
      <c r="AE138" s="109" t="s">
        <v>294</v>
      </c>
      <c r="AF138" s="109" t="s">
        <v>295</v>
      </c>
      <c r="AG138" s="109" t="s">
        <v>296</v>
      </c>
      <c r="AH138" s="109" t="s">
        <v>297</v>
      </c>
      <c r="AI138" s="109" t="s">
        <v>1071</v>
      </c>
      <c r="AJ138" s="109" t="s">
        <v>1072</v>
      </c>
      <c r="AK138" s="109" t="s">
        <v>296</v>
      </c>
      <c r="AL138" s="109" t="s">
        <v>297</v>
      </c>
      <c r="AM138" s="109" t="s">
        <v>298</v>
      </c>
      <c r="AN138" s="207" t="s">
        <v>1073</v>
      </c>
      <c r="AO138" s="109">
        <v>38.378</v>
      </c>
      <c r="AP138" s="109">
        <v>0</v>
      </c>
      <c r="AQ138" s="109">
        <v>6</v>
      </c>
      <c r="AR138" s="109">
        <v>0</v>
      </c>
      <c r="AS138" s="109" t="s">
        <v>252</v>
      </c>
      <c r="AT138" s="109" t="s">
        <v>229</v>
      </c>
      <c r="AU138" s="110">
        <v>46267</v>
      </c>
      <c r="AV138" s="109">
        <v>113.92</v>
      </c>
      <c r="AW138" s="109" t="s">
        <v>230</v>
      </c>
      <c r="AX138" s="109" t="s">
        <v>230</v>
      </c>
      <c r="AY138" s="109">
        <v>1592.66</v>
      </c>
      <c r="AZ138" s="109" t="s">
        <v>232</v>
      </c>
      <c r="BA138" s="109" t="s">
        <v>300</v>
      </c>
      <c r="BB138" s="109">
        <v>113.92</v>
      </c>
      <c r="BC138" s="109">
        <v>100.25</v>
      </c>
      <c r="BD138" s="109">
        <v>113.92</v>
      </c>
      <c r="BE138" s="109">
        <v>13.67</v>
      </c>
      <c r="BF138" s="111">
        <v>0.12</v>
      </c>
      <c r="BG138" s="109">
        <v>0</v>
      </c>
      <c r="BH138" s="109">
        <v>38.378</v>
      </c>
      <c r="BI138" s="109">
        <v>56.8</v>
      </c>
      <c r="BJ138" s="109">
        <v>0</v>
      </c>
      <c r="BK138" s="109">
        <v>17</v>
      </c>
      <c r="BL138" s="109">
        <v>0</v>
      </c>
      <c r="BM138" s="109">
        <v>9.76</v>
      </c>
      <c r="BN138" s="109">
        <v>2.39</v>
      </c>
      <c r="BO138" s="109">
        <v>5.5</v>
      </c>
      <c r="BP138" s="109">
        <v>3.23</v>
      </c>
      <c r="BQ138" s="109">
        <v>0</v>
      </c>
      <c r="BR138" s="109">
        <v>0</v>
      </c>
      <c r="BS138" s="109">
        <v>0</v>
      </c>
      <c r="BT138" s="109">
        <v>0</v>
      </c>
      <c r="BU138" s="109">
        <v>0</v>
      </c>
      <c r="BV138" s="109">
        <v>0</v>
      </c>
      <c r="BW138" s="109">
        <v>0</v>
      </c>
      <c r="BX138" s="109">
        <v>0</v>
      </c>
      <c r="BY138" s="109">
        <v>0</v>
      </c>
      <c r="BZ138" s="109">
        <v>0</v>
      </c>
      <c r="CA138" s="109">
        <v>5.57</v>
      </c>
      <c r="CB138" s="109" t="s">
        <v>225</v>
      </c>
      <c r="CC138" s="109" t="s">
        <v>295</v>
      </c>
      <c r="CD138" s="109">
        <v>383.7</v>
      </c>
      <c r="CE138" s="109">
        <v>0</v>
      </c>
      <c r="CF138" s="109">
        <v>0</v>
      </c>
      <c r="CG138" s="109">
        <v>0</v>
      </c>
      <c r="CH138" s="109">
        <v>0</v>
      </c>
      <c r="CI138" s="109">
        <v>0</v>
      </c>
      <c r="CJ138" s="109">
        <v>0</v>
      </c>
      <c r="CK138" s="109">
        <v>0</v>
      </c>
      <c r="CL138" s="109"/>
      <c r="CM138" s="109"/>
      <c r="CN138" s="109">
        <v>0</v>
      </c>
      <c r="CO138" s="109">
        <v>0</v>
      </c>
      <c r="CP138" s="109">
        <v>0</v>
      </c>
      <c r="CQ138" s="109">
        <v>0</v>
      </c>
      <c r="CR138" s="109">
        <v>0</v>
      </c>
      <c r="CS138" s="109">
        <v>0</v>
      </c>
      <c r="CT138" s="109">
        <v>0</v>
      </c>
      <c r="CU138" s="109">
        <v>12</v>
      </c>
      <c r="CV138" s="109" t="s">
        <v>235</v>
      </c>
      <c r="CW138" s="109">
        <v>0</v>
      </c>
      <c r="CX138" s="109"/>
      <c r="CY138" s="109">
        <v>18</v>
      </c>
      <c r="CZ138" s="109" t="s">
        <v>235</v>
      </c>
      <c r="DA138" s="109">
        <v>0</v>
      </c>
      <c r="DB138" s="109"/>
      <c r="DE138" s="109">
        <v>0</v>
      </c>
      <c r="DF138" s="109" t="s">
        <v>236</v>
      </c>
      <c r="DG138" s="109" t="s">
        <v>221</v>
      </c>
      <c r="DH138" s="109" t="s">
        <v>220</v>
      </c>
      <c r="DI138" s="109">
        <v>9026067267</v>
      </c>
      <c r="DJ138" s="109" t="s">
        <v>222</v>
      </c>
      <c r="DK138" s="109">
        <v>0</v>
      </c>
      <c r="DL138" s="109" t="s">
        <v>226</v>
      </c>
      <c r="DM138" s="109">
        <v>13.67</v>
      </c>
    </row>
    <row r="139" ht="13.8" hidden="1" spans="1:117">
      <c r="A139" s="109">
        <v>2</v>
      </c>
      <c r="B139" s="109" t="s">
        <v>1074</v>
      </c>
      <c r="C139" s="109" t="s">
        <v>203</v>
      </c>
      <c r="D139" s="109" t="s">
        <v>225</v>
      </c>
      <c r="E139" s="109" t="s">
        <v>226</v>
      </c>
      <c r="F139" s="110">
        <v>46253</v>
      </c>
      <c r="G139" s="109" t="s">
        <v>1048</v>
      </c>
      <c r="H139" s="109" t="s">
        <v>1075</v>
      </c>
      <c r="I139" s="109" t="s">
        <v>216</v>
      </c>
      <c r="J139" s="109" t="s">
        <v>217</v>
      </c>
      <c r="K139" s="109" t="s">
        <v>218</v>
      </c>
      <c r="L139" s="109" t="s">
        <v>219</v>
      </c>
      <c r="M139" s="207" t="s">
        <v>242</v>
      </c>
      <c r="N139" s="109" t="s">
        <v>220</v>
      </c>
      <c r="O139" s="109" t="s">
        <v>221</v>
      </c>
      <c r="P139" s="109" t="s">
        <v>243</v>
      </c>
      <c r="Q139" s="109" t="s">
        <v>216</v>
      </c>
      <c r="R139" s="109" t="s">
        <v>217</v>
      </c>
      <c r="S139" s="109" t="s">
        <v>220</v>
      </c>
      <c r="T139" s="109" t="s">
        <v>221</v>
      </c>
      <c r="U139" s="109" t="s">
        <v>216</v>
      </c>
      <c r="V139" s="109" t="s">
        <v>217</v>
      </c>
      <c r="W139" s="109" t="s">
        <v>218</v>
      </c>
      <c r="X139" s="109" t="s">
        <v>219</v>
      </c>
      <c r="Y139" s="109" t="s">
        <v>220</v>
      </c>
      <c r="Z139" s="109" t="s">
        <v>221</v>
      </c>
      <c r="AA139" s="109" t="s">
        <v>222</v>
      </c>
      <c r="AB139" s="109" t="s">
        <v>223</v>
      </c>
      <c r="AC139" s="109" t="s">
        <v>1076</v>
      </c>
      <c r="AD139" s="109" t="s">
        <v>1077</v>
      </c>
      <c r="AE139" s="109" t="s">
        <v>403</v>
      </c>
      <c r="AF139" s="109" t="s">
        <v>295</v>
      </c>
      <c r="AG139" s="109" t="s">
        <v>1078</v>
      </c>
      <c r="AH139" s="109" t="s">
        <v>297</v>
      </c>
      <c r="AI139" s="109" t="s">
        <v>1076</v>
      </c>
      <c r="AJ139" s="109" t="s">
        <v>1077</v>
      </c>
      <c r="AK139" s="109" t="s">
        <v>1078</v>
      </c>
      <c r="AL139" s="109" t="s">
        <v>297</v>
      </c>
      <c r="AM139" s="109" t="s">
        <v>298</v>
      </c>
      <c r="AN139" s="207" t="s">
        <v>1079</v>
      </c>
      <c r="AO139" s="109">
        <v>30.68</v>
      </c>
      <c r="AP139" s="109">
        <v>0</v>
      </c>
      <c r="AQ139" s="109">
        <v>4</v>
      </c>
      <c r="AR139" s="109">
        <v>0</v>
      </c>
      <c r="AS139" s="109" t="s">
        <v>252</v>
      </c>
      <c r="AT139" s="109" t="s">
        <v>229</v>
      </c>
      <c r="AU139" s="110">
        <v>46267</v>
      </c>
      <c r="AV139" s="109">
        <v>118.2</v>
      </c>
      <c r="AW139" s="109" t="s">
        <v>230</v>
      </c>
      <c r="AX139" s="109" t="s">
        <v>230</v>
      </c>
      <c r="AY139" s="109">
        <v>2347.08</v>
      </c>
      <c r="AZ139" s="109" t="s">
        <v>232</v>
      </c>
      <c r="BA139" s="109" t="s">
        <v>300</v>
      </c>
      <c r="BB139" s="109">
        <v>118.2</v>
      </c>
      <c r="BC139" s="109">
        <v>104.02</v>
      </c>
      <c r="BD139" s="109">
        <v>118.2</v>
      </c>
      <c r="BE139" s="109">
        <v>14.18</v>
      </c>
      <c r="BF139" s="111">
        <v>0.12</v>
      </c>
      <c r="BG139" s="109">
        <v>0</v>
      </c>
      <c r="BH139" s="109">
        <v>30.68</v>
      </c>
      <c r="BI139" s="109">
        <v>56.8</v>
      </c>
      <c r="BJ139" s="109">
        <v>0</v>
      </c>
      <c r="BK139" s="109">
        <v>17</v>
      </c>
      <c r="BL139" s="109">
        <v>0</v>
      </c>
      <c r="BM139" s="109">
        <v>9.76</v>
      </c>
      <c r="BN139" s="109">
        <v>3.52</v>
      </c>
      <c r="BO139" s="109">
        <v>5.5</v>
      </c>
      <c r="BP139" s="109">
        <v>3.23</v>
      </c>
      <c r="BQ139" s="109">
        <v>0</v>
      </c>
      <c r="BR139" s="109">
        <v>0</v>
      </c>
      <c r="BS139" s="109">
        <v>0</v>
      </c>
      <c r="BT139" s="109">
        <v>0</v>
      </c>
      <c r="BU139" s="109">
        <v>0</v>
      </c>
      <c r="BV139" s="109">
        <v>0</v>
      </c>
      <c r="BW139" s="109">
        <v>0</v>
      </c>
      <c r="BX139" s="109">
        <v>0</v>
      </c>
      <c r="BY139" s="109">
        <v>0</v>
      </c>
      <c r="BZ139" s="109">
        <v>0</v>
      </c>
      <c r="CA139" s="109">
        <v>8.21</v>
      </c>
      <c r="CB139" s="109" t="s">
        <v>225</v>
      </c>
      <c r="CC139" s="109" t="s">
        <v>295</v>
      </c>
      <c r="CD139" s="109">
        <v>393.74</v>
      </c>
      <c r="CE139" s="109">
        <v>0</v>
      </c>
      <c r="CF139" s="109">
        <v>0</v>
      </c>
      <c r="CG139" s="109">
        <v>0</v>
      </c>
      <c r="CH139" s="109">
        <v>0</v>
      </c>
      <c r="CI139" s="109">
        <v>0</v>
      </c>
      <c r="CJ139" s="109">
        <v>0</v>
      </c>
      <c r="CK139" s="109">
        <v>0</v>
      </c>
      <c r="CL139" s="109"/>
      <c r="CM139" s="109"/>
      <c r="CN139" s="109">
        <v>0</v>
      </c>
      <c r="CO139" s="109">
        <v>0</v>
      </c>
      <c r="CP139" s="109">
        <v>0</v>
      </c>
      <c r="CQ139" s="109">
        <v>0</v>
      </c>
      <c r="CR139" s="109">
        <v>0</v>
      </c>
      <c r="CS139" s="109">
        <v>0</v>
      </c>
      <c r="CT139" s="109">
        <v>0</v>
      </c>
      <c r="CU139" s="109">
        <v>12</v>
      </c>
      <c r="CV139" s="109" t="s">
        <v>235</v>
      </c>
      <c r="CW139" s="109">
        <v>0</v>
      </c>
      <c r="CX139" s="109"/>
      <c r="CY139" s="109">
        <v>18</v>
      </c>
      <c r="CZ139" s="109" t="s">
        <v>235</v>
      </c>
      <c r="DA139" s="109">
        <v>0</v>
      </c>
      <c r="DB139" s="109"/>
      <c r="DE139" s="109">
        <v>0</v>
      </c>
      <c r="DF139" s="109" t="s">
        <v>236</v>
      </c>
      <c r="DG139" s="109" t="s">
        <v>221</v>
      </c>
      <c r="DH139" s="109" t="s">
        <v>220</v>
      </c>
      <c r="DI139" s="109">
        <v>9026067267</v>
      </c>
      <c r="DJ139" s="109" t="s">
        <v>222</v>
      </c>
      <c r="DK139" s="109">
        <v>0</v>
      </c>
      <c r="DL139" s="109" t="s">
        <v>226</v>
      </c>
      <c r="DM139" s="109">
        <v>14.18</v>
      </c>
    </row>
    <row r="140" ht="13.8" hidden="1" spans="1:117">
      <c r="A140" s="109">
        <v>2</v>
      </c>
      <c r="B140" s="109" t="s">
        <v>1080</v>
      </c>
      <c r="C140" s="109" t="s">
        <v>203</v>
      </c>
      <c r="D140" s="109" t="s">
        <v>225</v>
      </c>
      <c r="E140" s="109" t="s">
        <v>226</v>
      </c>
      <c r="F140" s="110">
        <v>46253</v>
      </c>
      <c r="G140" s="109" t="s">
        <v>1048</v>
      </c>
      <c r="H140" s="109" t="s">
        <v>1081</v>
      </c>
      <c r="I140" s="109" t="s">
        <v>216</v>
      </c>
      <c r="J140" s="109" t="s">
        <v>217</v>
      </c>
      <c r="K140" s="109" t="s">
        <v>218</v>
      </c>
      <c r="L140" s="109" t="s">
        <v>219</v>
      </c>
      <c r="M140" s="207" t="s">
        <v>242</v>
      </c>
      <c r="N140" s="109" t="s">
        <v>220</v>
      </c>
      <c r="O140" s="109" t="s">
        <v>221</v>
      </c>
      <c r="P140" s="109" t="s">
        <v>243</v>
      </c>
      <c r="Q140" s="109" t="s">
        <v>216</v>
      </c>
      <c r="R140" s="109" t="s">
        <v>217</v>
      </c>
      <c r="S140" s="109" t="s">
        <v>220</v>
      </c>
      <c r="T140" s="109" t="s">
        <v>221</v>
      </c>
      <c r="U140" s="109" t="s">
        <v>216</v>
      </c>
      <c r="V140" s="109" t="s">
        <v>217</v>
      </c>
      <c r="W140" s="109" t="s">
        <v>218</v>
      </c>
      <c r="X140" s="109" t="s">
        <v>219</v>
      </c>
      <c r="Y140" s="109" t="s">
        <v>220</v>
      </c>
      <c r="Z140" s="109" t="s">
        <v>221</v>
      </c>
      <c r="AA140" s="109" t="s">
        <v>222</v>
      </c>
      <c r="AB140" s="109" t="s">
        <v>223</v>
      </c>
      <c r="AC140" s="109" t="s">
        <v>1082</v>
      </c>
      <c r="AD140" s="109" t="s">
        <v>1083</v>
      </c>
      <c r="AE140" s="109" t="s">
        <v>319</v>
      </c>
      <c r="AF140" s="109" t="s">
        <v>247</v>
      </c>
      <c r="AG140" s="109" t="s">
        <v>320</v>
      </c>
      <c r="AH140" s="109" t="s">
        <v>249</v>
      </c>
      <c r="AI140" s="109" t="s">
        <v>1082</v>
      </c>
      <c r="AJ140" s="109" t="s">
        <v>1083</v>
      </c>
      <c r="AK140" s="109" t="s">
        <v>320</v>
      </c>
      <c r="AL140" s="109" t="s">
        <v>249</v>
      </c>
      <c r="AM140" s="109" t="s">
        <v>250</v>
      </c>
      <c r="AN140" s="207" t="s">
        <v>1084</v>
      </c>
      <c r="AO140" s="109">
        <v>205.2</v>
      </c>
      <c r="AP140" s="109">
        <v>0</v>
      </c>
      <c r="AQ140" s="109">
        <v>18</v>
      </c>
      <c r="AR140" s="109">
        <v>0</v>
      </c>
      <c r="AS140" s="109" t="s">
        <v>252</v>
      </c>
      <c r="AT140" s="109" t="s">
        <v>229</v>
      </c>
      <c r="AU140" s="110">
        <v>46267</v>
      </c>
      <c r="AV140" s="109">
        <v>291.38</v>
      </c>
      <c r="AW140" s="109" t="s">
        <v>230</v>
      </c>
      <c r="AX140" s="109" t="s">
        <v>230</v>
      </c>
      <c r="AY140" s="109">
        <v>5043.63</v>
      </c>
      <c r="AZ140" s="109" t="s">
        <v>232</v>
      </c>
      <c r="BA140" s="109" t="s">
        <v>253</v>
      </c>
      <c r="BB140" s="109">
        <v>291.38</v>
      </c>
      <c r="BC140" s="109">
        <v>256.41</v>
      </c>
      <c r="BD140" s="109">
        <v>291.38</v>
      </c>
      <c r="BE140" s="109">
        <v>34.97</v>
      </c>
      <c r="BF140" s="111">
        <v>0.12</v>
      </c>
      <c r="BG140" s="109">
        <v>0</v>
      </c>
      <c r="BH140" s="109">
        <v>205.2</v>
      </c>
      <c r="BI140" s="109">
        <v>184.7</v>
      </c>
      <c r="BJ140" s="109">
        <v>0</v>
      </c>
      <c r="BK140" s="109">
        <v>17</v>
      </c>
      <c r="BL140" s="109">
        <v>0</v>
      </c>
      <c r="BM140" s="109">
        <v>9.76</v>
      </c>
      <c r="BN140" s="109">
        <v>7.57</v>
      </c>
      <c r="BO140" s="109">
        <v>16.5</v>
      </c>
      <c r="BP140" s="109">
        <v>3.23</v>
      </c>
      <c r="BQ140" s="109">
        <v>0</v>
      </c>
      <c r="BR140" s="109">
        <v>0</v>
      </c>
      <c r="BS140" s="109">
        <v>0</v>
      </c>
      <c r="BT140" s="109">
        <v>0</v>
      </c>
      <c r="BU140" s="109">
        <v>0</v>
      </c>
      <c r="BV140" s="109">
        <v>0</v>
      </c>
      <c r="BW140" s="109">
        <v>0</v>
      </c>
      <c r="BX140" s="109">
        <v>0</v>
      </c>
      <c r="BY140" s="109">
        <v>0</v>
      </c>
      <c r="BZ140" s="109">
        <v>0</v>
      </c>
      <c r="CA140" s="109">
        <v>17.65</v>
      </c>
      <c r="CB140" s="109" t="s">
        <v>225</v>
      </c>
      <c r="CC140" s="109" t="s">
        <v>247</v>
      </c>
      <c r="CD140" s="109">
        <v>451.12</v>
      </c>
      <c r="CE140" s="109">
        <v>0</v>
      </c>
      <c r="CF140" s="109">
        <v>0</v>
      </c>
      <c r="CG140" s="109">
        <v>0</v>
      </c>
      <c r="CH140" s="109">
        <v>0</v>
      </c>
      <c r="CI140" s="109">
        <v>0</v>
      </c>
      <c r="CJ140" s="109">
        <v>0</v>
      </c>
      <c r="CK140" s="109">
        <v>0</v>
      </c>
      <c r="CL140" s="109"/>
      <c r="CM140" s="109"/>
      <c r="CN140" s="109">
        <v>0</v>
      </c>
      <c r="CO140" s="109">
        <v>0</v>
      </c>
      <c r="CP140" s="109">
        <v>0</v>
      </c>
      <c r="CQ140" s="109">
        <v>0</v>
      </c>
      <c r="CR140" s="109">
        <v>0</v>
      </c>
      <c r="CS140" s="109">
        <v>0</v>
      </c>
      <c r="CT140" s="109">
        <v>0</v>
      </c>
      <c r="CU140" s="109">
        <v>30.78</v>
      </c>
      <c r="CV140" s="109" t="s">
        <v>235</v>
      </c>
      <c r="CW140" s="109">
        <v>0</v>
      </c>
      <c r="CX140" s="109"/>
      <c r="CY140" s="109">
        <v>36.94</v>
      </c>
      <c r="CZ140" s="109" t="s">
        <v>235</v>
      </c>
      <c r="DA140" s="109">
        <v>0</v>
      </c>
      <c r="DB140" s="109"/>
      <c r="DE140" s="109">
        <v>0</v>
      </c>
      <c r="DF140" s="109" t="s">
        <v>236</v>
      </c>
      <c r="DG140" s="109" t="s">
        <v>221</v>
      </c>
      <c r="DH140" s="109" t="s">
        <v>220</v>
      </c>
      <c r="DI140" s="109">
        <v>9026067267</v>
      </c>
      <c r="DJ140" s="109" t="s">
        <v>222</v>
      </c>
      <c r="DK140" s="109">
        <v>0</v>
      </c>
      <c r="DL140" s="109" t="s">
        <v>226</v>
      </c>
      <c r="DM140" s="109">
        <v>34.97</v>
      </c>
    </row>
    <row r="141" ht="13.8" hidden="1" spans="1:117">
      <c r="A141" s="109">
        <v>2</v>
      </c>
      <c r="B141" s="109" t="s">
        <v>1085</v>
      </c>
      <c r="C141" s="109" t="s">
        <v>203</v>
      </c>
      <c r="D141" s="109" t="s">
        <v>225</v>
      </c>
      <c r="E141" s="109" t="s">
        <v>226</v>
      </c>
      <c r="F141" s="110">
        <v>46253</v>
      </c>
      <c r="G141" s="109" t="s">
        <v>1048</v>
      </c>
      <c r="H141" s="109" t="s">
        <v>1086</v>
      </c>
      <c r="I141" s="109" t="s">
        <v>216</v>
      </c>
      <c r="J141" s="109" t="s">
        <v>217</v>
      </c>
      <c r="K141" s="109" t="s">
        <v>218</v>
      </c>
      <c r="L141" s="109" t="s">
        <v>219</v>
      </c>
      <c r="M141" s="207" t="s">
        <v>242</v>
      </c>
      <c r="N141" s="109" t="s">
        <v>220</v>
      </c>
      <c r="O141" s="109" t="s">
        <v>221</v>
      </c>
      <c r="P141" s="109" t="s">
        <v>243</v>
      </c>
      <c r="Q141" s="109" t="s">
        <v>216</v>
      </c>
      <c r="R141" s="109" t="s">
        <v>217</v>
      </c>
      <c r="S141" s="109" t="s">
        <v>220</v>
      </c>
      <c r="T141" s="109" t="s">
        <v>221</v>
      </c>
      <c r="U141" s="109" t="s">
        <v>216</v>
      </c>
      <c r="V141" s="109" t="s">
        <v>217</v>
      </c>
      <c r="W141" s="109" t="s">
        <v>218</v>
      </c>
      <c r="X141" s="109" t="s">
        <v>219</v>
      </c>
      <c r="Y141" s="109" t="s">
        <v>220</v>
      </c>
      <c r="Z141" s="109" t="s">
        <v>221</v>
      </c>
      <c r="AA141" s="109" t="s">
        <v>222</v>
      </c>
      <c r="AB141" s="109" t="s">
        <v>223</v>
      </c>
      <c r="AC141" s="109" t="s">
        <v>1087</v>
      </c>
      <c r="AD141" s="109" t="s">
        <v>1088</v>
      </c>
      <c r="AE141" s="109">
        <v>364</v>
      </c>
      <c r="AF141" s="109" t="s">
        <v>491</v>
      </c>
      <c r="AG141" s="109" t="s">
        <v>1089</v>
      </c>
      <c r="AH141" s="109" t="s">
        <v>214</v>
      </c>
      <c r="AI141" s="109" t="s">
        <v>1087</v>
      </c>
      <c r="AJ141" s="109" t="s">
        <v>1088</v>
      </c>
      <c r="AK141" s="109" t="s">
        <v>1089</v>
      </c>
      <c r="AL141" s="109" t="s">
        <v>214</v>
      </c>
      <c r="AM141" s="109" t="s">
        <v>286</v>
      </c>
      <c r="AN141" s="207" t="s">
        <v>1090</v>
      </c>
      <c r="AO141" s="109">
        <v>128.7</v>
      </c>
      <c r="AP141" s="109">
        <v>0</v>
      </c>
      <c r="AQ141" s="109">
        <v>22</v>
      </c>
      <c r="AR141" s="109">
        <v>0</v>
      </c>
      <c r="AS141" s="109" t="s">
        <v>252</v>
      </c>
      <c r="AT141" s="109" t="s">
        <v>229</v>
      </c>
      <c r="AU141" s="110">
        <v>46267</v>
      </c>
      <c r="AV141" s="109">
        <v>221.9</v>
      </c>
      <c r="AW141" s="109" t="s">
        <v>230</v>
      </c>
      <c r="AX141" s="109" t="s">
        <v>230</v>
      </c>
      <c r="AY141" s="109">
        <v>4540.73</v>
      </c>
      <c r="AZ141" s="109" t="s">
        <v>232</v>
      </c>
      <c r="BA141" s="109" t="s">
        <v>490</v>
      </c>
      <c r="BB141" s="109">
        <v>221.9</v>
      </c>
      <c r="BC141" s="109">
        <v>195.27</v>
      </c>
      <c r="BD141" s="109">
        <v>221.9</v>
      </c>
      <c r="BE141" s="109">
        <v>26.63</v>
      </c>
      <c r="BF141" s="111">
        <v>0.12</v>
      </c>
      <c r="BG141" s="109">
        <v>0</v>
      </c>
      <c r="BH141" s="109">
        <v>128.7</v>
      </c>
      <c r="BI141" s="109">
        <v>131.58</v>
      </c>
      <c r="BJ141" s="109">
        <v>0</v>
      </c>
      <c r="BK141" s="109">
        <v>17</v>
      </c>
      <c r="BL141" s="109">
        <v>0</v>
      </c>
      <c r="BM141" s="109">
        <v>9.76</v>
      </c>
      <c r="BN141" s="109">
        <v>6.81</v>
      </c>
      <c r="BO141" s="109">
        <v>11</v>
      </c>
      <c r="BP141" s="109">
        <v>3.23</v>
      </c>
      <c r="BQ141" s="109">
        <v>0</v>
      </c>
      <c r="BR141" s="109">
        <v>0</v>
      </c>
      <c r="BS141" s="109">
        <v>0</v>
      </c>
      <c r="BT141" s="109">
        <v>0</v>
      </c>
      <c r="BU141" s="109">
        <v>0</v>
      </c>
      <c r="BV141" s="109">
        <v>0</v>
      </c>
      <c r="BW141" s="109">
        <v>0</v>
      </c>
      <c r="BX141" s="109">
        <v>0</v>
      </c>
      <c r="BY141" s="109">
        <v>0</v>
      </c>
      <c r="BZ141" s="109">
        <v>0</v>
      </c>
      <c r="CA141" s="109">
        <v>15.89</v>
      </c>
      <c r="CB141" s="109" t="s">
        <v>225</v>
      </c>
      <c r="CC141" s="109" t="s">
        <v>491</v>
      </c>
      <c r="CD141" s="109">
        <v>425.58</v>
      </c>
      <c r="CE141" s="109">
        <v>0</v>
      </c>
      <c r="CF141" s="109">
        <v>0</v>
      </c>
      <c r="CG141" s="109">
        <v>0</v>
      </c>
      <c r="CH141" s="109">
        <v>0</v>
      </c>
      <c r="CI141" s="109">
        <v>0</v>
      </c>
      <c r="CJ141" s="109">
        <v>0</v>
      </c>
      <c r="CK141" s="109">
        <v>0</v>
      </c>
      <c r="CL141" s="109"/>
      <c r="CM141" s="109"/>
      <c r="CN141" s="109">
        <v>0</v>
      </c>
      <c r="CO141" s="109">
        <v>0</v>
      </c>
      <c r="CP141" s="109">
        <v>0</v>
      </c>
      <c r="CQ141" s="109">
        <v>0</v>
      </c>
      <c r="CR141" s="109">
        <v>0</v>
      </c>
      <c r="CS141" s="109">
        <v>0</v>
      </c>
      <c r="CT141" s="109">
        <v>0</v>
      </c>
      <c r="CU141" s="109">
        <v>19.31</v>
      </c>
      <c r="CV141" s="109" t="s">
        <v>235</v>
      </c>
      <c r="CW141" s="109">
        <v>0</v>
      </c>
      <c r="CX141" s="109"/>
      <c r="CY141" s="109">
        <v>69.5</v>
      </c>
      <c r="CZ141" s="109" t="s">
        <v>990</v>
      </c>
      <c r="DA141" s="109">
        <v>69.5</v>
      </c>
      <c r="DB141" s="207" t="s">
        <v>991</v>
      </c>
      <c r="DE141" s="109">
        <v>0</v>
      </c>
      <c r="DF141" s="109" t="s">
        <v>236</v>
      </c>
      <c r="DG141" s="109" t="s">
        <v>221</v>
      </c>
      <c r="DH141" s="109" t="s">
        <v>220</v>
      </c>
      <c r="DI141" s="109">
        <v>9026067267</v>
      </c>
      <c r="DJ141" s="109" t="s">
        <v>222</v>
      </c>
      <c r="DK141" s="109">
        <v>0</v>
      </c>
      <c r="DL141" s="109" t="s">
        <v>226</v>
      </c>
      <c r="DM141" s="109">
        <v>26.63</v>
      </c>
    </row>
    <row r="142" ht="13.8" hidden="1" spans="1:117">
      <c r="A142" s="109">
        <v>2</v>
      </c>
      <c r="B142" s="109" t="s">
        <v>1091</v>
      </c>
      <c r="C142" s="109" t="s">
        <v>203</v>
      </c>
      <c r="D142" s="109" t="s">
        <v>225</v>
      </c>
      <c r="E142" s="109" t="s">
        <v>226</v>
      </c>
      <c r="F142" s="110">
        <v>46254</v>
      </c>
      <c r="G142" s="109" t="s">
        <v>240</v>
      </c>
      <c r="H142" s="109" t="s">
        <v>1092</v>
      </c>
      <c r="I142" s="109" t="s">
        <v>216</v>
      </c>
      <c r="J142" s="109" t="s">
        <v>217</v>
      </c>
      <c r="K142" s="109" t="s">
        <v>218</v>
      </c>
      <c r="L142" s="109" t="s">
        <v>219</v>
      </c>
      <c r="M142" s="207" t="s">
        <v>242</v>
      </c>
      <c r="N142" s="109" t="s">
        <v>220</v>
      </c>
      <c r="O142" s="109" t="s">
        <v>221</v>
      </c>
      <c r="P142" s="109" t="s">
        <v>243</v>
      </c>
      <c r="Q142" s="109" t="s">
        <v>216</v>
      </c>
      <c r="R142" s="109" t="s">
        <v>217</v>
      </c>
      <c r="S142" s="109" t="s">
        <v>220</v>
      </c>
      <c r="T142" s="109" t="s">
        <v>221</v>
      </c>
      <c r="U142" s="109" t="s">
        <v>216</v>
      </c>
      <c r="V142" s="109" t="s">
        <v>217</v>
      </c>
      <c r="W142" s="109" t="s">
        <v>218</v>
      </c>
      <c r="X142" s="109" t="s">
        <v>219</v>
      </c>
      <c r="Y142" s="109" t="s">
        <v>220</v>
      </c>
      <c r="Z142" s="109" t="s">
        <v>221</v>
      </c>
      <c r="AA142" s="109" t="s">
        <v>222</v>
      </c>
      <c r="AB142" s="109" t="s">
        <v>223</v>
      </c>
      <c r="AC142" s="109" t="s">
        <v>1093</v>
      </c>
      <c r="AD142" s="109" t="s">
        <v>1094</v>
      </c>
      <c r="AE142" s="109">
        <v>291</v>
      </c>
      <c r="AF142" s="109" t="s">
        <v>277</v>
      </c>
      <c r="AG142" s="109" t="s">
        <v>535</v>
      </c>
      <c r="AH142" s="109" t="s">
        <v>273</v>
      </c>
      <c r="AI142" s="109" t="s">
        <v>1093</v>
      </c>
      <c r="AJ142" s="109" t="s">
        <v>1094</v>
      </c>
      <c r="AK142" s="109" t="s">
        <v>535</v>
      </c>
      <c r="AL142" s="109" t="s">
        <v>273</v>
      </c>
      <c r="AM142" s="109" t="s">
        <v>274</v>
      </c>
      <c r="AN142" s="207" t="s">
        <v>1095</v>
      </c>
      <c r="AO142" s="109">
        <v>158.61</v>
      </c>
      <c r="AP142" s="109">
        <v>0</v>
      </c>
      <c r="AQ142" s="109">
        <v>12</v>
      </c>
      <c r="AR142" s="109">
        <v>0</v>
      </c>
      <c r="AS142" s="109" t="s">
        <v>252</v>
      </c>
      <c r="AT142" s="109" t="s">
        <v>229</v>
      </c>
      <c r="AU142" s="110">
        <v>46267</v>
      </c>
      <c r="AV142" s="109">
        <v>237.91</v>
      </c>
      <c r="AW142" s="109" t="s">
        <v>230</v>
      </c>
      <c r="AX142" s="109" t="s">
        <v>231</v>
      </c>
      <c r="AY142" s="109">
        <v>3675.75</v>
      </c>
      <c r="AZ142" s="109" t="s">
        <v>232</v>
      </c>
      <c r="BA142" s="109" t="s">
        <v>276</v>
      </c>
      <c r="BB142" s="109">
        <v>237.91</v>
      </c>
      <c r="BC142" s="109">
        <v>221.26</v>
      </c>
      <c r="BD142" s="109">
        <v>237.91</v>
      </c>
      <c r="BE142" s="109">
        <v>16.65</v>
      </c>
      <c r="BF142" s="111">
        <v>0.07</v>
      </c>
      <c r="BG142" s="109">
        <v>0</v>
      </c>
      <c r="BH142" s="109">
        <v>158.61</v>
      </c>
      <c r="BI142" s="109">
        <v>161.89</v>
      </c>
      <c r="BJ142" s="109">
        <v>0</v>
      </c>
      <c r="BK142" s="109">
        <v>17</v>
      </c>
      <c r="BL142" s="109">
        <v>0</v>
      </c>
      <c r="BM142" s="109">
        <v>9.76</v>
      </c>
      <c r="BN142" s="109">
        <v>5.51</v>
      </c>
      <c r="BO142" s="109">
        <v>11</v>
      </c>
      <c r="BP142" s="109">
        <v>3.23</v>
      </c>
      <c r="BQ142" s="109">
        <v>0</v>
      </c>
      <c r="BR142" s="109">
        <v>0</v>
      </c>
      <c r="BS142" s="109">
        <v>0</v>
      </c>
      <c r="BT142" s="109">
        <v>0</v>
      </c>
      <c r="BU142" s="109">
        <v>0</v>
      </c>
      <c r="BV142" s="109">
        <v>0</v>
      </c>
      <c r="BW142" s="109">
        <v>0</v>
      </c>
      <c r="BX142" s="109">
        <v>0</v>
      </c>
      <c r="BY142" s="109">
        <v>0</v>
      </c>
      <c r="BZ142" s="109">
        <v>0</v>
      </c>
      <c r="CA142" s="109">
        <v>12.87</v>
      </c>
      <c r="CB142" s="109" t="s">
        <v>225</v>
      </c>
      <c r="CC142" s="109" t="s">
        <v>277</v>
      </c>
      <c r="CD142" s="109">
        <v>413.04</v>
      </c>
      <c r="CE142" s="109">
        <v>0</v>
      </c>
      <c r="CF142" s="109">
        <v>0</v>
      </c>
      <c r="CG142" s="109">
        <v>0</v>
      </c>
      <c r="CH142" s="109">
        <v>0</v>
      </c>
      <c r="CI142" s="109">
        <v>0</v>
      </c>
      <c r="CJ142" s="109">
        <v>0</v>
      </c>
      <c r="CK142" s="109">
        <v>0</v>
      </c>
      <c r="CL142" s="109"/>
      <c r="CM142" s="109"/>
      <c r="CN142" s="109">
        <v>0</v>
      </c>
      <c r="CO142" s="109">
        <v>0</v>
      </c>
      <c r="CP142" s="109">
        <v>0</v>
      </c>
      <c r="CQ142" s="109">
        <v>0</v>
      </c>
      <c r="CR142" s="109">
        <v>0</v>
      </c>
      <c r="CS142" s="109">
        <v>0</v>
      </c>
      <c r="CT142" s="109">
        <v>0</v>
      </c>
      <c r="CU142" s="109">
        <v>23.79</v>
      </c>
      <c r="CV142" s="109" t="s">
        <v>235</v>
      </c>
      <c r="CW142" s="109">
        <v>0</v>
      </c>
      <c r="CX142" s="109"/>
      <c r="CY142" s="109">
        <v>106.2</v>
      </c>
      <c r="CZ142" s="109" t="s">
        <v>1096</v>
      </c>
      <c r="DA142" s="109">
        <v>114.2</v>
      </c>
      <c r="DB142" s="207" t="s">
        <v>1097</v>
      </c>
      <c r="DE142" s="109">
        <v>0</v>
      </c>
      <c r="DF142" s="109" t="s">
        <v>236</v>
      </c>
      <c r="DG142" s="109" t="s">
        <v>221</v>
      </c>
      <c r="DH142" s="109" t="s">
        <v>220</v>
      </c>
      <c r="DI142" s="109">
        <v>9026067267</v>
      </c>
      <c r="DJ142" s="109" t="s">
        <v>222</v>
      </c>
      <c r="DK142" s="109">
        <v>0</v>
      </c>
      <c r="DL142" s="109" t="s">
        <v>226</v>
      </c>
      <c r="DM142" s="109">
        <v>16.65</v>
      </c>
    </row>
    <row r="143" ht="13.8" hidden="1" spans="1:117">
      <c r="A143" s="109">
        <v>2</v>
      </c>
      <c r="B143" s="109" t="s">
        <v>1098</v>
      </c>
      <c r="C143" s="109" t="s">
        <v>203</v>
      </c>
      <c r="D143" s="109" t="s">
        <v>225</v>
      </c>
      <c r="E143" s="109" t="s">
        <v>226</v>
      </c>
      <c r="F143" s="110">
        <v>46254</v>
      </c>
      <c r="G143" s="109" t="s">
        <v>240</v>
      </c>
      <c r="H143" s="109" t="s">
        <v>1099</v>
      </c>
      <c r="I143" s="109" t="s">
        <v>216</v>
      </c>
      <c r="J143" s="109" t="s">
        <v>217</v>
      </c>
      <c r="K143" s="109" t="s">
        <v>218</v>
      </c>
      <c r="L143" s="109" t="s">
        <v>219</v>
      </c>
      <c r="M143" s="207" t="s">
        <v>242</v>
      </c>
      <c r="N143" s="109" t="s">
        <v>220</v>
      </c>
      <c r="O143" s="109" t="s">
        <v>221</v>
      </c>
      <c r="P143" s="109" t="s">
        <v>243</v>
      </c>
      <c r="Q143" s="109" t="s">
        <v>216</v>
      </c>
      <c r="R143" s="109" t="s">
        <v>217</v>
      </c>
      <c r="S143" s="109" t="s">
        <v>220</v>
      </c>
      <c r="T143" s="109" t="s">
        <v>221</v>
      </c>
      <c r="U143" s="109" t="s">
        <v>216</v>
      </c>
      <c r="V143" s="109" t="s">
        <v>217</v>
      </c>
      <c r="W143" s="109" t="s">
        <v>218</v>
      </c>
      <c r="X143" s="109" t="s">
        <v>219</v>
      </c>
      <c r="Y143" s="109" t="s">
        <v>220</v>
      </c>
      <c r="Z143" s="109" t="s">
        <v>221</v>
      </c>
      <c r="AA143" s="109" t="s">
        <v>222</v>
      </c>
      <c r="AB143" s="109" t="s">
        <v>223</v>
      </c>
      <c r="AC143" s="109" t="s">
        <v>1100</v>
      </c>
      <c r="AD143" s="109" t="s">
        <v>1101</v>
      </c>
      <c r="AE143" s="109">
        <v>332</v>
      </c>
      <c r="AF143" s="109" t="s">
        <v>204</v>
      </c>
      <c r="AG143" s="109" t="s">
        <v>471</v>
      </c>
      <c r="AH143" s="109" t="s">
        <v>214</v>
      </c>
      <c r="AI143" s="109" t="s">
        <v>1100</v>
      </c>
      <c r="AJ143" s="109" t="s">
        <v>1101</v>
      </c>
      <c r="AK143" s="109" t="s">
        <v>471</v>
      </c>
      <c r="AL143" s="109" t="s">
        <v>214</v>
      </c>
      <c r="AM143" s="109" t="s">
        <v>205</v>
      </c>
      <c r="AN143" s="207" t="s">
        <v>1102</v>
      </c>
      <c r="AO143" s="109">
        <v>102</v>
      </c>
      <c r="AP143" s="109">
        <v>0</v>
      </c>
      <c r="AQ143" s="109">
        <v>8</v>
      </c>
      <c r="AR143" s="109">
        <v>0</v>
      </c>
      <c r="AS143" s="109" t="s">
        <v>252</v>
      </c>
      <c r="AT143" s="109" t="s">
        <v>229</v>
      </c>
      <c r="AU143" s="110">
        <v>46267</v>
      </c>
      <c r="AV143" s="109">
        <v>171.41</v>
      </c>
      <c r="AW143" s="109" t="s">
        <v>230</v>
      </c>
      <c r="AX143" s="109" t="s">
        <v>230</v>
      </c>
      <c r="AY143" s="109">
        <v>4000.32</v>
      </c>
      <c r="AZ143" s="109" t="s">
        <v>232</v>
      </c>
      <c r="BA143" s="109" t="s">
        <v>308</v>
      </c>
      <c r="BB143" s="109">
        <v>171.41</v>
      </c>
      <c r="BC143" s="109">
        <v>150.84</v>
      </c>
      <c r="BD143" s="109">
        <v>171.41</v>
      </c>
      <c r="BE143" s="109">
        <v>20.57</v>
      </c>
      <c r="BF143" s="111">
        <v>0.12</v>
      </c>
      <c r="BG143" s="109">
        <v>0</v>
      </c>
      <c r="BH143" s="109">
        <v>102</v>
      </c>
      <c r="BI143" s="109">
        <v>89.85</v>
      </c>
      <c r="BJ143" s="109">
        <v>0</v>
      </c>
      <c r="BK143" s="109">
        <v>17</v>
      </c>
      <c r="BL143" s="109">
        <v>0</v>
      </c>
      <c r="BM143" s="109">
        <v>9.76</v>
      </c>
      <c r="BN143" s="109">
        <v>6</v>
      </c>
      <c r="BO143" s="109">
        <v>11</v>
      </c>
      <c r="BP143" s="109">
        <v>3.23</v>
      </c>
      <c r="BQ143" s="109">
        <v>0</v>
      </c>
      <c r="BR143" s="109">
        <v>0</v>
      </c>
      <c r="BS143" s="109">
        <v>0</v>
      </c>
      <c r="BT143" s="109">
        <v>0</v>
      </c>
      <c r="BU143" s="109">
        <v>0</v>
      </c>
      <c r="BV143" s="109">
        <v>0</v>
      </c>
      <c r="BW143" s="109">
        <v>0</v>
      </c>
      <c r="BX143" s="109">
        <v>0</v>
      </c>
      <c r="BY143" s="109">
        <v>0</v>
      </c>
      <c r="BZ143" s="109">
        <v>0</v>
      </c>
      <c r="CA143" s="109">
        <v>14</v>
      </c>
      <c r="CB143" s="109" t="s">
        <v>225</v>
      </c>
      <c r="CC143" s="109" t="s">
        <v>204</v>
      </c>
      <c r="CD143" s="109">
        <v>417.77</v>
      </c>
      <c r="CE143" s="109">
        <v>0</v>
      </c>
      <c r="CF143" s="109">
        <v>0</v>
      </c>
      <c r="CG143" s="109">
        <v>0</v>
      </c>
      <c r="CH143" s="109">
        <v>0</v>
      </c>
      <c r="CI143" s="109">
        <v>0</v>
      </c>
      <c r="CJ143" s="109">
        <v>0</v>
      </c>
      <c r="CK143" s="109">
        <v>0</v>
      </c>
      <c r="CL143" s="109"/>
      <c r="CM143" s="109"/>
      <c r="CN143" s="109">
        <v>0</v>
      </c>
      <c r="CO143" s="109">
        <v>0</v>
      </c>
      <c r="CP143" s="109">
        <v>0</v>
      </c>
      <c r="CQ143" s="109">
        <v>0</v>
      </c>
      <c r="CR143" s="109">
        <v>0</v>
      </c>
      <c r="CS143" s="109">
        <v>0</v>
      </c>
      <c r="CT143" s="109">
        <v>0</v>
      </c>
      <c r="CU143" s="109">
        <v>15.3</v>
      </c>
      <c r="CV143" s="109" t="s">
        <v>235</v>
      </c>
      <c r="CW143" s="109">
        <v>0</v>
      </c>
      <c r="CX143" s="109"/>
      <c r="CY143" s="109">
        <v>15</v>
      </c>
      <c r="CZ143" s="109" t="s">
        <v>235</v>
      </c>
      <c r="DA143" s="109">
        <v>0</v>
      </c>
      <c r="DB143" s="109"/>
      <c r="DE143" s="109">
        <v>0</v>
      </c>
      <c r="DF143" s="109" t="s">
        <v>236</v>
      </c>
      <c r="DG143" s="109" t="s">
        <v>221</v>
      </c>
      <c r="DH143" s="109" t="s">
        <v>220</v>
      </c>
      <c r="DI143" s="109">
        <v>9026067267</v>
      </c>
      <c r="DJ143" s="109" t="s">
        <v>222</v>
      </c>
      <c r="DK143" s="109">
        <v>0</v>
      </c>
      <c r="DL143" s="109" t="s">
        <v>226</v>
      </c>
      <c r="DM143" s="109">
        <v>20.57</v>
      </c>
    </row>
    <row r="144" ht="13.8" hidden="1" spans="1:117">
      <c r="A144" s="109">
        <v>2</v>
      </c>
      <c r="B144" s="109" t="s">
        <v>1103</v>
      </c>
      <c r="C144" s="109" t="s">
        <v>203</v>
      </c>
      <c r="D144" s="109" t="s">
        <v>225</v>
      </c>
      <c r="E144" s="109" t="s">
        <v>226</v>
      </c>
      <c r="F144" s="110">
        <v>46254</v>
      </c>
      <c r="G144" s="109" t="s">
        <v>240</v>
      </c>
      <c r="H144" s="109" t="s">
        <v>1104</v>
      </c>
      <c r="I144" s="109" t="s">
        <v>216</v>
      </c>
      <c r="J144" s="109" t="s">
        <v>217</v>
      </c>
      <c r="K144" s="109" t="s">
        <v>218</v>
      </c>
      <c r="L144" s="109" t="s">
        <v>219</v>
      </c>
      <c r="M144" s="207" t="s">
        <v>242</v>
      </c>
      <c r="N144" s="109" t="s">
        <v>220</v>
      </c>
      <c r="O144" s="109" t="s">
        <v>221</v>
      </c>
      <c r="P144" s="109" t="s">
        <v>243</v>
      </c>
      <c r="Q144" s="109" t="s">
        <v>216</v>
      </c>
      <c r="R144" s="109" t="s">
        <v>217</v>
      </c>
      <c r="S144" s="109" t="s">
        <v>220</v>
      </c>
      <c r="T144" s="109" t="s">
        <v>221</v>
      </c>
      <c r="U144" s="109" t="s">
        <v>216</v>
      </c>
      <c r="V144" s="109" t="s">
        <v>217</v>
      </c>
      <c r="W144" s="109" t="s">
        <v>218</v>
      </c>
      <c r="X144" s="109" t="s">
        <v>219</v>
      </c>
      <c r="Y144" s="109" t="s">
        <v>220</v>
      </c>
      <c r="Z144" s="109" t="s">
        <v>221</v>
      </c>
      <c r="AA144" s="109" t="s">
        <v>222</v>
      </c>
      <c r="AB144" s="109" t="s">
        <v>223</v>
      </c>
      <c r="AC144" s="109" t="s">
        <v>1105</v>
      </c>
      <c r="AD144" s="109" t="s">
        <v>1106</v>
      </c>
      <c r="AE144" s="109" t="s">
        <v>246</v>
      </c>
      <c r="AF144" s="109" t="s">
        <v>247</v>
      </c>
      <c r="AG144" s="109" t="s">
        <v>248</v>
      </c>
      <c r="AH144" s="109" t="s">
        <v>249</v>
      </c>
      <c r="AI144" s="109" t="s">
        <v>1105</v>
      </c>
      <c r="AJ144" s="109" t="s">
        <v>1106</v>
      </c>
      <c r="AK144" s="109" t="s">
        <v>248</v>
      </c>
      <c r="AL144" s="109" t="s">
        <v>249</v>
      </c>
      <c r="AM144" s="109" t="s">
        <v>250</v>
      </c>
      <c r="AN144" s="207" t="s">
        <v>1107</v>
      </c>
      <c r="AO144" s="109">
        <v>246</v>
      </c>
      <c r="AP144" s="109">
        <v>0</v>
      </c>
      <c r="AQ144" s="109">
        <v>15</v>
      </c>
      <c r="AR144" s="109">
        <v>0</v>
      </c>
      <c r="AS144" s="109" t="s">
        <v>252</v>
      </c>
      <c r="AT144" s="109" t="s">
        <v>229</v>
      </c>
      <c r="AU144" s="110">
        <v>46267</v>
      </c>
      <c r="AV144" s="109">
        <v>340.43</v>
      </c>
      <c r="AW144" s="109" t="s">
        <v>230</v>
      </c>
      <c r="AX144" s="109" t="s">
        <v>230</v>
      </c>
      <c r="AY144" s="109">
        <v>6334.66</v>
      </c>
      <c r="AZ144" s="109" t="s">
        <v>232</v>
      </c>
      <c r="BA144" s="109" t="s">
        <v>253</v>
      </c>
      <c r="BB144" s="109">
        <v>340.43</v>
      </c>
      <c r="BC144" s="109">
        <v>299.58</v>
      </c>
      <c r="BD144" s="109">
        <v>340.43</v>
      </c>
      <c r="BE144" s="109">
        <v>40.85</v>
      </c>
      <c r="BF144" s="111">
        <v>0.12</v>
      </c>
      <c r="BG144" s="109">
        <v>0</v>
      </c>
      <c r="BH144" s="109">
        <v>246</v>
      </c>
      <c r="BI144" s="109">
        <v>221.42</v>
      </c>
      <c r="BJ144" s="109">
        <v>0</v>
      </c>
      <c r="BK144" s="109">
        <v>17</v>
      </c>
      <c r="BL144" s="109">
        <v>0</v>
      </c>
      <c r="BM144" s="109">
        <v>9.76</v>
      </c>
      <c r="BN144" s="109">
        <v>9.5</v>
      </c>
      <c r="BO144" s="109">
        <v>16.5</v>
      </c>
      <c r="BP144" s="109">
        <v>3.23</v>
      </c>
      <c r="BQ144" s="109">
        <v>0</v>
      </c>
      <c r="BR144" s="109">
        <v>0</v>
      </c>
      <c r="BS144" s="109">
        <v>0</v>
      </c>
      <c r="BT144" s="109">
        <v>0</v>
      </c>
      <c r="BU144" s="109">
        <v>0</v>
      </c>
      <c r="BV144" s="109">
        <v>0</v>
      </c>
      <c r="BW144" s="109">
        <v>0</v>
      </c>
      <c r="BX144" s="109">
        <v>0</v>
      </c>
      <c r="BY144" s="109">
        <v>0</v>
      </c>
      <c r="BZ144" s="109">
        <v>0</v>
      </c>
      <c r="CA144" s="109">
        <v>22.17</v>
      </c>
      <c r="CB144" s="109" t="s">
        <v>225</v>
      </c>
      <c r="CC144" s="109" t="s">
        <v>247</v>
      </c>
      <c r="CD144" s="109">
        <v>612.61</v>
      </c>
      <c r="CE144" s="109">
        <v>0</v>
      </c>
      <c r="CF144" s="109">
        <v>0</v>
      </c>
      <c r="CG144" s="109">
        <v>0</v>
      </c>
      <c r="CH144" s="109">
        <v>0</v>
      </c>
      <c r="CI144" s="109">
        <v>0</v>
      </c>
      <c r="CJ144" s="109">
        <v>0</v>
      </c>
      <c r="CK144" s="109">
        <v>0</v>
      </c>
      <c r="CL144" s="109"/>
      <c r="CM144" s="109"/>
      <c r="CN144" s="109">
        <v>0</v>
      </c>
      <c r="CO144" s="109">
        <v>0</v>
      </c>
      <c r="CP144" s="109">
        <v>0</v>
      </c>
      <c r="CQ144" s="109">
        <v>0</v>
      </c>
      <c r="CR144" s="109">
        <v>0</v>
      </c>
      <c r="CS144" s="109">
        <v>0</v>
      </c>
      <c r="CT144" s="109">
        <v>0</v>
      </c>
      <c r="CU144" s="109">
        <v>36.9</v>
      </c>
      <c r="CV144" s="109" t="s">
        <v>235</v>
      </c>
      <c r="CW144" s="109">
        <v>0</v>
      </c>
      <c r="CX144" s="109"/>
      <c r="CY144" s="109">
        <v>44.28</v>
      </c>
      <c r="CZ144" s="109" t="s">
        <v>235</v>
      </c>
      <c r="DA144" s="109">
        <v>0</v>
      </c>
      <c r="DB144" s="109"/>
      <c r="DE144" s="109">
        <v>0</v>
      </c>
      <c r="DF144" s="109" t="s">
        <v>236</v>
      </c>
      <c r="DG144" s="109" t="s">
        <v>221</v>
      </c>
      <c r="DH144" s="109" t="s">
        <v>220</v>
      </c>
      <c r="DI144" s="109">
        <v>9026067267</v>
      </c>
      <c r="DJ144" s="109" t="s">
        <v>222</v>
      </c>
      <c r="DK144" s="109">
        <v>0</v>
      </c>
      <c r="DL144" s="109" t="s">
        <v>226</v>
      </c>
      <c r="DM144" s="109">
        <v>40.85</v>
      </c>
    </row>
    <row r="145" ht="13.8" hidden="1" spans="1:117">
      <c r="A145" s="109">
        <v>2</v>
      </c>
      <c r="B145" s="109" t="s">
        <v>1108</v>
      </c>
      <c r="C145" s="109" t="s">
        <v>203</v>
      </c>
      <c r="D145" s="109" t="s">
        <v>225</v>
      </c>
      <c r="E145" s="109" t="s">
        <v>226</v>
      </c>
      <c r="F145" s="110">
        <v>46254</v>
      </c>
      <c r="G145" s="109" t="s">
        <v>240</v>
      </c>
      <c r="H145" s="109" t="s">
        <v>1109</v>
      </c>
      <c r="I145" s="109" t="s">
        <v>216</v>
      </c>
      <c r="J145" s="109" t="s">
        <v>217</v>
      </c>
      <c r="K145" s="109" t="s">
        <v>218</v>
      </c>
      <c r="L145" s="109" t="s">
        <v>219</v>
      </c>
      <c r="M145" s="207" t="s">
        <v>242</v>
      </c>
      <c r="N145" s="109" t="s">
        <v>220</v>
      </c>
      <c r="O145" s="109" t="s">
        <v>221</v>
      </c>
      <c r="P145" s="109" t="s">
        <v>243</v>
      </c>
      <c r="Q145" s="109" t="s">
        <v>216</v>
      </c>
      <c r="R145" s="109" t="s">
        <v>217</v>
      </c>
      <c r="S145" s="109" t="s">
        <v>220</v>
      </c>
      <c r="T145" s="109" t="s">
        <v>221</v>
      </c>
      <c r="U145" s="109" t="s">
        <v>216</v>
      </c>
      <c r="V145" s="109" t="s">
        <v>217</v>
      </c>
      <c r="W145" s="109" t="s">
        <v>218</v>
      </c>
      <c r="X145" s="109" t="s">
        <v>219</v>
      </c>
      <c r="Y145" s="109" t="s">
        <v>220</v>
      </c>
      <c r="Z145" s="109" t="s">
        <v>221</v>
      </c>
      <c r="AA145" s="109" t="s">
        <v>222</v>
      </c>
      <c r="AB145" s="109" t="s">
        <v>223</v>
      </c>
      <c r="AC145" s="109" t="s">
        <v>1110</v>
      </c>
      <c r="AD145" s="109" t="s">
        <v>1111</v>
      </c>
      <c r="AE145" s="109" t="s">
        <v>397</v>
      </c>
      <c r="AF145" s="109" t="s">
        <v>295</v>
      </c>
      <c r="AG145" s="109" t="s">
        <v>296</v>
      </c>
      <c r="AH145" s="109" t="s">
        <v>297</v>
      </c>
      <c r="AI145" s="109" t="s">
        <v>1110</v>
      </c>
      <c r="AJ145" s="109" t="s">
        <v>1111</v>
      </c>
      <c r="AK145" s="109" t="s">
        <v>296</v>
      </c>
      <c r="AL145" s="109" t="s">
        <v>297</v>
      </c>
      <c r="AM145" s="109" t="s">
        <v>298</v>
      </c>
      <c r="AN145" s="207" t="s">
        <v>1112</v>
      </c>
      <c r="AO145" s="109">
        <v>25</v>
      </c>
      <c r="AP145" s="109">
        <v>0</v>
      </c>
      <c r="AQ145" s="109">
        <v>2</v>
      </c>
      <c r="AR145" s="109">
        <v>0</v>
      </c>
      <c r="AS145" s="109" t="s">
        <v>252</v>
      </c>
      <c r="AT145" s="109" t="s">
        <v>229</v>
      </c>
      <c r="AU145" s="110">
        <v>46267</v>
      </c>
      <c r="AV145" s="109">
        <v>108.59</v>
      </c>
      <c r="AW145" s="109" t="s">
        <v>230</v>
      </c>
      <c r="AX145" s="109" t="s">
        <v>230</v>
      </c>
      <c r="AY145" s="109">
        <v>2374.95</v>
      </c>
      <c r="AZ145" s="109" t="s">
        <v>232</v>
      </c>
      <c r="BA145" s="109" t="s">
        <v>300</v>
      </c>
      <c r="BB145" s="109">
        <v>108.59</v>
      </c>
      <c r="BC145" s="109">
        <v>95.56</v>
      </c>
      <c r="BD145" s="109">
        <v>108.59</v>
      </c>
      <c r="BE145" s="109">
        <v>13.03</v>
      </c>
      <c r="BF145" s="111">
        <v>0.12</v>
      </c>
      <c r="BG145" s="109">
        <v>0</v>
      </c>
      <c r="BH145" s="109">
        <v>25</v>
      </c>
      <c r="BI145" s="109">
        <v>48.2</v>
      </c>
      <c r="BJ145" s="109">
        <v>0</v>
      </c>
      <c r="BK145" s="109">
        <v>17</v>
      </c>
      <c r="BL145" s="109">
        <v>0</v>
      </c>
      <c r="BM145" s="109">
        <v>9.76</v>
      </c>
      <c r="BN145" s="109">
        <v>3.56</v>
      </c>
      <c r="BO145" s="109">
        <v>5.5</v>
      </c>
      <c r="BP145" s="109">
        <v>3.23</v>
      </c>
      <c r="BQ145" s="109">
        <v>0</v>
      </c>
      <c r="BR145" s="109">
        <v>0</v>
      </c>
      <c r="BS145" s="109">
        <v>0</v>
      </c>
      <c r="BT145" s="109">
        <v>0</v>
      </c>
      <c r="BU145" s="109">
        <v>0</v>
      </c>
      <c r="BV145" s="109">
        <v>0</v>
      </c>
      <c r="BW145" s="109">
        <v>0</v>
      </c>
      <c r="BX145" s="109">
        <v>0</v>
      </c>
      <c r="BY145" s="109">
        <v>0</v>
      </c>
      <c r="BZ145" s="109">
        <v>0</v>
      </c>
      <c r="CA145" s="109">
        <v>8.31</v>
      </c>
      <c r="CB145" s="109" t="s">
        <v>225</v>
      </c>
      <c r="CC145" s="109" t="s">
        <v>295</v>
      </c>
      <c r="CD145" s="109">
        <v>394.16</v>
      </c>
      <c r="CE145" s="109">
        <v>0</v>
      </c>
      <c r="CF145" s="109">
        <v>0</v>
      </c>
      <c r="CG145" s="109">
        <v>0</v>
      </c>
      <c r="CH145" s="109">
        <v>0</v>
      </c>
      <c r="CI145" s="109">
        <v>0</v>
      </c>
      <c r="CJ145" s="109">
        <v>0</v>
      </c>
      <c r="CK145" s="109">
        <v>0</v>
      </c>
      <c r="CL145" s="109"/>
      <c r="CM145" s="109"/>
      <c r="CN145" s="109">
        <v>0</v>
      </c>
      <c r="CO145" s="109">
        <v>0</v>
      </c>
      <c r="CP145" s="109">
        <v>0</v>
      </c>
      <c r="CQ145" s="109">
        <v>0</v>
      </c>
      <c r="CR145" s="109">
        <v>0</v>
      </c>
      <c r="CS145" s="109">
        <v>0</v>
      </c>
      <c r="CT145" s="109">
        <v>0</v>
      </c>
      <c r="CU145" s="109">
        <v>12</v>
      </c>
      <c r="CV145" s="109" t="s">
        <v>235</v>
      </c>
      <c r="CW145" s="109">
        <v>0</v>
      </c>
      <c r="CX145" s="109"/>
      <c r="CY145" s="109">
        <v>18</v>
      </c>
      <c r="CZ145" s="109" t="s">
        <v>235</v>
      </c>
      <c r="DA145" s="109">
        <v>0</v>
      </c>
      <c r="DB145" s="109"/>
      <c r="DE145" s="109">
        <v>0</v>
      </c>
      <c r="DF145" s="109" t="s">
        <v>236</v>
      </c>
      <c r="DG145" s="109" t="s">
        <v>221</v>
      </c>
      <c r="DH145" s="109" t="s">
        <v>220</v>
      </c>
      <c r="DI145" s="109">
        <v>9026067267</v>
      </c>
      <c r="DJ145" s="109" t="s">
        <v>222</v>
      </c>
      <c r="DK145" s="109">
        <v>0</v>
      </c>
      <c r="DL145" s="109" t="s">
        <v>226</v>
      </c>
      <c r="DM145" s="109">
        <v>13.03</v>
      </c>
    </row>
    <row r="146" ht="13.8" hidden="1" spans="1:117">
      <c r="A146" s="109">
        <v>2</v>
      </c>
      <c r="B146" s="109" t="s">
        <v>1113</v>
      </c>
      <c r="C146" s="109" t="s">
        <v>203</v>
      </c>
      <c r="D146" s="109" t="s">
        <v>225</v>
      </c>
      <c r="E146" s="109" t="s">
        <v>226</v>
      </c>
      <c r="F146" s="110">
        <v>46254</v>
      </c>
      <c r="G146" s="109" t="s">
        <v>240</v>
      </c>
      <c r="H146" s="109" t="s">
        <v>1114</v>
      </c>
      <c r="I146" s="109" t="s">
        <v>216</v>
      </c>
      <c r="J146" s="109" t="s">
        <v>217</v>
      </c>
      <c r="K146" s="109" t="s">
        <v>218</v>
      </c>
      <c r="L146" s="109" t="s">
        <v>219</v>
      </c>
      <c r="M146" s="207" t="s">
        <v>242</v>
      </c>
      <c r="N146" s="109" t="s">
        <v>220</v>
      </c>
      <c r="O146" s="109" t="s">
        <v>221</v>
      </c>
      <c r="P146" s="109" t="s">
        <v>243</v>
      </c>
      <c r="Q146" s="109" t="s">
        <v>216</v>
      </c>
      <c r="R146" s="109" t="s">
        <v>217</v>
      </c>
      <c r="S146" s="109" t="s">
        <v>220</v>
      </c>
      <c r="T146" s="109" t="s">
        <v>221</v>
      </c>
      <c r="U146" s="109" t="s">
        <v>216</v>
      </c>
      <c r="V146" s="109" t="s">
        <v>217</v>
      </c>
      <c r="W146" s="109" t="s">
        <v>218</v>
      </c>
      <c r="X146" s="109" t="s">
        <v>219</v>
      </c>
      <c r="Y146" s="109" t="s">
        <v>220</v>
      </c>
      <c r="Z146" s="109" t="s">
        <v>221</v>
      </c>
      <c r="AA146" s="109" t="s">
        <v>222</v>
      </c>
      <c r="AB146" s="109" t="s">
        <v>223</v>
      </c>
      <c r="AC146" s="109" t="s">
        <v>1115</v>
      </c>
      <c r="AD146" s="109" t="s">
        <v>1116</v>
      </c>
      <c r="AE146" s="109" t="s">
        <v>246</v>
      </c>
      <c r="AF146" s="109" t="s">
        <v>247</v>
      </c>
      <c r="AG146" s="109" t="s">
        <v>248</v>
      </c>
      <c r="AH146" s="109" t="s">
        <v>249</v>
      </c>
      <c r="AI146" s="109" t="s">
        <v>1115</v>
      </c>
      <c r="AJ146" s="109" t="s">
        <v>1116</v>
      </c>
      <c r="AK146" s="109" t="s">
        <v>248</v>
      </c>
      <c r="AL146" s="109" t="s">
        <v>249</v>
      </c>
      <c r="AM146" s="109" t="s">
        <v>250</v>
      </c>
      <c r="AN146" s="207" t="s">
        <v>1117</v>
      </c>
      <c r="AO146" s="109">
        <v>118.74</v>
      </c>
      <c r="AP146" s="109">
        <v>0</v>
      </c>
      <c r="AQ146" s="109">
        <v>9</v>
      </c>
      <c r="AR146" s="109">
        <v>0</v>
      </c>
      <c r="AS146" s="109" t="s">
        <v>252</v>
      </c>
      <c r="AT146" s="109" t="s">
        <v>229</v>
      </c>
      <c r="AU146" s="110">
        <v>46267</v>
      </c>
      <c r="AV146" s="109">
        <v>188.01</v>
      </c>
      <c r="AW146" s="109" t="s">
        <v>230</v>
      </c>
      <c r="AX146" s="109" t="s">
        <v>230</v>
      </c>
      <c r="AY146" s="109">
        <v>3516.08</v>
      </c>
      <c r="AZ146" s="109" t="s">
        <v>232</v>
      </c>
      <c r="BA146" s="109" t="s">
        <v>253</v>
      </c>
      <c r="BB146" s="109">
        <v>188.01</v>
      </c>
      <c r="BC146" s="109">
        <v>165.45</v>
      </c>
      <c r="BD146" s="109">
        <v>188.01</v>
      </c>
      <c r="BE146" s="109">
        <v>22.56</v>
      </c>
      <c r="BF146" s="111">
        <v>0.12</v>
      </c>
      <c r="BG146" s="109">
        <v>0</v>
      </c>
      <c r="BH146" s="109">
        <v>118.74</v>
      </c>
      <c r="BI146" s="109">
        <v>106.88</v>
      </c>
      <c r="BJ146" s="109">
        <v>0</v>
      </c>
      <c r="BK146" s="109">
        <v>17</v>
      </c>
      <c r="BL146" s="109">
        <v>0</v>
      </c>
      <c r="BM146" s="109">
        <v>9.76</v>
      </c>
      <c r="BN146" s="109">
        <v>5.27</v>
      </c>
      <c r="BO146" s="109">
        <v>11</v>
      </c>
      <c r="BP146" s="109">
        <v>3.23</v>
      </c>
      <c r="BQ146" s="109">
        <v>0</v>
      </c>
      <c r="BR146" s="109">
        <v>0</v>
      </c>
      <c r="BS146" s="109">
        <v>0</v>
      </c>
      <c r="BT146" s="109">
        <v>0</v>
      </c>
      <c r="BU146" s="109">
        <v>0</v>
      </c>
      <c r="BV146" s="109">
        <v>0</v>
      </c>
      <c r="BW146" s="109">
        <v>0</v>
      </c>
      <c r="BX146" s="109">
        <v>0</v>
      </c>
      <c r="BY146" s="109">
        <v>0</v>
      </c>
      <c r="BZ146" s="109">
        <v>0</v>
      </c>
      <c r="CA146" s="109">
        <v>12.31</v>
      </c>
      <c r="CB146" s="109" t="s">
        <v>225</v>
      </c>
      <c r="CC146" s="109" t="s">
        <v>247</v>
      </c>
      <c r="CD146" s="109">
        <v>410.77</v>
      </c>
      <c r="CE146" s="109">
        <v>0</v>
      </c>
      <c r="CF146" s="109">
        <v>0</v>
      </c>
      <c r="CG146" s="109">
        <v>0</v>
      </c>
      <c r="CH146" s="109">
        <v>0</v>
      </c>
      <c r="CI146" s="109">
        <v>0</v>
      </c>
      <c r="CJ146" s="109">
        <v>0</v>
      </c>
      <c r="CK146" s="109">
        <v>0</v>
      </c>
      <c r="CL146" s="109"/>
      <c r="CM146" s="109"/>
      <c r="CN146" s="109">
        <v>0</v>
      </c>
      <c r="CO146" s="109">
        <v>0</v>
      </c>
      <c r="CP146" s="109">
        <v>0</v>
      </c>
      <c r="CQ146" s="109">
        <v>0</v>
      </c>
      <c r="CR146" s="109">
        <v>0</v>
      </c>
      <c r="CS146" s="109">
        <v>0</v>
      </c>
      <c r="CT146" s="109">
        <v>0</v>
      </c>
      <c r="CU146" s="109">
        <v>17.81</v>
      </c>
      <c r="CV146" s="109" t="s">
        <v>235</v>
      </c>
      <c r="CW146" s="109">
        <v>0</v>
      </c>
      <c r="CX146" s="109"/>
      <c r="CY146" s="109">
        <v>21.37</v>
      </c>
      <c r="CZ146" s="109" t="s">
        <v>235</v>
      </c>
      <c r="DA146" s="109">
        <v>0</v>
      </c>
      <c r="DB146" s="109"/>
      <c r="DE146" s="109">
        <v>0</v>
      </c>
      <c r="DF146" s="109" t="s">
        <v>236</v>
      </c>
      <c r="DG146" s="109" t="s">
        <v>221</v>
      </c>
      <c r="DH146" s="109" t="s">
        <v>220</v>
      </c>
      <c r="DI146" s="109">
        <v>9026067267</v>
      </c>
      <c r="DJ146" s="109" t="s">
        <v>222</v>
      </c>
      <c r="DK146" s="109">
        <v>0</v>
      </c>
      <c r="DL146" s="109" t="s">
        <v>226</v>
      </c>
      <c r="DM146" s="109">
        <v>22.56</v>
      </c>
    </row>
    <row r="147" ht="13.8" hidden="1" spans="1:117">
      <c r="A147" s="109">
        <v>2</v>
      </c>
      <c r="B147" s="109" t="s">
        <v>1118</v>
      </c>
      <c r="C147" s="109" t="s">
        <v>203</v>
      </c>
      <c r="D147" s="109" t="s">
        <v>225</v>
      </c>
      <c r="E147" s="109" t="s">
        <v>226</v>
      </c>
      <c r="F147" s="110">
        <v>46254</v>
      </c>
      <c r="G147" s="109" t="s">
        <v>240</v>
      </c>
      <c r="H147" s="109" t="s">
        <v>1119</v>
      </c>
      <c r="I147" s="109" t="s">
        <v>216</v>
      </c>
      <c r="J147" s="109" t="s">
        <v>217</v>
      </c>
      <c r="K147" s="109" t="s">
        <v>218</v>
      </c>
      <c r="L147" s="109" t="s">
        <v>219</v>
      </c>
      <c r="M147" s="207" t="s">
        <v>242</v>
      </c>
      <c r="N147" s="109" t="s">
        <v>220</v>
      </c>
      <c r="O147" s="109" t="s">
        <v>221</v>
      </c>
      <c r="P147" s="109" t="s">
        <v>243</v>
      </c>
      <c r="Q147" s="109" t="s">
        <v>216</v>
      </c>
      <c r="R147" s="109" t="s">
        <v>217</v>
      </c>
      <c r="S147" s="109" t="s">
        <v>220</v>
      </c>
      <c r="T147" s="109" t="s">
        <v>221</v>
      </c>
      <c r="U147" s="109" t="s">
        <v>216</v>
      </c>
      <c r="V147" s="109" t="s">
        <v>217</v>
      </c>
      <c r="W147" s="109" t="s">
        <v>218</v>
      </c>
      <c r="X147" s="109" t="s">
        <v>219</v>
      </c>
      <c r="Y147" s="109" t="s">
        <v>220</v>
      </c>
      <c r="Z147" s="109" t="s">
        <v>221</v>
      </c>
      <c r="AA147" s="109" t="s">
        <v>222</v>
      </c>
      <c r="AB147" s="109" t="s">
        <v>223</v>
      </c>
      <c r="AC147" s="109" t="s">
        <v>1120</v>
      </c>
      <c r="AD147" s="109" t="s">
        <v>1121</v>
      </c>
      <c r="AE147" s="109">
        <v>355</v>
      </c>
      <c r="AF147" s="109" t="s">
        <v>1122</v>
      </c>
      <c r="AG147" s="109" t="s">
        <v>1123</v>
      </c>
      <c r="AH147" s="109" t="s">
        <v>214</v>
      </c>
      <c r="AI147" s="109" t="s">
        <v>1120</v>
      </c>
      <c r="AJ147" s="109" t="s">
        <v>1121</v>
      </c>
      <c r="AK147" s="109" t="s">
        <v>1123</v>
      </c>
      <c r="AL147" s="109" t="s">
        <v>214</v>
      </c>
      <c r="AM147" s="109" t="s">
        <v>1124</v>
      </c>
      <c r="AN147" s="207" t="s">
        <v>1125</v>
      </c>
      <c r="AO147" s="109">
        <v>63.505</v>
      </c>
      <c r="AP147" s="109">
        <v>0</v>
      </c>
      <c r="AQ147" s="109">
        <v>8</v>
      </c>
      <c r="AR147" s="109">
        <v>0</v>
      </c>
      <c r="AS147" s="109" t="s">
        <v>252</v>
      </c>
      <c r="AT147" s="109" t="s">
        <v>229</v>
      </c>
      <c r="AU147" s="110">
        <v>46267</v>
      </c>
      <c r="AV147" s="109">
        <v>208.66</v>
      </c>
      <c r="AW147" s="109" t="s">
        <v>230</v>
      </c>
      <c r="AX147" s="109" t="s">
        <v>230</v>
      </c>
      <c r="AY147" s="109">
        <v>2446.68</v>
      </c>
      <c r="AZ147" s="109" t="s">
        <v>232</v>
      </c>
      <c r="BA147" s="109" t="s">
        <v>233</v>
      </c>
      <c r="BB147" s="109">
        <v>208.66</v>
      </c>
      <c r="BC147" s="109">
        <v>183.62</v>
      </c>
      <c r="BD147" s="109">
        <v>208.66</v>
      </c>
      <c r="BE147" s="109">
        <v>25.04</v>
      </c>
      <c r="BF147" s="111">
        <v>0.12</v>
      </c>
      <c r="BG147" s="109">
        <v>0</v>
      </c>
      <c r="BH147" s="109">
        <v>63.505</v>
      </c>
      <c r="BI147" s="109">
        <v>135.9</v>
      </c>
      <c r="BJ147" s="109">
        <v>0</v>
      </c>
      <c r="BK147" s="109">
        <v>17</v>
      </c>
      <c r="BL147" s="109">
        <v>0</v>
      </c>
      <c r="BM147" s="109">
        <v>9.76</v>
      </c>
      <c r="BN147" s="109">
        <v>3.67</v>
      </c>
      <c r="BO147" s="109">
        <v>5.5</v>
      </c>
      <c r="BP147" s="109">
        <v>3.23</v>
      </c>
      <c r="BQ147" s="109">
        <v>0</v>
      </c>
      <c r="BR147" s="109">
        <v>0</v>
      </c>
      <c r="BS147" s="109">
        <v>0</v>
      </c>
      <c r="BT147" s="109">
        <v>0</v>
      </c>
      <c r="BU147" s="109">
        <v>0</v>
      </c>
      <c r="BV147" s="109">
        <v>0</v>
      </c>
      <c r="BW147" s="109">
        <v>0</v>
      </c>
      <c r="BX147" s="109">
        <v>0</v>
      </c>
      <c r="BY147" s="109">
        <v>0</v>
      </c>
      <c r="BZ147" s="109">
        <v>0</v>
      </c>
      <c r="CA147" s="109">
        <v>8.56</v>
      </c>
      <c r="CB147" s="109" t="s">
        <v>225</v>
      </c>
      <c r="CC147" s="109" t="s">
        <v>234</v>
      </c>
      <c r="CD147" s="109">
        <v>395.26</v>
      </c>
      <c r="CE147" s="109">
        <v>0</v>
      </c>
      <c r="CF147" s="109">
        <v>0</v>
      </c>
      <c r="CG147" s="109">
        <v>0</v>
      </c>
      <c r="CH147" s="109">
        <v>0</v>
      </c>
      <c r="CI147" s="109">
        <v>0</v>
      </c>
      <c r="CJ147" s="109">
        <v>0</v>
      </c>
      <c r="CK147" s="109">
        <v>0</v>
      </c>
      <c r="CL147" s="109"/>
      <c r="CM147" s="109"/>
      <c r="CN147" s="109">
        <v>0</v>
      </c>
      <c r="CO147" s="109">
        <v>0</v>
      </c>
      <c r="CP147" s="109">
        <v>0</v>
      </c>
      <c r="CQ147" s="109">
        <v>0</v>
      </c>
      <c r="CR147" s="109">
        <v>0</v>
      </c>
      <c r="CS147" s="109">
        <v>0</v>
      </c>
      <c r="CT147" s="109">
        <v>0</v>
      </c>
      <c r="CU147" s="109">
        <v>12</v>
      </c>
      <c r="CV147" s="109" t="s">
        <v>235</v>
      </c>
      <c r="CW147" s="109">
        <v>0</v>
      </c>
      <c r="CX147" s="109"/>
      <c r="CY147" s="109">
        <v>54</v>
      </c>
      <c r="CZ147" s="109" t="s">
        <v>289</v>
      </c>
      <c r="DA147" s="109">
        <f>CY147</f>
        <v>54</v>
      </c>
      <c r="DB147" s="109"/>
      <c r="DE147" s="109">
        <v>0</v>
      </c>
      <c r="DF147" s="109" t="s">
        <v>236</v>
      </c>
      <c r="DG147" s="109" t="s">
        <v>221</v>
      </c>
      <c r="DH147" s="109" t="s">
        <v>220</v>
      </c>
      <c r="DI147" s="109">
        <v>9026067267</v>
      </c>
      <c r="DJ147" s="109" t="s">
        <v>222</v>
      </c>
      <c r="DK147" s="109">
        <v>0</v>
      </c>
      <c r="DL147" s="109" t="s">
        <v>226</v>
      </c>
      <c r="DM147" s="109">
        <v>25.04</v>
      </c>
    </row>
    <row r="148" ht="13.8" hidden="1" spans="1:117">
      <c r="A148" s="109">
        <v>2</v>
      </c>
      <c r="B148" s="109" t="s">
        <v>1126</v>
      </c>
      <c r="C148" s="109" t="s">
        <v>203</v>
      </c>
      <c r="D148" s="109" t="s">
        <v>225</v>
      </c>
      <c r="E148" s="109" t="s">
        <v>226</v>
      </c>
      <c r="F148" s="110">
        <v>46254</v>
      </c>
      <c r="G148" s="109" t="s">
        <v>240</v>
      </c>
      <c r="H148" s="109" t="s">
        <v>1127</v>
      </c>
      <c r="I148" s="109" t="s">
        <v>216</v>
      </c>
      <c r="J148" s="109" t="s">
        <v>217</v>
      </c>
      <c r="K148" s="109" t="s">
        <v>218</v>
      </c>
      <c r="L148" s="109" t="s">
        <v>219</v>
      </c>
      <c r="M148" s="207" t="s">
        <v>242</v>
      </c>
      <c r="N148" s="109" t="s">
        <v>220</v>
      </c>
      <c r="O148" s="109" t="s">
        <v>221</v>
      </c>
      <c r="P148" s="109" t="s">
        <v>243</v>
      </c>
      <c r="Q148" s="109" t="s">
        <v>216</v>
      </c>
      <c r="R148" s="109" t="s">
        <v>217</v>
      </c>
      <c r="S148" s="109" t="s">
        <v>220</v>
      </c>
      <c r="T148" s="109" t="s">
        <v>221</v>
      </c>
      <c r="U148" s="109" t="s">
        <v>216</v>
      </c>
      <c r="V148" s="109" t="s">
        <v>217</v>
      </c>
      <c r="W148" s="109" t="s">
        <v>218</v>
      </c>
      <c r="X148" s="109" t="s">
        <v>219</v>
      </c>
      <c r="Y148" s="109" t="s">
        <v>220</v>
      </c>
      <c r="Z148" s="109" t="s">
        <v>221</v>
      </c>
      <c r="AA148" s="109" t="s">
        <v>222</v>
      </c>
      <c r="AB148" s="109" t="s">
        <v>223</v>
      </c>
      <c r="AC148" s="109" t="s">
        <v>1128</v>
      </c>
      <c r="AD148" s="109" t="s">
        <v>1129</v>
      </c>
      <c r="AE148" s="109" t="s">
        <v>921</v>
      </c>
      <c r="AF148" s="109" t="s">
        <v>369</v>
      </c>
      <c r="AG148" s="109" t="s">
        <v>922</v>
      </c>
      <c r="AH148" s="109" t="s">
        <v>297</v>
      </c>
      <c r="AI148" s="109" t="s">
        <v>1128</v>
      </c>
      <c r="AJ148" s="109" t="s">
        <v>1129</v>
      </c>
      <c r="AK148" s="109" t="s">
        <v>922</v>
      </c>
      <c r="AL148" s="109" t="s">
        <v>297</v>
      </c>
      <c r="AM148" s="109" t="s">
        <v>298</v>
      </c>
      <c r="AN148" s="207" t="s">
        <v>1130</v>
      </c>
      <c r="AO148" s="109">
        <v>42.9</v>
      </c>
      <c r="AP148" s="109">
        <v>0</v>
      </c>
      <c r="AQ148" s="109">
        <v>3</v>
      </c>
      <c r="AR148" s="109">
        <v>0</v>
      </c>
      <c r="AS148" s="109" t="s">
        <v>252</v>
      </c>
      <c r="AT148" s="109" t="s">
        <v>229</v>
      </c>
      <c r="AU148" s="110">
        <v>46267</v>
      </c>
      <c r="AV148" s="109">
        <v>254.17</v>
      </c>
      <c r="AW148" s="109" t="s">
        <v>230</v>
      </c>
      <c r="AX148" s="109" t="s">
        <v>230</v>
      </c>
      <c r="AY148" s="109">
        <v>5040.41</v>
      </c>
      <c r="AZ148" s="109" t="s">
        <v>232</v>
      </c>
      <c r="BA148" s="109" t="s">
        <v>368</v>
      </c>
      <c r="BB148" s="109">
        <v>254.17</v>
      </c>
      <c r="BC148" s="109">
        <v>223.67</v>
      </c>
      <c r="BD148" s="109">
        <v>254.17</v>
      </c>
      <c r="BE148" s="109">
        <v>30.5</v>
      </c>
      <c r="BF148" s="111">
        <v>0.12</v>
      </c>
      <c r="BG148" s="109">
        <v>0</v>
      </c>
      <c r="BH148" s="109">
        <v>42.9</v>
      </c>
      <c r="BI148" s="109">
        <v>97.98</v>
      </c>
      <c r="BJ148" s="109">
        <v>0</v>
      </c>
      <c r="BK148" s="109">
        <v>17</v>
      </c>
      <c r="BL148" s="109">
        <v>0</v>
      </c>
      <c r="BM148" s="109">
        <v>9.76</v>
      </c>
      <c r="BN148" s="109">
        <v>7.56</v>
      </c>
      <c r="BO148" s="109">
        <v>5.5</v>
      </c>
      <c r="BP148" s="109">
        <v>3.23</v>
      </c>
      <c r="BQ148" s="109">
        <v>65</v>
      </c>
      <c r="BR148" s="109">
        <v>0</v>
      </c>
      <c r="BS148" s="109">
        <v>0</v>
      </c>
      <c r="BT148" s="109">
        <v>0</v>
      </c>
      <c r="BU148" s="109">
        <v>0</v>
      </c>
      <c r="BV148" s="109">
        <v>0</v>
      </c>
      <c r="BW148" s="109">
        <v>0</v>
      </c>
      <c r="BX148" s="109">
        <v>0</v>
      </c>
      <c r="BY148" s="109">
        <v>0</v>
      </c>
      <c r="BZ148" s="109">
        <v>0</v>
      </c>
      <c r="CA148" s="109">
        <v>17.64</v>
      </c>
      <c r="CB148" s="109" t="s">
        <v>225</v>
      </c>
      <c r="CC148" s="109" t="s">
        <v>687</v>
      </c>
      <c r="CD148" s="109">
        <v>432.85</v>
      </c>
      <c r="CE148" s="109">
        <v>0</v>
      </c>
      <c r="CF148" s="109">
        <v>0</v>
      </c>
      <c r="CG148" s="109">
        <v>0</v>
      </c>
      <c r="CH148" s="109">
        <v>0</v>
      </c>
      <c r="CI148" s="109">
        <v>0</v>
      </c>
      <c r="CJ148" s="109">
        <v>0</v>
      </c>
      <c r="CK148" s="109">
        <v>0</v>
      </c>
      <c r="CL148" s="109"/>
      <c r="CM148" s="109"/>
      <c r="CN148" s="109">
        <v>0</v>
      </c>
      <c r="CO148" s="109">
        <v>0</v>
      </c>
      <c r="CP148" s="109">
        <v>0</v>
      </c>
      <c r="CQ148" s="109">
        <v>0</v>
      </c>
      <c r="CR148" s="109">
        <v>0</v>
      </c>
      <c r="CS148" s="109">
        <v>0</v>
      </c>
      <c r="CT148" s="109">
        <v>0</v>
      </c>
      <c r="CU148" s="109">
        <v>12</v>
      </c>
      <c r="CV148" s="109" t="s">
        <v>235</v>
      </c>
      <c r="CW148" s="109">
        <v>0</v>
      </c>
      <c r="CX148" s="109"/>
      <c r="CY148" s="109">
        <v>18</v>
      </c>
      <c r="CZ148" s="109" t="s">
        <v>235</v>
      </c>
      <c r="DA148" s="109">
        <v>0</v>
      </c>
      <c r="DB148" s="109"/>
      <c r="DE148" s="109">
        <v>0</v>
      </c>
      <c r="DF148" s="109" t="s">
        <v>236</v>
      </c>
      <c r="DG148" s="109" t="s">
        <v>221</v>
      </c>
      <c r="DH148" s="109" t="s">
        <v>220</v>
      </c>
      <c r="DI148" s="109">
        <v>9026067267</v>
      </c>
      <c r="DJ148" s="109" t="s">
        <v>222</v>
      </c>
      <c r="DK148" s="109">
        <v>0</v>
      </c>
      <c r="DL148" s="109" t="s">
        <v>226</v>
      </c>
      <c r="DM148" s="109">
        <v>30.5</v>
      </c>
    </row>
    <row r="149" ht="13.8" hidden="1" spans="1:117">
      <c r="A149" s="109">
        <v>2</v>
      </c>
      <c r="B149" s="109" t="s">
        <v>1131</v>
      </c>
      <c r="C149" s="109" t="s">
        <v>203</v>
      </c>
      <c r="D149" s="109" t="s">
        <v>225</v>
      </c>
      <c r="E149" s="109" t="s">
        <v>226</v>
      </c>
      <c r="F149" s="110">
        <v>46254</v>
      </c>
      <c r="G149" s="109" t="s">
        <v>240</v>
      </c>
      <c r="H149" s="109" t="s">
        <v>1132</v>
      </c>
      <c r="I149" s="109" t="s">
        <v>216</v>
      </c>
      <c r="J149" s="109" t="s">
        <v>217</v>
      </c>
      <c r="K149" s="109" t="s">
        <v>218</v>
      </c>
      <c r="L149" s="109" t="s">
        <v>219</v>
      </c>
      <c r="M149" s="207" t="s">
        <v>242</v>
      </c>
      <c r="N149" s="109" t="s">
        <v>220</v>
      </c>
      <c r="O149" s="109" t="s">
        <v>221</v>
      </c>
      <c r="P149" s="109" t="s">
        <v>243</v>
      </c>
      <c r="Q149" s="109" t="s">
        <v>216</v>
      </c>
      <c r="R149" s="109" t="s">
        <v>217</v>
      </c>
      <c r="S149" s="109" t="s">
        <v>220</v>
      </c>
      <c r="T149" s="109" t="s">
        <v>221</v>
      </c>
      <c r="U149" s="109" t="s">
        <v>216</v>
      </c>
      <c r="V149" s="109" t="s">
        <v>217</v>
      </c>
      <c r="W149" s="109" t="s">
        <v>218</v>
      </c>
      <c r="X149" s="109" t="s">
        <v>219</v>
      </c>
      <c r="Y149" s="109" t="s">
        <v>220</v>
      </c>
      <c r="Z149" s="109" t="s">
        <v>221</v>
      </c>
      <c r="AA149" s="109" t="s">
        <v>222</v>
      </c>
      <c r="AB149" s="109" t="s">
        <v>223</v>
      </c>
      <c r="AC149" s="109" t="s">
        <v>1133</v>
      </c>
      <c r="AD149" s="109" t="s">
        <v>1134</v>
      </c>
      <c r="AE149" s="109" t="s">
        <v>1135</v>
      </c>
      <c r="AF149" s="109" t="s">
        <v>295</v>
      </c>
      <c r="AG149" s="109" t="s">
        <v>296</v>
      </c>
      <c r="AH149" s="109" t="s">
        <v>297</v>
      </c>
      <c r="AI149" s="109" t="s">
        <v>1133</v>
      </c>
      <c r="AJ149" s="109" t="s">
        <v>1134</v>
      </c>
      <c r="AK149" s="109" t="s">
        <v>296</v>
      </c>
      <c r="AL149" s="109" t="s">
        <v>297</v>
      </c>
      <c r="AM149" s="109" t="s">
        <v>298</v>
      </c>
      <c r="AN149" s="207" t="s">
        <v>1136</v>
      </c>
      <c r="AO149" s="109">
        <v>42.01</v>
      </c>
      <c r="AP149" s="109">
        <v>0</v>
      </c>
      <c r="AQ149" s="109">
        <v>4</v>
      </c>
      <c r="AR149" s="109">
        <v>0</v>
      </c>
      <c r="AS149" s="109" t="s">
        <v>252</v>
      </c>
      <c r="AT149" s="109" t="s">
        <v>229</v>
      </c>
      <c r="AU149" s="110">
        <v>46267</v>
      </c>
      <c r="AV149" s="109">
        <v>398.85</v>
      </c>
      <c r="AW149" s="109" t="s">
        <v>230</v>
      </c>
      <c r="AX149" s="109" t="s">
        <v>230</v>
      </c>
      <c r="AY149" s="109">
        <v>1739.86</v>
      </c>
      <c r="AZ149" s="109" t="s">
        <v>232</v>
      </c>
      <c r="BA149" s="109" t="s">
        <v>300</v>
      </c>
      <c r="BB149" s="109">
        <v>398.85</v>
      </c>
      <c r="BC149" s="109">
        <v>350.99</v>
      </c>
      <c r="BD149" s="109">
        <v>398.85</v>
      </c>
      <c r="BE149" s="109">
        <v>47.86</v>
      </c>
      <c r="BF149" s="111">
        <v>0.12</v>
      </c>
      <c r="BG149" s="109">
        <v>0</v>
      </c>
      <c r="BH149" s="109">
        <v>42.01</v>
      </c>
      <c r="BI149" s="109">
        <v>56.8</v>
      </c>
      <c r="BJ149" s="109">
        <v>0</v>
      </c>
      <c r="BK149" s="109">
        <v>17</v>
      </c>
      <c r="BL149" s="109">
        <v>0</v>
      </c>
      <c r="BM149" s="109">
        <v>9.76</v>
      </c>
      <c r="BN149" s="109">
        <v>2.61</v>
      </c>
      <c r="BO149" s="109">
        <v>5.5</v>
      </c>
      <c r="BP149" s="109">
        <v>3.23</v>
      </c>
      <c r="BQ149" s="109">
        <v>0</v>
      </c>
      <c r="BR149" s="109">
        <v>0</v>
      </c>
      <c r="BS149" s="109">
        <v>0</v>
      </c>
      <c r="BT149" s="109">
        <v>0</v>
      </c>
      <c r="BU149" s="109">
        <v>0</v>
      </c>
      <c r="BV149" s="109">
        <v>0</v>
      </c>
      <c r="BW149" s="109">
        <v>0</v>
      </c>
      <c r="BX149" s="109">
        <v>250</v>
      </c>
      <c r="BY149" s="109">
        <v>0</v>
      </c>
      <c r="BZ149" s="109">
        <v>0</v>
      </c>
      <c r="CA149" s="109">
        <v>6.09</v>
      </c>
      <c r="CB149" s="109" t="s">
        <v>225</v>
      </c>
      <c r="CC149" s="109" t="s">
        <v>295</v>
      </c>
      <c r="CD149" s="109">
        <v>385.18</v>
      </c>
      <c r="CE149" s="109">
        <v>0</v>
      </c>
      <c r="CF149" s="109">
        <v>0</v>
      </c>
      <c r="CG149" s="109">
        <v>0</v>
      </c>
      <c r="CH149" s="109">
        <v>0</v>
      </c>
      <c r="CI149" s="109">
        <v>0</v>
      </c>
      <c r="CJ149" s="109">
        <v>0</v>
      </c>
      <c r="CK149" s="109">
        <v>0</v>
      </c>
      <c r="CL149" s="109"/>
      <c r="CM149" s="109"/>
      <c r="CN149" s="109">
        <v>0</v>
      </c>
      <c r="CO149" s="109">
        <v>0</v>
      </c>
      <c r="CP149" s="109">
        <v>0</v>
      </c>
      <c r="CQ149" s="109">
        <v>0</v>
      </c>
      <c r="CR149" s="109">
        <v>0</v>
      </c>
      <c r="CS149" s="109">
        <v>0</v>
      </c>
      <c r="CT149" s="109">
        <v>0</v>
      </c>
      <c r="CU149" s="109">
        <v>12</v>
      </c>
      <c r="CV149" s="109" t="s">
        <v>235</v>
      </c>
      <c r="CW149" s="109">
        <v>0</v>
      </c>
      <c r="CX149" s="109"/>
      <c r="CY149" s="109">
        <v>18</v>
      </c>
      <c r="CZ149" s="109" t="s">
        <v>235</v>
      </c>
      <c r="DA149" s="109">
        <v>0</v>
      </c>
      <c r="DB149" s="109"/>
      <c r="DE149" s="109">
        <v>0</v>
      </c>
      <c r="DF149" s="109" t="s">
        <v>236</v>
      </c>
      <c r="DG149" s="109" t="s">
        <v>221</v>
      </c>
      <c r="DH149" s="109" t="s">
        <v>220</v>
      </c>
      <c r="DI149" s="109">
        <v>9026067267</v>
      </c>
      <c r="DJ149" s="109" t="s">
        <v>222</v>
      </c>
      <c r="DK149" s="109">
        <v>0</v>
      </c>
      <c r="DL149" s="109" t="s">
        <v>226</v>
      </c>
      <c r="DM149" s="109">
        <v>47.86</v>
      </c>
    </row>
    <row r="150" ht="13.8" hidden="1" spans="1:117">
      <c r="A150" s="109">
        <v>2</v>
      </c>
      <c r="B150" s="109" t="s">
        <v>1137</v>
      </c>
      <c r="C150" s="109" t="s">
        <v>203</v>
      </c>
      <c r="D150" s="109" t="s">
        <v>225</v>
      </c>
      <c r="E150" s="109" t="s">
        <v>226</v>
      </c>
      <c r="F150" s="110">
        <v>46260</v>
      </c>
      <c r="G150" s="109" t="s">
        <v>240</v>
      </c>
      <c r="H150" s="109" t="s">
        <v>1138</v>
      </c>
      <c r="I150" s="109" t="s">
        <v>216</v>
      </c>
      <c r="J150" s="109" t="s">
        <v>217</v>
      </c>
      <c r="K150" s="109" t="s">
        <v>218</v>
      </c>
      <c r="L150" s="109" t="s">
        <v>219</v>
      </c>
      <c r="M150" s="207" t="s">
        <v>242</v>
      </c>
      <c r="N150" s="109" t="s">
        <v>220</v>
      </c>
      <c r="O150" s="109" t="s">
        <v>221</v>
      </c>
      <c r="P150" s="109" t="s">
        <v>243</v>
      </c>
      <c r="Q150" s="109" t="s">
        <v>216</v>
      </c>
      <c r="R150" s="109" t="s">
        <v>217</v>
      </c>
      <c r="S150" s="109" t="s">
        <v>220</v>
      </c>
      <c r="T150" s="109" t="s">
        <v>221</v>
      </c>
      <c r="U150" s="109" t="s">
        <v>216</v>
      </c>
      <c r="V150" s="109" t="s">
        <v>217</v>
      </c>
      <c r="W150" s="109" t="s">
        <v>218</v>
      </c>
      <c r="X150" s="109" t="s">
        <v>219</v>
      </c>
      <c r="Y150" s="109" t="s">
        <v>220</v>
      </c>
      <c r="Z150" s="109" t="s">
        <v>221</v>
      </c>
      <c r="AA150" s="109" t="s">
        <v>222</v>
      </c>
      <c r="AB150" s="109" t="s">
        <v>223</v>
      </c>
      <c r="AC150" s="109" t="s">
        <v>1139</v>
      </c>
      <c r="AD150" s="109" t="s">
        <v>1140</v>
      </c>
      <c r="AE150" s="109">
        <v>134</v>
      </c>
      <c r="AF150" s="109" t="s">
        <v>364</v>
      </c>
      <c r="AG150" s="109" t="s">
        <v>1141</v>
      </c>
      <c r="AH150" s="109" t="s">
        <v>297</v>
      </c>
      <c r="AI150" s="109" t="s">
        <v>1139</v>
      </c>
      <c r="AJ150" s="109" t="s">
        <v>1140</v>
      </c>
      <c r="AK150" s="109" t="s">
        <v>1141</v>
      </c>
      <c r="AL150" s="109" t="s">
        <v>297</v>
      </c>
      <c r="AM150" s="109" t="s">
        <v>366</v>
      </c>
      <c r="AN150" s="207" t="s">
        <v>1142</v>
      </c>
      <c r="AO150" s="109">
        <v>26.652</v>
      </c>
      <c r="AP150" s="109">
        <v>0</v>
      </c>
      <c r="AQ150" s="109">
        <v>5</v>
      </c>
      <c r="AR150" s="109">
        <v>0</v>
      </c>
      <c r="AS150" s="109" t="s">
        <v>252</v>
      </c>
      <c r="AT150" s="109" t="s">
        <v>229</v>
      </c>
      <c r="AU150" s="110">
        <v>46274</v>
      </c>
      <c r="AV150" s="109">
        <v>143.98</v>
      </c>
      <c r="AW150" s="109" t="s">
        <v>230</v>
      </c>
      <c r="AX150" s="109" t="s">
        <v>231</v>
      </c>
      <c r="AY150" s="109">
        <v>1797.81</v>
      </c>
      <c r="AZ150" s="109" t="s">
        <v>232</v>
      </c>
      <c r="BA150" s="109" t="s">
        <v>368</v>
      </c>
      <c r="BB150" s="109">
        <v>144.82</v>
      </c>
      <c r="BC150" s="109">
        <v>127.44</v>
      </c>
      <c r="BD150" s="109">
        <v>144.82</v>
      </c>
      <c r="BE150" s="109">
        <v>17.38</v>
      </c>
      <c r="BF150" s="111">
        <v>0.12</v>
      </c>
      <c r="BG150" s="109">
        <v>0</v>
      </c>
      <c r="BH150" s="109">
        <v>26.652</v>
      </c>
      <c r="BI150" s="109">
        <v>82.96</v>
      </c>
      <c r="BJ150" s="109">
        <v>0</v>
      </c>
      <c r="BK150" s="109">
        <v>17</v>
      </c>
      <c r="BL150" s="109">
        <v>0</v>
      </c>
      <c r="BM150" s="109">
        <v>9.76</v>
      </c>
      <c r="BN150" s="109">
        <v>2.7</v>
      </c>
      <c r="BO150" s="109">
        <v>5.5</v>
      </c>
      <c r="BP150" s="109">
        <v>3.23</v>
      </c>
      <c r="BQ150" s="109">
        <v>0</v>
      </c>
      <c r="BR150" s="109">
        <v>0</v>
      </c>
      <c r="BS150" s="109">
        <v>0</v>
      </c>
      <c r="BT150" s="109">
        <v>0</v>
      </c>
      <c r="BU150" s="109">
        <v>0</v>
      </c>
      <c r="BV150" s="109">
        <v>0</v>
      </c>
      <c r="BW150" s="109">
        <v>0</v>
      </c>
      <c r="BX150" s="109">
        <v>0</v>
      </c>
      <c r="BY150" s="109">
        <v>0</v>
      </c>
      <c r="BZ150" s="109">
        <v>0</v>
      </c>
      <c r="CA150" s="109">
        <v>6.29</v>
      </c>
      <c r="CB150" s="109" t="s">
        <v>225</v>
      </c>
      <c r="CC150" s="109" t="s">
        <v>369</v>
      </c>
      <c r="CD150" s="109">
        <v>385.88</v>
      </c>
      <c r="CE150" s="109">
        <v>0</v>
      </c>
      <c r="CF150" s="109">
        <v>0</v>
      </c>
      <c r="CG150" s="109">
        <v>0</v>
      </c>
      <c r="CH150" s="109">
        <v>0</v>
      </c>
      <c r="CI150" s="109">
        <v>0</v>
      </c>
      <c r="CJ150" s="109">
        <v>0</v>
      </c>
      <c r="CK150" s="109">
        <v>0</v>
      </c>
      <c r="CL150" s="109"/>
      <c r="CM150" s="109"/>
      <c r="CN150" s="109">
        <v>0</v>
      </c>
      <c r="CO150" s="109">
        <v>0</v>
      </c>
      <c r="CP150" s="109">
        <v>0</v>
      </c>
      <c r="CQ150" s="109">
        <v>0</v>
      </c>
      <c r="CR150" s="109">
        <v>0</v>
      </c>
      <c r="CS150" s="109">
        <v>0</v>
      </c>
      <c r="CT150" s="109">
        <v>0</v>
      </c>
      <c r="CU150" s="109">
        <v>12</v>
      </c>
      <c r="CV150" s="109" t="s">
        <v>235</v>
      </c>
      <c r="CW150" s="109">
        <v>0</v>
      </c>
      <c r="CX150" s="109"/>
      <c r="CY150" s="109">
        <v>49.5</v>
      </c>
      <c r="CZ150" s="109" t="s">
        <v>235</v>
      </c>
      <c r="DA150" s="109">
        <f>CY150</f>
        <v>49.5</v>
      </c>
      <c r="DB150" s="109"/>
      <c r="DE150" s="109">
        <v>0</v>
      </c>
      <c r="DF150" s="109" t="s">
        <v>236</v>
      </c>
      <c r="DG150" s="109" t="s">
        <v>221</v>
      </c>
      <c r="DH150" s="109" t="s">
        <v>220</v>
      </c>
      <c r="DI150" s="109">
        <v>9026067267</v>
      </c>
      <c r="DJ150" s="109" t="s">
        <v>222</v>
      </c>
      <c r="DK150" s="109">
        <v>0</v>
      </c>
      <c r="DL150" s="109" t="s">
        <v>226</v>
      </c>
      <c r="DM150" s="109">
        <v>19.22</v>
      </c>
    </row>
    <row r="151" ht="13.8" hidden="1" spans="1:117">
      <c r="A151" s="109">
        <v>2</v>
      </c>
      <c r="B151" s="109" t="s">
        <v>1143</v>
      </c>
      <c r="C151" s="109" t="s">
        <v>203</v>
      </c>
      <c r="D151" s="109" t="s">
        <v>225</v>
      </c>
      <c r="E151" s="109" t="s">
        <v>226</v>
      </c>
      <c r="F151" s="110">
        <v>46262</v>
      </c>
      <c r="G151" s="109" t="s">
        <v>1048</v>
      </c>
      <c r="H151" s="109" t="s">
        <v>1144</v>
      </c>
      <c r="I151" s="109" t="s">
        <v>216</v>
      </c>
      <c r="J151" s="109" t="s">
        <v>217</v>
      </c>
      <c r="K151" s="109" t="s">
        <v>218</v>
      </c>
      <c r="L151" s="109" t="s">
        <v>219</v>
      </c>
      <c r="M151" s="207" t="s">
        <v>242</v>
      </c>
      <c r="N151" s="109" t="s">
        <v>220</v>
      </c>
      <c r="O151" s="109" t="s">
        <v>221</v>
      </c>
      <c r="P151" s="109" t="s">
        <v>243</v>
      </c>
      <c r="Q151" s="109" t="s">
        <v>216</v>
      </c>
      <c r="R151" s="109" t="s">
        <v>217</v>
      </c>
      <c r="S151" s="109" t="s">
        <v>220</v>
      </c>
      <c r="T151" s="109" t="s">
        <v>221</v>
      </c>
      <c r="U151" s="109" t="s">
        <v>216</v>
      </c>
      <c r="V151" s="109" t="s">
        <v>217</v>
      </c>
      <c r="W151" s="109" t="s">
        <v>218</v>
      </c>
      <c r="X151" s="109" t="s">
        <v>219</v>
      </c>
      <c r="Y151" s="109" t="s">
        <v>220</v>
      </c>
      <c r="Z151" s="109" t="s">
        <v>221</v>
      </c>
      <c r="AA151" s="109" t="s">
        <v>222</v>
      </c>
      <c r="AB151" s="109" t="s">
        <v>223</v>
      </c>
      <c r="AC151" s="109" t="s">
        <v>1145</v>
      </c>
      <c r="AD151" s="109" t="s">
        <v>1146</v>
      </c>
      <c r="AE151" s="109">
        <v>134</v>
      </c>
      <c r="AF151" s="109" t="s">
        <v>652</v>
      </c>
      <c r="AG151" s="109" t="s">
        <v>1147</v>
      </c>
      <c r="AH151" s="109" t="s">
        <v>297</v>
      </c>
      <c r="AI151" s="109" t="s">
        <v>1145</v>
      </c>
      <c r="AJ151" s="109" t="s">
        <v>1146</v>
      </c>
      <c r="AK151" s="109" t="s">
        <v>1147</v>
      </c>
      <c r="AL151" s="109" t="s">
        <v>297</v>
      </c>
      <c r="AM151" s="109" t="s">
        <v>366</v>
      </c>
      <c r="AN151" s="207" t="s">
        <v>1148</v>
      </c>
      <c r="AO151" s="109">
        <v>129.78</v>
      </c>
      <c r="AP151" s="109">
        <v>0</v>
      </c>
      <c r="AQ151" s="109">
        <v>13</v>
      </c>
      <c r="AR151" s="109">
        <v>0</v>
      </c>
      <c r="AS151" s="109" t="s">
        <v>252</v>
      </c>
      <c r="AT151" s="109" t="s">
        <v>229</v>
      </c>
      <c r="AU151" s="110">
        <v>46274</v>
      </c>
      <c r="AV151" s="109">
        <v>530.82</v>
      </c>
      <c r="AW151" s="109" t="s">
        <v>230</v>
      </c>
      <c r="AX151" s="109" t="s">
        <v>230</v>
      </c>
      <c r="AY151" s="109">
        <v>5118.1</v>
      </c>
      <c r="AZ151" s="109" t="s">
        <v>232</v>
      </c>
      <c r="BA151" s="109" t="s">
        <v>368</v>
      </c>
      <c r="BB151" s="109">
        <v>533.91</v>
      </c>
      <c r="BC151" s="109">
        <v>469.84</v>
      </c>
      <c r="BD151" s="109">
        <v>533.91</v>
      </c>
      <c r="BE151" s="109">
        <v>64.07</v>
      </c>
      <c r="BF151" s="111">
        <v>0.12</v>
      </c>
      <c r="BG151" s="109">
        <v>0</v>
      </c>
      <c r="BH151" s="109">
        <v>129.78</v>
      </c>
      <c r="BI151" s="109">
        <v>153.26</v>
      </c>
      <c r="BJ151" s="109">
        <v>0</v>
      </c>
      <c r="BK151" s="109">
        <v>17</v>
      </c>
      <c r="BL151" s="109">
        <v>0</v>
      </c>
      <c r="BM151" s="109">
        <v>9.76</v>
      </c>
      <c r="BN151" s="109">
        <v>7.68</v>
      </c>
      <c r="BO151" s="109">
        <v>11</v>
      </c>
      <c r="BP151" s="109">
        <v>3.23</v>
      </c>
      <c r="BQ151" s="109">
        <v>0</v>
      </c>
      <c r="BR151" s="109">
        <v>0</v>
      </c>
      <c r="BS151" s="109">
        <v>0</v>
      </c>
      <c r="BT151" s="109">
        <v>0</v>
      </c>
      <c r="BU151" s="109">
        <v>0</v>
      </c>
      <c r="BV151" s="109">
        <v>0</v>
      </c>
      <c r="BW151" s="109">
        <v>0</v>
      </c>
      <c r="BX151" s="109">
        <v>250</v>
      </c>
      <c r="BY151" s="109">
        <v>0</v>
      </c>
      <c r="BZ151" s="109">
        <v>0</v>
      </c>
      <c r="CA151" s="109">
        <v>17.91</v>
      </c>
      <c r="CB151" s="109" t="s">
        <v>225</v>
      </c>
      <c r="CC151" s="109" t="s">
        <v>687</v>
      </c>
      <c r="CD151" s="109">
        <v>433.97</v>
      </c>
      <c r="CE151" s="109">
        <v>0</v>
      </c>
      <c r="CF151" s="109">
        <v>0</v>
      </c>
      <c r="CG151" s="109">
        <v>0</v>
      </c>
      <c r="CH151" s="109">
        <v>0</v>
      </c>
      <c r="CI151" s="109">
        <v>0</v>
      </c>
      <c r="CJ151" s="109">
        <v>0</v>
      </c>
      <c r="CK151" s="109">
        <v>0</v>
      </c>
      <c r="CL151" s="109"/>
      <c r="CM151" s="109"/>
      <c r="CN151" s="109">
        <v>0</v>
      </c>
      <c r="CO151" s="109">
        <v>0</v>
      </c>
      <c r="CP151" s="109">
        <v>0</v>
      </c>
      <c r="CQ151" s="109">
        <v>0</v>
      </c>
      <c r="CR151" s="109">
        <v>0</v>
      </c>
      <c r="CS151" s="109">
        <v>0</v>
      </c>
      <c r="CT151" s="109">
        <v>0</v>
      </c>
      <c r="CU151" s="109">
        <v>19.47</v>
      </c>
      <c r="CV151" s="109" t="s">
        <v>235</v>
      </c>
      <c r="CW151" s="109">
        <v>0</v>
      </c>
      <c r="CX151" s="109"/>
      <c r="CY151" s="109">
        <v>242.91</v>
      </c>
      <c r="CZ151" s="109" t="s">
        <v>941</v>
      </c>
      <c r="DA151" s="109">
        <f>CY151</f>
        <v>242.91</v>
      </c>
      <c r="DB151" s="109"/>
      <c r="DE151" s="109">
        <v>0</v>
      </c>
      <c r="DF151" s="109" t="s">
        <v>236</v>
      </c>
      <c r="DG151" s="109" t="s">
        <v>221</v>
      </c>
      <c r="DH151" s="109" t="s">
        <v>220</v>
      </c>
      <c r="DI151" s="109">
        <v>9026067267</v>
      </c>
      <c r="DJ151" s="109" t="s">
        <v>222</v>
      </c>
      <c r="DK151" s="109">
        <v>0</v>
      </c>
      <c r="DL151" s="109" t="s">
        <v>226</v>
      </c>
      <c r="DM151" s="109">
        <v>54.44</v>
      </c>
    </row>
    <row r="152" ht="13.8" hidden="1" spans="1:117">
      <c r="A152" s="109">
        <v>2</v>
      </c>
      <c r="B152" s="109" t="s">
        <v>1149</v>
      </c>
      <c r="C152" s="109" t="s">
        <v>203</v>
      </c>
      <c r="D152" s="109" t="s">
        <v>225</v>
      </c>
      <c r="E152" s="109" t="s">
        <v>226</v>
      </c>
      <c r="F152" s="110">
        <v>46254</v>
      </c>
      <c r="G152" s="109" t="s">
        <v>240</v>
      </c>
      <c r="H152" s="109" t="s">
        <v>1150</v>
      </c>
      <c r="I152" s="109" t="s">
        <v>216</v>
      </c>
      <c r="J152" s="109" t="s">
        <v>217</v>
      </c>
      <c r="K152" s="109" t="s">
        <v>218</v>
      </c>
      <c r="L152" s="109" t="s">
        <v>219</v>
      </c>
      <c r="M152" s="207" t="s">
        <v>242</v>
      </c>
      <c r="N152" s="109" t="s">
        <v>220</v>
      </c>
      <c r="O152" s="109" t="s">
        <v>221</v>
      </c>
      <c r="P152" s="109" t="s">
        <v>243</v>
      </c>
      <c r="Q152" s="109" t="s">
        <v>216</v>
      </c>
      <c r="R152" s="109" t="s">
        <v>217</v>
      </c>
      <c r="S152" s="109" t="s">
        <v>220</v>
      </c>
      <c r="T152" s="109" t="s">
        <v>221</v>
      </c>
      <c r="U152" s="109" t="s">
        <v>216</v>
      </c>
      <c r="V152" s="109" t="s">
        <v>217</v>
      </c>
      <c r="W152" s="109" t="s">
        <v>218</v>
      </c>
      <c r="X152" s="109" t="s">
        <v>219</v>
      </c>
      <c r="Y152" s="109" t="s">
        <v>220</v>
      </c>
      <c r="Z152" s="109" t="s">
        <v>221</v>
      </c>
      <c r="AA152" s="109" t="s">
        <v>222</v>
      </c>
      <c r="AB152" s="109" t="s">
        <v>223</v>
      </c>
      <c r="AC152" s="109" t="s">
        <v>1151</v>
      </c>
      <c r="AD152" s="109" t="s">
        <v>1152</v>
      </c>
      <c r="AE152" s="109" t="s">
        <v>246</v>
      </c>
      <c r="AF152" s="109" t="s">
        <v>247</v>
      </c>
      <c r="AG152" s="109" t="s">
        <v>248</v>
      </c>
      <c r="AH152" s="109" t="s">
        <v>249</v>
      </c>
      <c r="AI152" s="109" t="s">
        <v>1151</v>
      </c>
      <c r="AJ152" s="109" t="s">
        <v>1152</v>
      </c>
      <c r="AK152" s="109" t="s">
        <v>248</v>
      </c>
      <c r="AL152" s="109" t="s">
        <v>249</v>
      </c>
      <c r="AM152" s="109" t="s">
        <v>250</v>
      </c>
      <c r="AN152" s="207" t="s">
        <v>1153</v>
      </c>
      <c r="AO152" s="109">
        <v>201.132</v>
      </c>
      <c r="AP152" s="109">
        <v>0</v>
      </c>
      <c r="AQ152" s="109">
        <v>17</v>
      </c>
      <c r="AR152" s="109">
        <v>0</v>
      </c>
      <c r="AS152" s="109" t="s">
        <v>252</v>
      </c>
      <c r="AT152" s="109" t="s">
        <v>229</v>
      </c>
      <c r="AU152" s="110">
        <v>46267</v>
      </c>
      <c r="AV152" s="109">
        <v>571.36</v>
      </c>
      <c r="AW152" s="109" t="s">
        <v>230</v>
      </c>
      <c r="AX152" s="109" t="s">
        <v>231</v>
      </c>
      <c r="AY152" s="109">
        <v>5055.31</v>
      </c>
      <c r="AZ152" s="109" t="s">
        <v>232</v>
      </c>
      <c r="BA152" s="109" t="s">
        <v>253</v>
      </c>
      <c r="BB152" s="109">
        <v>571.36</v>
      </c>
      <c r="BC152" s="109">
        <v>502.8</v>
      </c>
      <c r="BD152" s="109">
        <v>571.36</v>
      </c>
      <c r="BE152" s="109">
        <v>68.56</v>
      </c>
      <c r="BF152" s="111">
        <v>0.12</v>
      </c>
      <c r="BG152" s="109">
        <v>0</v>
      </c>
      <c r="BH152" s="109">
        <v>201.132</v>
      </c>
      <c r="BI152" s="109">
        <v>181.04</v>
      </c>
      <c r="BJ152" s="109">
        <v>0</v>
      </c>
      <c r="BK152" s="109">
        <v>17</v>
      </c>
      <c r="BL152" s="109">
        <v>0</v>
      </c>
      <c r="BM152" s="109">
        <v>9.76</v>
      </c>
      <c r="BN152" s="109">
        <v>7.58</v>
      </c>
      <c r="BO152" s="109">
        <v>16.5</v>
      </c>
      <c r="BP152" s="109">
        <v>3.23</v>
      </c>
      <c r="BQ152" s="109">
        <v>0</v>
      </c>
      <c r="BR152" s="109">
        <v>0</v>
      </c>
      <c r="BS152" s="109">
        <v>0</v>
      </c>
      <c r="BT152" s="109">
        <v>0</v>
      </c>
      <c r="BU152" s="109">
        <v>0</v>
      </c>
      <c r="BV152" s="109">
        <v>0</v>
      </c>
      <c r="BW152" s="109">
        <v>0</v>
      </c>
      <c r="BX152" s="109">
        <v>250</v>
      </c>
      <c r="BY152" s="109">
        <v>0</v>
      </c>
      <c r="BZ152" s="109">
        <v>0</v>
      </c>
      <c r="CA152" s="109">
        <v>17.69</v>
      </c>
      <c r="CB152" s="109" t="s">
        <v>225</v>
      </c>
      <c r="CC152" s="109" t="s">
        <v>247</v>
      </c>
      <c r="CD152" s="109">
        <v>437.02</v>
      </c>
      <c r="CE152" s="109">
        <v>0</v>
      </c>
      <c r="CF152" s="109">
        <v>0</v>
      </c>
      <c r="CG152" s="109">
        <v>0</v>
      </c>
      <c r="CH152" s="109">
        <v>0</v>
      </c>
      <c r="CI152" s="109">
        <v>0</v>
      </c>
      <c r="CJ152" s="109">
        <v>0</v>
      </c>
      <c r="CK152" s="109">
        <v>0</v>
      </c>
      <c r="CL152" s="109"/>
      <c r="CM152" s="109"/>
      <c r="CN152" s="109">
        <v>0</v>
      </c>
      <c r="CO152" s="109">
        <v>0</v>
      </c>
      <c r="CP152" s="109">
        <v>0</v>
      </c>
      <c r="CQ152" s="109">
        <v>0</v>
      </c>
      <c r="CR152" s="109">
        <v>0</v>
      </c>
      <c r="CS152" s="109">
        <v>0</v>
      </c>
      <c r="CT152" s="109">
        <v>0</v>
      </c>
      <c r="CU152" s="109">
        <v>30.17</v>
      </c>
      <c r="CV152" s="109" t="s">
        <v>235</v>
      </c>
      <c r="CW152" s="109">
        <v>0</v>
      </c>
      <c r="CX152" s="109"/>
      <c r="CY152" s="109">
        <v>36.2</v>
      </c>
      <c r="CZ152" s="109" t="s">
        <v>235</v>
      </c>
      <c r="DA152" s="109">
        <v>0</v>
      </c>
      <c r="DB152" s="109"/>
      <c r="DE152" s="109">
        <v>0</v>
      </c>
      <c r="DF152" s="109" t="s">
        <v>236</v>
      </c>
      <c r="DG152" s="109" t="s">
        <v>221</v>
      </c>
      <c r="DH152" s="109" t="s">
        <v>220</v>
      </c>
      <c r="DI152" s="109">
        <v>9026067267</v>
      </c>
      <c r="DJ152" s="109" t="s">
        <v>222</v>
      </c>
      <c r="DK152" s="109">
        <v>0</v>
      </c>
      <c r="DL152" s="109" t="s">
        <v>226</v>
      </c>
      <c r="DM152" s="109">
        <v>68.56</v>
      </c>
    </row>
    <row r="153" ht="13.8" hidden="1" spans="1:117">
      <c r="A153" s="109">
        <v>2</v>
      </c>
      <c r="B153" s="109" t="s">
        <v>1154</v>
      </c>
      <c r="C153" s="109" t="s">
        <v>203</v>
      </c>
      <c r="D153" s="109" t="s">
        <v>225</v>
      </c>
      <c r="E153" s="109" t="s">
        <v>226</v>
      </c>
      <c r="F153" s="110">
        <v>46254</v>
      </c>
      <c r="G153" s="109" t="s">
        <v>240</v>
      </c>
      <c r="H153" s="109" t="s">
        <v>1155</v>
      </c>
      <c r="I153" s="109" t="s">
        <v>216</v>
      </c>
      <c r="J153" s="109" t="s">
        <v>217</v>
      </c>
      <c r="K153" s="109" t="s">
        <v>218</v>
      </c>
      <c r="L153" s="109" t="s">
        <v>219</v>
      </c>
      <c r="M153" s="207" t="s">
        <v>242</v>
      </c>
      <c r="N153" s="109" t="s">
        <v>220</v>
      </c>
      <c r="O153" s="109" t="s">
        <v>221</v>
      </c>
      <c r="P153" s="109" t="s">
        <v>243</v>
      </c>
      <c r="Q153" s="109" t="s">
        <v>216</v>
      </c>
      <c r="R153" s="109" t="s">
        <v>217</v>
      </c>
      <c r="S153" s="109" t="s">
        <v>220</v>
      </c>
      <c r="T153" s="109" t="s">
        <v>221</v>
      </c>
      <c r="U153" s="109" t="s">
        <v>216</v>
      </c>
      <c r="V153" s="109" t="s">
        <v>217</v>
      </c>
      <c r="W153" s="109" t="s">
        <v>218</v>
      </c>
      <c r="X153" s="109" t="s">
        <v>219</v>
      </c>
      <c r="Y153" s="109" t="s">
        <v>220</v>
      </c>
      <c r="Z153" s="109" t="s">
        <v>221</v>
      </c>
      <c r="AA153" s="109" t="s">
        <v>222</v>
      </c>
      <c r="AB153" s="109" t="s">
        <v>223</v>
      </c>
      <c r="AC153" s="109" t="s">
        <v>1156</v>
      </c>
      <c r="AD153" s="109" t="s">
        <v>1157</v>
      </c>
      <c r="AE153" s="109">
        <v>275</v>
      </c>
      <c r="AF153" s="109" t="s">
        <v>352</v>
      </c>
      <c r="AG153" s="109" t="s">
        <v>1158</v>
      </c>
      <c r="AH153" s="109" t="s">
        <v>249</v>
      </c>
      <c r="AI153" s="109" t="s">
        <v>1156</v>
      </c>
      <c r="AJ153" s="109" t="s">
        <v>1157</v>
      </c>
      <c r="AK153" s="109" t="s">
        <v>1158</v>
      </c>
      <c r="AL153" s="109" t="s">
        <v>249</v>
      </c>
      <c r="AM153" s="109" t="s">
        <v>354</v>
      </c>
      <c r="AN153" s="207" t="s">
        <v>1159</v>
      </c>
      <c r="AO153" s="109">
        <v>254.09</v>
      </c>
      <c r="AP153" s="109">
        <v>0</v>
      </c>
      <c r="AQ153" s="109">
        <v>20</v>
      </c>
      <c r="AR153" s="109">
        <v>0</v>
      </c>
      <c r="AS153" s="109" t="s">
        <v>252</v>
      </c>
      <c r="AT153" s="109" t="s">
        <v>229</v>
      </c>
      <c r="AU153" s="110">
        <v>46267</v>
      </c>
      <c r="AV153" s="109">
        <v>710.7</v>
      </c>
      <c r="AW153" s="109" t="s">
        <v>230</v>
      </c>
      <c r="AX153" s="109" t="s">
        <v>231</v>
      </c>
      <c r="AY153" s="109">
        <v>6327.31</v>
      </c>
      <c r="AZ153" s="109" t="s">
        <v>232</v>
      </c>
      <c r="BA153" s="109" t="s">
        <v>356</v>
      </c>
      <c r="BB153" s="109">
        <v>710.7</v>
      </c>
      <c r="BC153" s="109">
        <v>625.42</v>
      </c>
      <c r="BD153" s="109">
        <v>710.7</v>
      </c>
      <c r="BE153" s="109">
        <v>85.28</v>
      </c>
      <c r="BF153" s="111">
        <v>0.12</v>
      </c>
      <c r="BG153" s="109">
        <v>0</v>
      </c>
      <c r="BH153" s="109">
        <v>254.09</v>
      </c>
      <c r="BI153" s="109">
        <v>297.29</v>
      </c>
      <c r="BJ153" s="109">
        <v>0</v>
      </c>
      <c r="BK153" s="109">
        <v>17</v>
      </c>
      <c r="BL153" s="109">
        <v>0</v>
      </c>
      <c r="BM153" s="109">
        <v>9.76</v>
      </c>
      <c r="BN153" s="109">
        <v>9.49</v>
      </c>
      <c r="BO153" s="109">
        <v>16.5</v>
      </c>
      <c r="BP153" s="109">
        <v>3.23</v>
      </c>
      <c r="BQ153" s="109">
        <v>0</v>
      </c>
      <c r="BR153" s="109">
        <v>0</v>
      </c>
      <c r="BS153" s="109">
        <v>0</v>
      </c>
      <c r="BT153" s="109">
        <v>0</v>
      </c>
      <c r="BU153" s="109">
        <v>0</v>
      </c>
      <c r="BV153" s="109">
        <v>0</v>
      </c>
      <c r="BW153" s="109">
        <v>0</v>
      </c>
      <c r="BX153" s="109">
        <v>250</v>
      </c>
      <c r="BY153" s="109">
        <v>0</v>
      </c>
      <c r="BZ153" s="109">
        <v>0</v>
      </c>
      <c r="CA153" s="109">
        <v>22.15</v>
      </c>
      <c r="CB153" s="109" t="s">
        <v>225</v>
      </c>
      <c r="CC153" s="109" t="s">
        <v>357</v>
      </c>
      <c r="CD153" s="109">
        <v>640.85</v>
      </c>
      <c r="CE153" s="109">
        <v>0</v>
      </c>
      <c r="CF153" s="109">
        <v>0</v>
      </c>
      <c r="CG153" s="109">
        <v>0</v>
      </c>
      <c r="CH153" s="109">
        <v>0</v>
      </c>
      <c r="CI153" s="109">
        <v>0</v>
      </c>
      <c r="CJ153" s="109">
        <v>0</v>
      </c>
      <c r="CK153" s="109">
        <v>0</v>
      </c>
      <c r="CL153" s="109"/>
      <c r="CM153" s="109"/>
      <c r="CN153" s="109">
        <v>0</v>
      </c>
      <c r="CO153" s="109">
        <v>0</v>
      </c>
      <c r="CP153" s="109">
        <v>0</v>
      </c>
      <c r="CQ153" s="109">
        <v>0</v>
      </c>
      <c r="CR153" s="109">
        <v>0</v>
      </c>
      <c r="CS153" s="109">
        <v>0</v>
      </c>
      <c r="CT153" s="109">
        <v>0</v>
      </c>
      <c r="CU153" s="109">
        <v>38.11</v>
      </c>
      <c r="CV153" s="109" t="s">
        <v>235</v>
      </c>
      <c r="CW153" s="109">
        <v>0</v>
      </c>
      <c r="CX153" s="109"/>
      <c r="CY153" s="109">
        <v>400.79</v>
      </c>
      <c r="CZ153" s="109" t="s">
        <v>849</v>
      </c>
      <c r="DA153" s="109">
        <v>316.59</v>
      </c>
      <c r="DB153" s="207" t="s">
        <v>850</v>
      </c>
      <c r="DE153" s="109">
        <v>0</v>
      </c>
      <c r="DF153" s="109" t="s">
        <v>236</v>
      </c>
      <c r="DG153" s="109" t="s">
        <v>221</v>
      </c>
      <c r="DH153" s="109" t="s">
        <v>220</v>
      </c>
      <c r="DI153" s="109">
        <v>9026067267</v>
      </c>
      <c r="DJ153" s="109" t="s">
        <v>222</v>
      </c>
      <c r="DK153" s="109">
        <v>0</v>
      </c>
      <c r="DL153" s="109" t="s">
        <v>226</v>
      </c>
      <c r="DM153" s="109">
        <v>85.28</v>
      </c>
    </row>
    <row r="154" ht="13.8" hidden="1" spans="1:117">
      <c r="A154" s="109">
        <v>2</v>
      </c>
      <c r="B154" s="109" t="s">
        <v>1160</v>
      </c>
      <c r="C154" s="109" t="s">
        <v>203</v>
      </c>
      <c r="D154" s="109" t="s">
        <v>225</v>
      </c>
      <c r="E154" s="109" t="s">
        <v>226</v>
      </c>
      <c r="F154" s="110">
        <v>46254</v>
      </c>
      <c r="G154" s="109" t="s">
        <v>240</v>
      </c>
      <c r="H154" s="109" t="s">
        <v>1161</v>
      </c>
      <c r="I154" s="109" t="s">
        <v>216</v>
      </c>
      <c r="J154" s="109" t="s">
        <v>217</v>
      </c>
      <c r="K154" s="109" t="s">
        <v>218</v>
      </c>
      <c r="L154" s="109" t="s">
        <v>219</v>
      </c>
      <c r="M154" s="207" t="s">
        <v>242</v>
      </c>
      <c r="N154" s="109" t="s">
        <v>220</v>
      </c>
      <c r="O154" s="109" t="s">
        <v>221</v>
      </c>
      <c r="P154" s="109" t="s">
        <v>243</v>
      </c>
      <c r="Q154" s="109" t="s">
        <v>216</v>
      </c>
      <c r="R154" s="109" t="s">
        <v>217</v>
      </c>
      <c r="S154" s="109" t="s">
        <v>220</v>
      </c>
      <c r="T154" s="109" t="s">
        <v>221</v>
      </c>
      <c r="U154" s="109" t="s">
        <v>216</v>
      </c>
      <c r="V154" s="109" t="s">
        <v>217</v>
      </c>
      <c r="W154" s="109" t="s">
        <v>218</v>
      </c>
      <c r="X154" s="109" t="s">
        <v>219</v>
      </c>
      <c r="Y154" s="109" t="s">
        <v>220</v>
      </c>
      <c r="Z154" s="109" t="s">
        <v>221</v>
      </c>
      <c r="AA154" s="109" t="s">
        <v>222</v>
      </c>
      <c r="AB154" s="109" t="s">
        <v>223</v>
      </c>
      <c r="AC154" s="109" t="s">
        <v>1162</v>
      </c>
      <c r="AD154" s="109" t="s">
        <v>1163</v>
      </c>
      <c r="AE154" s="109">
        <v>280</v>
      </c>
      <c r="AF154" s="109" t="s">
        <v>477</v>
      </c>
      <c r="AG154" s="109" t="s">
        <v>1164</v>
      </c>
      <c r="AH154" s="109" t="s">
        <v>249</v>
      </c>
      <c r="AI154" s="109" t="s">
        <v>1162</v>
      </c>
      <c r="AJ154" s="109" t="s">
        <v>1163</v>
      </c>
      <c r="AK154" s="109" t="s">
        <v>1164</v>
      </c>
      <c r="AL154" s="109" t="s">
        <v>249</v>
      </c>
      <c r="AM154" s="109" t="s">
        <v>479</v>
      </c>
      <c r="AN154" s="207" t="s">
        <v>1165</v>
      </c>
      <c r="AO154" s="109">
        <v>201.05</v>
      </c>
      <c r="AP154" s="109">
        <v>0</v>
      </c>
      <c r="AQ154" s="109">
        <v>16</v>
      </c>
      <c r="AR154" s="109">
        <v>0</v>
      </c>
      <c r="AS154" s="109" t="s">
        <v>252</v>
      </c>
      <c r="AT154" s="109" t="s">
        <v>229</v>
      </c>
      <c r="AU154" s="110">
        <v>46267</v>
      </c>
      <c r="AV154" s="109">
        <v>348.74</v>
      </c>
      <c r="AW154" s="109" t="s">
        <v>230</v>
      </c>
      <c r="AX154" s="109" t="s">
        <v>231</v>
      </c>
      <c r="AY154" s="109">
        <v>5032.97</v>
      </c>
      <c r="AZ154" s="109" t="s">
        <v>232</v>
      </c>
      <c r="BA154" s="109" t="s">
        <v>356</v>
      </c>
      <c r="BB154" s="109">
        <v>348.74</v>
      </c>
      <c r="BC154" s="109">
        <v>306.89</v>
      </c>
      <c r="BD154" s="109">
        <v>348.74</v>
      </c>
      <c r="BE154" s="109">
        <v>41.85</v>
      </c>
      <c r="BF154" s="111">
        <v>0.12</v>
      </c>
      <c r="BG154" s="109">
        <v>0</v>
      </c>
      <c r="BH154" s="109">
        <v>201.05</v>
      </c>
      <c r="BI154" s="109">
        <v>235.23</v>
      </c>
      <c r="BJ154" s="109">
        <v>0</v>
      </c>
      <c r="BK154" s="109">
        <v>17</v>
      </c>
      <c r="BL154" s="109">
        <v>0</v>
      </c>
      <c r="BM154" s="109">
        <v>9.76</v>
      </c>
      <c r="BN154" s="109">
        <v>7.55</v>
      </c>
      <c r="BO154" s="109">
        <v>16.5</v>
      </c>
      <c r="BP154" s="109">
        <v>3.23</v>
      </c>
      <c r="BQ154" s="109">
        <v>0</v>
      </c>
      <c r="BR154" s="109">
        <v>0</v>
      </c>
      <c r="BS154" s="109">
        <v>0</v>
      </c>
      <c r="BT154" s="109">
        <v>0</v>
      </c>
      <c r="BU154" s="109">
        <v>0</v>
      </c>
      <c r="BV154" s="109">
        <v>0</v>
      </c>
      <c r="BW154" s="109">
        <v>0</v>
      </c>
      <c r="BX154" s="109">
        <v>0</v>
      </c>
      <c r="BY154" s="109">
        <v>0</v>
      </c>
      <c r="BZ154" s="109">
        <v>0</v>
      </c>
      <c r="CA154" s="109">
        <v>17.62</v>
      </c>
      <c r="CB154" s="109" t="s">
        <v>225</v>
      </c>
      <c r="CC154" s="109" t="s">
        <v>357</v>
      </c>
      <c r="CD154" s="109">
        <v>436.42</v>
      </c>
      <c r="CE154" s="109">
        <v>0</v>
      </c>
      <c r="CF154" s="109">
        <v>0</v>
      </c>
      <c r="CG154" s="109">
        <v>0</v>
      </c>
      <c r="CH154" s="109">
        <v>0</v>
      </c>
      <c r="CI154" s="109">
        <v>0</v>
      </c>
      <c r="CJ154" s="109">
        <v>0</v>
      </c>
      <c r="CK154" s="109">
        <v>0</v>
      </c>
      <c r="CL154" s="109"/>
      <c r="CM154" s="109"/>
      <c r="CN154" s="109">
        <v>0</v>
      </c>
      <c r="CO154" s="109">
        <v>0</v>
      </c>
      <c r="CP154" s="109">
        <v>0</v>
      </c>
      <c r="CQ154" s="109">
        <v>0</v>
      </c>
      <c r="CR154" s="109">
        <v>0</v>
      </c>
      <c r="CS154" s="109">
        <v>0</v>
      </c>
      <c r="CT154" s="109">
        <v>0</v>
      </c>
      <c r="CU154" s="109">
        <v>30.16</v>
      </c>
      <c r="CV154" s="109" t="s">
        <v>235</v>
      </c>
      <c r="CW154" s="109">
        <v>0</v>
      </c>
      <c r="CX154" s="109"/>
      <c r="CY154" s="109">
        <v>121.33</v>
      </c>
      <c r="CZ154" s="109" t="s">
        <v>1166</v>
      </c>
      <c r="DA154" s="109">
        <v>135.98</v>
      </c>
      <c r="DB154" s="207" t="s">
        <v>1167</v>
      </c>
      <c r="DE154" s="109">
        <v>0</v>
      </c>
      <c r="DF154" s="109" t="s">
        <v>236</v>
      </c>
      <c r="DG154" s="109" t="s">
        <v>221</v>
      </c>
      <c r="DH154" s="109" t="s">
        <v>220</v>
      </c>
      <c r="DI154" s="109">
        <v>9026067267</v>
      </c>
      <c r="DJ154" s="109" t="s">
        <v>222</v>
      </c>
      <c r="DK154" s="109">
        <v>0</v>
      </c>
      <c r="DL154" s="109" t="s">
        <v>226</v>
      </c>
      <c r="DM154" s="109">
        <v>41.85</v>
      </c>
    </row>
    <row r="155" ht="13.8" hidden="1" spans="1:117">
      <c r="A155" s="109">
        <v>2</v>
      </c>
      <c r="B155" s="109" t="s">
        <v>1168</v>
      </c>
      <c r="C155" s="109" t="s">
        <v>203</v>
      </c>
      <c r="D155" s="109" t="s">
        <v>225</v>
      </c>
      <c r="E155" s="109" t="s">
        <v>226</v>
      </c>
      <c r="F155" s="110">
        <v>46262</v>
      </c>
      <c r="G155" s="109" t="s">
        <v>1048</v>
      </c>
      <c r="H155" s="109" t="s">
        <v>1169</v>
      </c>
      <c r="I155" s="109" t="s">
        <v>216</v>
      </c>
      <c r="J155" s="109" t="s">
        <v>217</v>
      </c>
      <c r="K155" s="109" t="s">
        <v>218</v>
      </c>
      <c r="L155" s="109" t="s">
        <v>219</v>
      </c>
      <c r="M155" s="207" t="s">
        <v>242</v>
      </c>
      <c r="N155" s="109" t="s">
        <v>220</v>
      </c>
      <c r="O155" s="109" t="s">
        <v>221</v>
      </c>
      <c r="P155" s="109" t="s">
        <v>243</v>
      </c>
      <c r="Q155" s="109" t="s">
        <v>216</v>
      </c>
      <c r="R155" s="109" t="s">
        <v>217</v>
      </c>
      <c r="S155" s="109" t="s">
        <v>220</v>
      </c>
      <c r="T155" s="109" t="s">
        <v>221</v>
      </c>
      <c r="U155" s="109" t="s">
        <v>216</v>
      </c>
      <c r="V155" s="109" t="s">
        <v>217</v>
      </c>
      <c r="W155" s="109" t="s">
        <v>218</v>
      </c>
      <c r="X155" s="109" t="s">
        <v>219</v>
      </c>
      <c r="Y155" s="109" t="s">
        <v>220</v>
      </c>
      <c r="Z155" s="109" t="s">
        <v>221</v>
      </c>
      <c r="AA155" s="109" t="s">
        <v>222</v>
      </c>
      <c r="AB155" s="109" t="s">
        <v>223</v>
      </c>
      <c r="AC155" s="109" t="s">
        <v>683</v>
      </c>
      <c r="AD155" s="109" t="s">
        <v>684</v>
      </c>
      <c r="AE155" s="109">
        <v>131</v>
      </c>
      <c r="AF155" s="109" t="s">
        <v>652</v>
      </c>
      <c r="AG155" s="109" t="s">
        <v>685</v>
      </c>
      <c r="AH155" s="109" t="s">
        <v>297</v>
      </c>
      <c r="AI155" s="109" t="s">
        <v>683</v>
      </c>
      <c r="AJ155" s="109" t="s">
        <v>684</v>
      </c>
      <c r="AK155" s="109" t="s">
        <v>685</v>
      </c>
      <c r="AL155" s="109" t="s">
        <v>297</v>
      </c>
      <c r="AM155" s="109" t="s">
        <v>366</v>
      </c>
      <c r="AN155" s="207" t="s">
        <v>1170</v>
      </c>
      <c r="AO155" s="109">
        <v>94.8</v>
      </c>
      <c r="AP155" s="109">
        <v>0</v>
      </c>
      <c r="AQ155" s="109">
        <v>10</v>
      </c>
      <c r="AR155" s="109">
        <v>0</v>
      </c>
      <c r="AS155" s="109" t="s">
        <v>252</v>
      </c>
      <c r="AT155" s="109" t="s">
        <v>229</v>
      </c>
      <c r="AU155" s="110">
        <v>46274</v>
      </c>
      <c r="AV155" s="109">
        <v>257.59</v>
      </c>
      <c r="AW155" s="109" t="s">
        <v>230</v>
      </c>
      <c r="AX155" s="109" t="s">
        <v>230</v>
      </c>
      <c r="AY155" s="109">
        <v>2790.85</v>
      </c>
      <c r="AZ155" s="109" t="s">
        <v>232</v>
      </c>
      <c r="BA155" s="109" t="s">
        <v>368</v>
      </c>
      <c r="BB155" s="109">
        <v>259.09</v>
      </c>
      <c r="BC155" s="109">
        <v>228</v>
      </c>
      <c r="BD155" s="109">
        <v>259.09</v>
      </c>
      <c r="BE155" s="109">
        <v>31.09</v>
      </c>
      <c r="BF155" s="111">
        <v>0.12</v>
      </c>
      <c r="BG155" s="109">
        <v>0</v>
      </c>
      <c r="BH155" s="109">
        <v>94.8</v>
      </c>
      <c r="BI155" s="109">
        <v>178.55</v>
      </c>
      <c r="BJ155" s="109">
        <v>0</v>
      </c>
      <c r="BK155" s="109">
        <v>17</v>
      </c>
      <c r="BL155" s="109">
        <v>0</v>
      </c>
      <c r="BM155" s="109">
        <v>9.76</v>
      </c>
      <c r="BN155" s="109">
        <v>4.19</v>
      </c>
      <c r="BO155" s="109">
        <v>5.5</v>
      </c>
      <c r="BP155" s="109">
        <v>3.23</v>
      </c>
      <c r="BQ155" s="109">
        <v>0</v>
      </c>
      <c r="BR155" s="109">
        <v>0</v>
      </c>
      <c r="BS155" s="109">
        <v>0</v>
      </c>
      <c r="BT155" s="109">
        <v>0</v>
      </c>
      <c r="BU155" s="109">
        <v>0</v>
      </c>
      <c r="BV155" s="109">
        <v>0</v>
      </c>
      <c r="BW155" s="109">
        <v>0</v>
      </c>
      <c r="BX155" s="109">
        <v>0</v>
      </c>
      <c r="BY155" s="109">
        <v>0</v>
      </c>
      <c r="BZ155" s="109">
        <v>0</v>
      </c>
      <c r="CA155" s="109">
        <v>9.77</v>
      </c>
      <c r="CB155" s="109" t="s">
        <v>225</v>
      </c>
      <c r="CC155" s="109" t="s">
        <v>687</v>
      </c>
      <c r="CD155" s="109">
        <v>400.2</v>
      </c>
      <c r="CE155" s="109">
        <v>0</v>
      </c>
      <c r="CF155" s="109">
        <v>0</v>
      </c>
      <c r="CG155" s="109">
        <v>0</v>
      </c>
      <c r="CH155" s="109">
        <v>0</v>
      </c>
      <c r="CI155" s="109">
        <v>0</v>
      </c>
      <c r="CJ155" s="109">
        <v>0</v>
      </c>
      <c r="CK155" s="109">
        <v>0</v>
      </c>
      <c r="CL155" s="109"/>
      <c r="CM155" s="109"/>
      <c r="CN155" s="109">
        <v>0</v>
      </c>
      <c r="CO155" s="109">
        <v>0</v>
      </c>
      <c r="CP155" s="109">
        <v>0</v>
      </c>
      <c r="CQ155" s="109">
        <v>0</v>
      </c>
      <c r="CR155" s="109">
        <v>0</v>
      </c>
      <c r="CS155" s="109">
        <v>0</v>
      </c>
      <c r="CT155" s="109">
        <v>0</v>
      </c>
      <c r="CU155" s="109">
        <v>14.22</v>
      </c>
      <c r="CV155" s="109" t="s">
        <v>235</v>
      </c>
      <c r="CW155" s="109">
        <v>0</v>
      </c>
      <c r="CX155" s="109"/>
      <c r="CY155" s="109">
        <v>66</v>
      </c>
      <c r="CZ155" s="109" t="s">
        <v>941</v>
      </c>
      <c r="DA155" s="109">
        <f>CY155</f>
        <v>66</v>
      </c>
      <c r="DB155" s="109"/>
      <c r="DE155" s="109">
        <v>0</v>
      </c>
      <c r="DF155" s="109" t="s">
        <v>236</v>
      </c>
      <c r="DG155" s="109" t="s">
        <v>221</v>
      </c>
      <c r="DH155" s="109" t="s">
        <v>220</v>
      </c>
      <c r="DI155" s="109">
        <v>9026067267</v>
      </c>
      <c r="DJ155" s="109" t="s">
        <v>222</v>
      </c>
      <c r="DK155" s="109">
        <v>0</v>
      </c>
      <c r="DL155" s="109" t="s">
        <v>226</v>
      </c>
      <c r="DM155" s="109">
        <v>23.81</v>
      </c>
    </row>
    <row r="156" ht="13.8" hidden="1" spans="1:117">
      <c r="A156" s="109">
        <v>2</v>
      </c>
      <c r="B156" s="109" t="s">
        <v>1171</v>
      </c>
      <c r="C156" s="109" t="s">
        <v>203</v>
      </c>
      <c r="D156" s="109" t="s">
        <v>225</v>
      </c>
      <c r="E156" s="109" t="s">
        <v>226</v>
      </c>
      <c r="F156" s="110">
        <v>46255</v>
      </c>
      <c r="G156" s="109" t="s">
        <v>797</v>
      </c>
      <c r="H156" s="109" t="s">
        <v>1172</v>
      </c>
      <c r="I156" s="109" t="s">
        <v>216</v>
      </c>
      <c r="J156" s="109" t="s">
        <v>217</v>
      </c>
      <c r="K156" s="109" t="s">
        <v>218</v>
      </c>
      <c r="L156" s="109" t="s">
        <v>219</v>
      </c>
      <c r="M156" s="207" t="s">
        <v>242</v>
      </c>
      <c r="N156" s="109" t="s">
        <v>220</v>
      </c>
      <c r="O156" s="109" t="s">
        <v>221</v>
      </c>
      <c r="P156" s="109" t="s">
        <v>243</v>
      </c>
      <c r="Q156" s="109" t="s">
        <v>216</v>
      </c>
      <c r="R156" s="109" t="s">
        <v>217</v>
      </c>
      <c r="S156" s="109" t="s">
        <v>220</v>
      </c>
      <c r="T156" s="109" t="s">
        <v>221</v>
      </c>
      <c r="U156" s="109" t="s">
        <v>216</v>
      </c>
      <c r="V156" s="109" t="s">
        <v>217</v>
      </c>
      <c r="W156" s="109" t="s">
        <v>218</v>
      </c>
      <c r="X156" s="109" t="s">
        <v>219</v>
      </c>
      <c r="Y156" s="109" t="s">
        <v>220</v>
      </c>
      <c r="Z156" s="109" t="s">
        <v>221</v>
      </c>
      <c r="AA156" s="109" t="s">
        <v>222</v>
      </c>
      <c r="AB156" s="109" t="s">
        <v>223</v>
      </c>
      <c r="AC156" s="109" t="s">
        <v>1173</v>
      </c>
      <c r="AD156" s="109" t="s">
        <v>1174</v>
      </c>
      <c r="AE156" s="109">
        <v>355</v>
      </c>
      <c r="AF156" s="109" t="s">
        <v>1122</v>
      </c>
      <c r="AG156" s="109" t="s">
        <v>1175</v>
      </c>
      <c r="AH156" s="109" t="s">
        <v>214</v>
      </c>
      <c r="AI156" s="109" t="s">
        <v>1173</v>
      </c>
      <c r="AJ156" s="109" t="s">
        <v>1174</v>
      </c>
      <c r="AK156" s="109" t="s">
        <v>1175</v>
      </c>
      <c r="AL156" s="109" t="s">
        <v>214</v>
      </c>
      <c r="AM156" s="109" t="s">
        <v>1124</v>
      </c>
      <c r="AN156" s="207" t="s">
        <v>1176</v>
      </c>
      <c r="AO156" s="109">
        <v>1318.05</v>
      </c>
      <c r="AP156" s="109">
        <v>0</v>
      </c>
      <c r="AQ156" s="109">
        <v>2</v>
      </c>
      <c r="AR156" s="109">
        <v>0</v>
      </c>
      <c r="AS156" s="109" t="s">
        <v>252</v>
      </c>
      <c r="AT156" s="109" t="s">
        <v>229</v>
      </c>
      <c r="AU156" s="110">
        <v>46267</v>
      </c>
      <c r="AV156" s="109">
        <v>2067.2</v>
      </c>
      <c r="AW156" s="109" t="s">
        <v>230</v>
      </c>
      <c r="AX156" s="109" t="s">
        <v>231</v>
      </c>
      <c r="AY156" s="109">
        <v>26010.75</v>
      </c>
      <c r="AZ156" s="109" t="s">
        <v>232</v>
      </c>
      <c r="BA156" s="109" t="s">
        <v>233</v>
      </c>
      <c r="BB156" s="109">
        <v>2067.2</v>
      </c>
      <c r="BC156" s="109">
        <v>1819.14</v>
      </c>
      <c r="BD156" s="109">
        <v>2067.2</v>
      </c>
      <c r="BE156" s="109">
        <v>248.06</v>
      </c>
      <c r="BF156" s="111">
        <v>0.12</v>
      </c>
      <c r="BG156" s="109">
        <v>0</v>
      </c>
      <c r="BH156" s="109">
        <v>1318.05</v>
      </c>
      <c r="BI156" s="109">
        <v>1582.09</v>
      </c>
      <c r="BJ156" s="109">
        <v>0</v>
      </c>
      <c r="BK156" s="109">
        <v>17</v>
      </c>
      <c r="BL156" s="109">
        <v>0</v>
      </c>
      <c r="BM156" s="109">
        <v>9.76</v>
      </c>
      <c r="BN156" s="109">
        <v>39.02</v>
      </c>
      <c r="BO156" s="109">
        <v>77</v>
      </c>
      <c r="BP156" s="109">
        <v>3.23</v>
      </c>
      <c r="BQ156" s="109">
        <v>0</v>
      </c>
      <c r="BR156" s="109">
        <v>0</v>
      </c>
      <c r="BS156" s="109">
        <v>0</v>
      </c>
      <c r="BT156" s="109">
        <v>0</v>
      </c>
      <c r="BU156" s="109">
        <v>0</v>
      </c>
      <c r="BV156" s="109">
        <v>0</v>
      </c>
      <c r="BW156" s="109">
        <v>0</v>
      </c>
      <c r="BX156" s="109">
        <v>0</v>
      </c>
      <c r="BY156" s="109">
        <v>0</v>
      </c>
      <c r="BZ156" s="109">
        <v>0</v>
      </c>
      <c r="CA156" s="109">
        <v>91.04</v>
      </c>
      <c r="CB156" s="109" t="s">
        <v>225</v>
      </c>
      <c r="CC156" s="109" t="s">
        <v>234</v>
      </c>
      <c r="CD156" s="109">
        <v>4650.62</v>
      </c>
      <c r="CE156" s="109">
        <v>0</v>
      </c>
      <c r="CF156" s="109">
        <v>0</v>
      </c>
      <c r="CG156" s="109">
        <v>0</v>
      </c>
      <c r="CH156" s="109">
        <v>0</v>
      </c>
      <c r="CI156" s="109">
        <v>0</v>
      </c>
      <c r="CJ156" s="109">
        <v>0</v>
      </c>
      <c r="CK156" s="109">
        <v>0</v>
      </c>
      <c r="CL156" s="109"/>
      <c r="CM156" s="109"/>
      <c r="CN156" s="109">
        <v>0</v>
      </c>
      <c r="CO156" s="109">
        <v>0</v>
      </c>
      <c r="CP156" s="109">
        <v>0</v>
      </c>
      <c r="CQ156" s="109">
        <v>0</v>
      </c>
      <c r="CR156" s="109">
        <v>0</v>
      </c>
      <c r="CS156" s="109">
        <v>0</v>
      </c>
      <c r="CT156" s="109">
        <v>0</v>
      </c>
      <c r="CU156" s="109">
        <v>197.71</v>
      </c>
      <c r="CV156" s="109" t="s">
        <v>235</v>
      </c>
      <c r="CW156" s="109">
        <v>0</v>
      </c>
      <c r="CX156" s="109"/>
      <c r="CY156" s="109">
        <v>711.75</v>
      </c>
      <c r="CZ156" s="109" t="s">
        <v>289</v>
      </c>
      <c r="DA156" s="109">
        <f>CY156</f>
        <v>711.75</v>
      </c>
      <c r="DB156" s="109"/>
      <c r="DE156" s="109">
        <v>0</v>
      </c>
      <c r="DF156" s="109" t="s">
        <v>236</v>
      </c>
      <c r="DG156" s="109" t="s">
        <v>221</v>
      </c>
      <c r="DH156" s="109" t="s">
        <v>220</v>
      </c>
      <c r="DI156" s="109">
        <v>9026067267</v>
      </c>
      <c r="DJ156" s="109" t="s">
        <v>222</v>
      </c>
      <c r="DK156" s="109">
        <v>0</v>
      </c>
      <c r="DL156" s="109" t="s">
        <v>226</v>
      </c>
      <c r="DM156" s="109">
        <v>248.06</v>
      </c>
    </row>
    <row r="157" ht="13.8" hidden="1" spans="1:117">
      <c r="A157" s="109">
        <v>2</v>
      </c>
      <c r="B157" s="109" t="s">
        <v>1177</v>
      </c>
      <c r="C157" s="109" t="s">
        <v>203</v>
      </c>
      <c r="D157" s="109" t="s">
        <v>225</v>
      </c>
      <c r="E157" s="109" t="s">
        <v>226</v>
      </c>
      <c r="F157" s="110">
        <v>46255</v>
      </c>
      <c r="G157" s="109" t="s">
        <v>797</v>
      </c>
      <c r="H157" s="109" t="s">
        <v>1178</v>
      </c>
      <c r="I157" s="109" t="s">
        <v>216</v>
      </c>
      <c r="J157" s="109" t="s">
        <v>217</v>
      </c>
      <c r="K157" s="109" t="s">
        <v>218</v>
      </c>
      <c r="L157" s="109" t="s">
        <v>219</v>
      </c>
      <c r="M157" s="207" t="s">
        <v>242</v>
      </c>
      <c r="N157" s="109" t="s">
        <v>220</v>
      </c>
      <c r="O157" s="109" t="s">
        <v>221</v>
      </c>
      <c r="P157" s="109" t="s">
        <v>243</v>
      </c>
      <c r="Q157" s="109" t="s">
        <v>216</v>
      </c>
      <c r="R157" s="109" t="s">
        <v>217</v>
      </c>
      <c r="S157" s="109" t="s">
        <v>220</v>
      </c>
      <c r="T157" s="109" t="s">
        <v>221</v>
      </c>
      <c r="U157" s="109" t="s">
        <v>216</v>
      </c>
      <c r="V157" s="109" t="s">
        <v>217</v>
      </c>
      <c r="W157" s="109" t="s">
        <v>218</v>
      </c>
      <c r="X157" s="109" t="s">
        <v>219</v>
      </c>
      <c r="Y157" s="109" t="s">
        <v>220</v>
      </c>
      <c r="Z157" s="109" t="s">
        <v>221</v>
      </c>
      <c r="AA157" s="109" t="s">
        <v>222</v>
      </c>
      <c r="AB157" s="109" t="s">
        <v>223</v>
      </c>
      <c r="AC157" s="109" t="s">
        <v>1162</v>
      </c>
      <c r="AD157" s="109" t="s">
        <v>1163</v>
      </c>
      <c r="AE157" s="109">
        <v>280</v>
      </c>
      <c r="AF157" s="109" t="s">
        <v>477</v>
      </c>
      <c r="AG157" s="109" t="s">
        <v>1164</v>
      </c>
      <c r="AH157" s="109" t="s">
        <v>249</v>
      </c>
      <c r="AI157" s="109" t="s">
        <v>1162</v>
      </c>
      <c r="AJ157" s="109" t="s">
        <v>1163</v>
      </c>
      <c r="AK157" s="109" t="s">
        <v>1164</v>
      </c>
      <c r="AL157" s="109" t="s">
        <v>249</v>
      </c>
      <c r="AM157" s="109" t="s">
        <v>479</v>
      </c>
      <c r="AN157" s="207" t="s">
        <v>1179</v>
      </c>
      <c r="AO157" s="109">
        <v>38.25</v>
      </c>
      <c r="AP157" s="109">
        <v>0</v>
      </c>
      <c r="AQ157" s="109">
        <v>3</v>
      </c>
      <c r="AR157" s="109">
        <v>0</v>
      </c>
      <c r="AS157" s="109" t="s">
        <v>252</v>
      </c>
      <c r="AT157" s="109" t="s">
        <v>229</v>
      </c>
      <c r="AU157" s="110">
        <v>46267</v>
      </c>
      <c r="AV157" s="109">
        <v>130.56</v>
      </c>
      <c r="AW157" s="109" t="s">
        <v>230</v>
      </c>
      <c r="AX157" s="109" t="s">
        <v>230</v>
      </c>
      <c r="AY157" s="109">
        <v>1214.35</v>
      </c>
      <c r="AZ157" s="109" t="s">
        <v>232</v>
      </c>
      <c r="BA157" s="109" t="s">
        <v>356</v>
      </c>
      <c r="BB157" s="109">
        <v>130.56</v>
      </c>
      <c r="BC157" s="109">
        <v>114.89</v>
      </c>
      <c r="BD157" s="109">
        <v>130.56</v>
      </c>
      <c r="BE157" s="109">
        <v>15.67</v>
      </c>
      <c r="BF157" s="111">
        <v>0.12</v>
      </c>
      <c r="BG157" s="109">
        <v>0</v>
      </c>
      <c r="BH157" s="109">
        <v>38.25</v>
      </c>
      <c r="BI157" s="109">
        <v>72.9</v>
      </c>
      <c r="BJ157" s="109">
        <v>0</v>
      </c>
      <c r="BK157" s="109">
        <v>17</v>
      </c>
      <c r="BL157" s="109">
        <v>0</v>
      </c>
      <c r="BM157" s="109">
        <v>9.76</v>
      </c>
      <c r="BN157" s="109">
        <v>2.25</v>
      </c>
      <c r="BO157" s="109">
        <v>5.5</v>
      </c>
      <c r="BP157" s="109">
        <v>3.23</v>
      </c>
      <c r="BQ157" s="109">
        <v>0</v>
      </c>
      <c r="BR157" s="109">
        <v>0</v>
      </c>
      <c r="BS157" s="109">
        <v>0</v>
      </c>
      <c r="BT157" s="109">
        <v>0</v>
      </c>
      <c r="BU157" s="109">
        <v>0</v>
      </c>
      <c r="BV157" s="109">
        <v>0</v>
      </c>
      <c r="BW157" s="109">
        <v>0</v>
      </c>
      <c r="BX157" s="109">
        <v>0</v>
      </c>
      <c r="BY157" s="109">
        <v>0</v>
      </c>
      <c r="BZ157" s="109">
        <v>0</v>
      </c>
      <c r="CA157" s="109">
        <v>4.25</v>
      </c>
      <c r="CB157" s="109" t="s">
        <v>225</v>
      </c>
      <c r="CC157" s="109" t="s">
        <v>357</v>
      </c>
      <c r="CD157" s="109">
        <v>379.87</v>
      </c>
      <c r="CE157" s="109">
        <v>0</v>
      </c>
      <c r="CF157" s="109">
        <v>0</v>
      </c>
      <c r="CG157" s="109">
        <v>0</v>
      </c>
      <c r="CH157" s="109">
        <v>0</v>
      </c>
      <c r="CI157" s="109">
        <v>0</v>
      </c>
      <c r="CJ157" s="109">
        <v>0</v>
      </c>
      <c r="CK157" s="109">
        <v>0</v>
      </c>
      <c r="CL157" s="109"/>
      <c r="CM157" s="109"/>
      <c r="CN157" s="109">
        <v>0</v>
      </c>
      <c r="CO157" s="109">
        <v>0</v>
      </c>
      <c r="CP157" s="109">
        <v>0</v>
      </c>
      <c r="CQ157" s="109">
        <v>0</v>
      </c>
      <c r="CR157" s="109">
        <v>0</v>
      </c>
      <c r="CS157" s="109">
        <v>0</v>
      </c>
      <c r="CT157" s="109">
        <v>0</v>
      </c>
      <c r="CU157" s="109">
        <v>12</v>
      </c>
      <c r="CV157" s="109" t="s">
        <v>235</v>
      </c>
      <c r="CW157" s="109">
        <v>0</v>
      </c>
      <c r="CX157" s="109"/>
      <c r="CY157" s="109">
        <v>47.85</v>
      </c>
      <c r="CZ157" s="109" t="s">
        <v>1166</v>
      </c>
      <c r="DA157" s="109">
        <v>53.34</v>
      </c>
      <c r="DB157" s="207" t="s">
        <v>1167</v>
      </c>
      <c r="DE157" s="109">
        <v>0</v>
      </c>
      <c r="DF157" s="109" t="s">
        <v>236</v>
      </c>
      <c r="DG157" s="109" t="s">
        <v>221</v>
      </c>
      <c r="DH157" s="109" t="s">
        <v>220</v>
      </c>
      <c r="DI157" s="109">
        <v>9026067267</v>
      </c>
      <c r="DJ157" s="109" t="s">
        <v>222</v>
      </c>
      <c r="DK157" s="109">
        <v>0</v>
      </c>
      <c r="DL157" s="109" t="s">
        <v>226</v>
      </c>
      <c r="DM157" s="109">
        <v>15.67</v>
      </c>
    </row>
    <row r="158" ht="13.8" hidden="1" spans="1:117">
      <c r="A158" s="109">
        <v>2</v>
      </c>
      <c r="B158" s="109" t="s">
        <v>1180</v>
      </c>
      <c r="C158" s="109" t="s">
        <v>203</v>
      </c>
      <c r="D158" s="109" t="s">
        <v>225</v>
      </c>
      <c r="E158" s="109" t="s">
        <v>226</v>
      </c>
      <c r="F158" s="110">
        <v>46255</v>
      </c>
      <c r="G158" s="109" t="s">
        <v>797</v>
      </c>
      <c r="H158" s="109" t="s">
        <v>1181</v>
      </c>
      <c r="I158" s="109" t="s">
        <v>216</v>
      </c>
      <c r="J158" s="109" t="s">
        <v>217</v>
      </c>
      <c r="K158" s="109" t="s">
        <v>218</v>
      </c>
      <c r="L158" s="109" t="s">
        <v>219</v>
      </c>
      <c r="M158" s="207" t="s">
        <v>242</v>
      </c>
      <c r="N158" s="109" t="s">
        <v>220</v>
      </c>
      <c r="O158" s="109" t="s">
        <v>221</v>
      </c>
      <c r="P158" s="109" t="s">
        <v>243</v>
      </c>
      <c r="Q158" s="109" t="s">
        <v>216</v>
      </c>
      <c r="R158" s="109" t="s">
        <v>217</v>
      </c>
      <c r="S158" s="109" t="s">
        <v>220</v>
      </c>
      <c r="T158" s="109" t="s">
        <v>221</v>
      </c>
      <c r="U158" s="109" t="s">
        <v>216</v>
      </c>
      <c r="V158" s="109" t="s">
        <v>217</v>
      </c>
      <c r="W158" s="109" t="s">
        <v>218</v>
      </c>
      <c r="X158" s="109" t="s">
        <v>219</v>
      </c>
      <c r="Y158" s="109" t="s">
        <v>220</v>
      </c>
      <c r="Z158" s="109" t="s">
        <v>221</v>
      </c>
      <c r="AA158" s="109" t="s">
        <v>222</v>
      </c>
      <c r="AB158" s="109" t="s">
        <v>223</v>
      </c>
      <c r="AC158" s="109" t="s">
        <v>544</v>
      </c>
      <c r="AD158" s="109" t="s">
        <v>545</v>
      </c>
      <c r="AE158" s="109" t="s">
        <v>546</v>
      </c>
      <c r="AF158" s="109" t="s">
        <v>295</v>
      </c>
      <c r="AG158" s="109" t="s">
        <v>547</v>
      </c>
      <c r="AH158" s="109" t="s">
        <v>297</v>
      </c>
      <c r="AI158" s="109" t="s">
        <v>544</v>
      </c>
      <c r="AJ158" s="109" t="s">
        <v>545</v>
      </c>
      <c r="AK158" s="109" t="s">
        <v>547</v>
      </c>
      <c r="AL158" s="109" t="s">
        <v>297</v>
      </c>
      <c r="AM158" s="109" t="s">
        <v>298</v>
      </c>
      <c r="AN158" s="207" t="s">
        <v>1182</v>
      </c>
      <c r="AO158" s="109">
        <v>34</v>
      </c>
      <c r="AP158" s="109">
        <v>0</v>
      </c>
      <c r="AQ158" s="109">
        <v>2</v>
      </c>
      <c r="AR158" s="109">
        <v>0</v>
      </c>
      <c r="AS158" s="109" t="s">
        <v>252</v>
      </c>
      <c r="AT158" s="109" t="s">
        <v>229</v>
      </c>
      <c r="AU158" s="110">
        <v>46267</v>
      </c>
      <c r="AV158" s="109">
        <v>112.55</v>
      </c>
      <c r="AW158" s="109" t="s">
        <v>230</v>
      </c>
      <c r="AX158" s="109" t="s">
        <v>230</v>
      </c>
      <c r="AY158" s="109">
        <v>1284.39</v>
      </c>
      <c r="AZ158" s="109" t="s">
        <v>232</v>
      </c>
      <c r="BA158" s="109" t="s">
        <v>300</v>
      </c>
      <c r="BB158" s="109">
        <v>112.55</v>
      </c>
      <c r="BC158" s="109">
        <v>99.04</v>
      </c>
      <c r="BD158" s="109">
        <v>112.55</v>
      </c>
      <c r="BE158" s="109">
        <v>13.51</v>
      </c>
      <c r="BF158" s="111">
        <v>0.12</v>
      </c>
      <c r="BG158" s="109">
        <v>0</v>
      </c>
      <c r="BH158" s="109">
        <v>34</v>
      </c>
      <c r="BI158" s="109">
        <v>56.8</v>
      </c>
      <c r="BJ158" s="109">
        <v>0</v>
      </c>
      <c r="BK158" s="109">
        <v>17</v>
      </c>
      <c r="BL158" s="109">
        <v>0</v>
      </c>
      <c r="BM158" s="109">
        <v>9.76</v>
      </c>
      <c r="BN158" s="109">
        <v>2.25</v>
      </c>
      <c r="BO158" s="109">
        <v>5.5</v>
      </c>
      <c r="BP158" s="109">
        <v>3.23</v>
      </c>
      <c r="BQ158" s="109">
        <v>0</v>
      </c>
      <c r="BR158" s="109">
        <v>0</v>
      </c>
      <c r="BS158" s="109">
        <v>0</v>
      </c>
      <c r="BT158" s="109">
        <v>0</v>
      </c>
      <c r="BU158" s="109">
        <v>0</v>
      </c>
      <c r="BV158" s="109">
        <v>0</v>
      </c>
      <c r="BW158" s="109">
        <v>0</v>
      </c>
      <c r="BX158" s="109">
        <v>0</v>
      </c>
      <c r="BY158" s="109">
        <v>0</v>
      </c>
      <c r="BZ158" s="109">
        <v>0</v>
      </c>
      <c r="CA158" s="109">
        <v>4.5</v>
      </c>
      <c r="CB158" s="109" t="s">
        <v>225</v>
      </c>
      <c r="CC158" s="109" t="s">
        <v>295</v>
      </c>
      <c r="CD158" s="109">
        <v>380.62</v>
      </c>
      <c r="CE158" s="109">
        <v>0</v>
      </c>
      <c r="CF158" s="109">
        <v>0</v>
      </c>
      <c r="CG158" s="109">
        <v>0</v>
      </c>
      <c r="CH158" s="109">
        <v>0</v>
      </c>
      <c r="CI158" s="109">
        <v>0</v>
      </c>
      <c r="CJ158" s="109">
        <v>0</v>
      </c>
      <c r="CK158" s="109">
        <v>0</v>
      </c>
      <c r="CL158" s="109"/>
      <c r="CM158" s="109"/>
      <c r="CN158" s="109">
        <v>0</v>
      </c>
      <c r="CO158" s="109">
        <v>0</v>
      </c>
      <c r="CP158" s="109">
        <v>0</v>
      </c>
      <c r="CQ158" s="109">
        <v>0</v>
      </c>
      <c r="CR158" s="109">
        <v>0</v>
      </c>
      <c r="CS158" s="109">
        <v>0</v>
      </c>
      <c r="CT158" s="109">
        <v>0</v>
      </c>
      <c r="CU158" s="109">
        <v>12</v>
      </c>
      <c r="CV158" s="109" t="s">
        <v>235</v>
      </c>
      <c r="CW158" s="109">
        <v>0</v>
      </c>
      <c r="CX158" s="109"/>
      <c r="CY158" s="109">
        <v>18</v>
      </c>
      <c r="CZ158" s="109" t="s">
        <v>235</v>
      </c>
      <c r="DA158" s="109">
        <v>0</v>
      </c>
      <c r="DB158" s="109"/>
      <c r="DE158" s="109">
        <v>0</v>
      </c>
      <c r="DF158" s="109" t="s">
        <v>236</v>
      </c>
      <c r="DG158" s="109" t="s">
        <v>221</v>
      </c>
      <c r="DH158" s="109" t="s">
        <v>220</v>
      </c>
      <c r="DI158" s="109">
        <v>9026067267</v>
      </c>
      <c r="DJ158" s="109" t="s">
        <v>222</v>
      </c>
      <c r="DK158" s="109">
        <v>0</v>
      </c>
      <c r="DL158" s="109" t="s">
        <v>226</v>
      </c>
      <c r="DM158" s="109">
        <v>13.51</v>
      </c>
    </row>
    <row r="159" ht="13.8" hidden="1" spans="1:117">
      <c r="A159" s="109">
        <v>2</v>
      </c>
      <c r="B159" s="109" t="s">
        <v>1183</v>
      </c>
      <c r="C159" s="109" t="s">
        <v>203</v>
      </c>
      <c r="D159" s="109" t="s">
        <v>225</v>
      </c>
      <c r="E159" s="109" t="s">
        <v>226</v>
      </c>
      <c r="F159" s="110">
        <v>46255</v>
      </c>
      <c r="G159" s="109" t="s">
        <v>797</v>
      </c>
      <c r="H159" s="109" t="s">
        <v>1184</v>
      </c>
      <c r="I159" s="109" t="s">
        <v>216</v>
      </c>
      <c r="J159" s="109" t="s">
        <v>217</v>
      </c>
      <c r="K159" s="109" t="s">
        <v>218</v>
      </c>
      <c r="L159" s="109" t="s">
        <v>219</v>
      </c>
      <c r="M159" s="207" t="s">
        <v>242</v>
      </c>
      <c r="N159" s="109" t="s">
        <v>220</v>
      </c>
      <c r="O159" s="109" t="s">
        <v>221</v>
      </c>
      <c r="P159" s="109" t="s">
        <v>243</v>
      </c>
      <c r="Q159" s="109" t="s">
        <v>216</v>
      </c>
      <c r="R159" s="109" t="s">
        <v>217</v>
      </c>
      <c r="S159" s="109" t="s">
        <v>220</v>
      </c>
      <c r="T159" s="109" t="s">
        <v>221</v>
      </c>
      <c r="U159" s="109" t="s">
        <v>216</v>
      </c>
      <c r="V159" s="109" t="s">
        <v>217</v>
      </c>
      <c r="W159" s="109" t="s">
        <v>218</v>
      </c>
      <c r="X159" s="109" t="s">
        <v>219</v>
      </c>
      <c r="Y159" s="109" t="s">
        <v>220</v>
      </c>
      <c r="Z159" s="109" t="s">
        <v>221</v>
      </c>
      <c r="AA159" s="109" t="s">
        <v>222</v>
      </c>
      <c r="AB159" s="109" t="s">
        <v>223</v>
      </c>
      <c r="AC159" s="109" t="s">
        <v>1185</v>
      </c>
      <c r="AD159" s="109" t="s">
        <v>1186</v>
      </c>
      <c r="AE159" s="109">
        <v>355</v>
      </c>
      <c r="AF159" s="109" t="s">
        <v>1187</v>
      </c>
      <c r="AG159" s="109" t="s">
        <v>1188</v>
      </c>
      <c r="AH159" s="109" t="s">
        <v>214</v>
      </c>
      <c r="AI159" s="109" t="s">
        <v>1185</v>
      </c>
      <c r="AJ159" s="109" t="s">
        <v>1186</v>
      </c>
      <c r="AK159" s="109" t="s">
        <v>1188</v>
      </c>
      <c r="AL159" s="109" t="s">
        <v>214</v>
      </c>
      <c r="AM159" s="109" t="s">
        <v>1189</v>
      </c>
      <c r="AN159" s="207" t="s">
        <v>1190</v>
      </c>
      <c r="AO159" s="109">
        <v>129.485</v>
      </c>
      <c r="AP159" s="109">
        <v>0</v>
      </c>
      <c r="AQ159" s="109">
        <v>17</v>
      </c>
      <c r="AR159" s="109">
        <v>0</v>
      </c>
      <c r="AS159" s="109" t="s">
        <v>252</v>
      </c>
      <c r="AT159" s="109" t="s">
        <v>229</v>
      </c>
      <c r="AU159" s="110">
        <v>46267</v>
      </c>
      <c r="AV159" s="109">
        <v>249.22</v>
      </c>
      <c r="AW159" s="109" t="s">
        <v>230</v>
      </c>
      <c r="AX159" s="109" t="s">
        <v>230</v>
      </c>
      <c r="AY159" s="109">
        <v>4580.77</v>
      </c>
      <c r="AZ159" s="109" t="s">
        <v>232</v>
      </c>
      <c r="BA159" s="109" t="s">
        <v>233</v>
      </c>
      <c r="BB159" s="109">
        <v>249.22</v>
      </c>
      <c r="BC159" s="109">
        <v>219.31</v>
      </c>
      <c r="BD159" s="109">
        <v>249.22</v>
      </c>
      <c r="BE159" s="109">
        <v>29.91</v>
      </c>
      <c r="BF159" s="111">
        <v>0.12</v>
      </c>
      <c r="BG159" s="109">
        <v>0</v>
      </c>
      <c r="BH159" s="109">
        <v>129.485</v>
      </c>
      <c r="BI159" s="109">
        <v>155.42</v>
      </c>
      <c r="BJ159" s="109">
        <v>0</v>
      </c>
      <c r="BK159" s="109">
        <v>17</v>
      </c>
      <c r="BL159" s="109">
        <v>0</v>
      </c>
      <c r="BM159" s="109">
        <v>9.76</v>
      </c>
      <c r="BN159" s="109">
        <v>6.87</v>
      </c>
      <c r="BO159" s="109">
        <v>11</v>
      </c>
      <c r="BP159" s="109">
        <v>3.23</v>
      </c>
      <c r="BQ159" s="109">
        <v>0</v>
      </c>
      <c r="BR159" s="109">
        <v>0</v>
      </c>
      <c r="BS159" s="109">
        <v>0</v>
      </c>
      <c r="BT159" s="109">
        <v>0</v>
      </c>
      <c r="BU159" s="109">
        <v>0</v>
      </c>
      <c r="BV159" s="109">
        <v>0</v>
      </c>
      <c r="BW159" s="109">
        <v>0</v>
      </c>
      <c r="BX159" s="109">
        <v>0</v>
      </c>
      <c r="BY159" s="109">
        <v>0</v>
      </c>
      <c r="BZ159" s="109">
        <v>0</v>
      </c>
      <c r="CA159" s="109">
        <v>16.03</v>
      </c>
      <c r="CB159" s="109" t="s">
        <v>225</v>
      </c>
      <c r="CC159" s="109" t="s">
        <v>234</v>
      </c>
      <c r="CD159" s="109">
        <v>426.16</v>
      </c>
      <c r="CE159" s="109">
        <v>0</v>
      </c>
      <c r="CF159" s="109">
        <v>0</v>
      </c>
      <c r="CG159" s="109">
        <v>0</v>
      </c>
      <c r="CH159" s="109">
        <v>0</v>
      </c>
      <c r="CI159" s="109">
        <v>0</v>
      </c>
      <c r="CJ159" s="109">
        <v>0</v>
      </c>
      <c r="CK159" s="109">
        <v>0</v>
      </c>
      <c r="CL159" s="109"/>
      <c r="CM159" s="109"/>
      <c r="CN159" s="109">
        <v>0</v>
      </c>
      <c r="CO159" s="109">
        <v>0</v>
      </c>
      <c r="CP159" s="109">
        <v>0</v>
      </c>
      <c r="CQ159" s="109">
        <v>0</v>
      </c>
      <c r="CR159" s="109">
        <v>0</v>
      </c>
      <c r="CS159" s="109">
        <v>0</v>
      </c>
      <c r="CT159" s="109">
        <v>0</v>
      </c>
      <c r="CU159" s="109">
        <v>19.42</v>
      </c>
      <c r="CV159" s="109" t="s">
        <v>235</v>
      </c>
      <c r="CW159" s="109">
        <v>0</v>
      </c>
      <c r="CX159" s="109"/>
      <c r="CY159" s="109">
        <v>0</v>
      </c>
      <c r="CZ159" s="109" t="s">
        <v>235</v>
      </c>
      <c r="DA159" s="112">
        <f>BB159*18%</f>
        <v>44.8596</v>
      </c>
      <c r="DB159" s="109"/>
      <c r="DE159" s="109">
        <v>0</v>
      </c>
      <c r="DF159" s="109" t="s">
        <v>236</v>
      </c>
      <c r="DG159" s="109" t="s">
        <v>221</v>
      </c>
      <c r="DH159" s="109" t="s">
        <v>220</v>
      </c>
      <c r="DI159" s="109">
        <v>9026067267</v>
      </c>
      <c r="DJ159" s="109" t="s">
        <v>222</v>
      </c>
      <c r="DK159" s="109">
        <v>0</v>
      </c>
      <c r="DL159" s="109" t="s">
        <v>226</v>
      </c>
      <c r="DM159" s="109">
        <v>29.91</v>
      </c>
    </row>
    <row r="160" ht="13.8" hidden="1" spans="1:117">
      <c r="A160" s="109">
        <v>2</v>
      </c>
      <c r="B160" s="109" t="s">
        <v>1191</v>
      </c>
      <c r="C160" s="109" t="s">
        <v>203</v>
      </c>
      <c r="D160" s="109" t="s">
        <v>225</v>
      </c>
      <c r="E160" s="109" t="s">
        <v>226</v>
      </c>
      <c r="F160" s="110">
        <v>46255</v>
      </c>
      <c r="G160" s="109" t="s">
        <v>797</v>
      </c>
      <c r="H160" s="109" t="s">
        <v>1192</v>
      </c>
      <c r="I160" s="109" t="s">
        <v>216</v>
      </c>
      <c r="J160" s="109" t="s">
        <v>217</v>
      </c>
      <c r="K160" s="109" t="s">
        <v>218</v>
      </c>
      <c r="L160" s="109" t="s">
        <v>219</v>
      </c>
      <c r="M160" s="207" t="s">
        <v>242</v>
      </c>
      <c r="N160" s="109" t="s">
        <v>220</v>
      </c>
      <c r="O160" s="109" t="s">
        <v>221</v>
      </c>
      <c r="P160" s="109" t="s">
        <v>243</v>
      </c>
      <c r="Q160" s="109" t="s">
        <v>216</v>
      </c>
      <c r="R160" s="109" t="s">
        <v>217</v>
      </c>
      <c r="S160" s="109" t="s">
        <v>220</v>
      </c>
      <c r="T160" s="109" t="s">
        <v>221</v>
      </c>
      <c r="U160" s="109" t="s">
        <v>216</v>
      </c>
      <c r="V160" s="109" t="s">
        <v>217</v>
      </c>
      <c r="W160" s="109" t="s">
        <v>218</v>
      </c>
      <c r="X160" s="109" t="s">
        <v>219</v>
      </c>
      <c r="Y160" s="109" t="s">
        <v>220</v>
      </c>
      <c r="Z160" s="109" t="s">
        <v>221</v>
      </c>
      <c r="AA160" s="109" t="s">
        <v>222</v>
      </c>
      <c r="AB160" s="109" t="s">
        <v>223</v>
      </c>
      <c r="AC160" s="109" t="s">
        <v>1193</v>
      </c>
      <c r="AD160" s="109" t="s">
        <v>1194</v>
      </c>
      <c r="AE160" s="109" t="s">
        <v>246</v>
      </c>
      <c r="AF160" s="109" t="s">
        <v>247</v>
      </c>
      <c r="AG160" s="109" t="s">
        <v>248</v>
      </c>
      <c r="AH160" s="109" t="s">
        <v>249</v>
      </c>
      <c r="AI160" s="109" t="s">
        <v>1193</v>
      </c>
      <c r="AJ160" s="109" t="s">
        <v>1194</v>
      </c>
      <c r="AK160" s="109" t="s">
        <v>248</v>
      </c>
      <c r="AL160" s="109" t="s">
        <v>249</v>
      </c>
      <c r="AM160" s="109" t="s">
        <v>250</v>
      </c>
      <c r="AN160" s="207" t="s">
        <v>1195</v>
      </c>
      <c r="AO160" s="109">
        <v>108.3</v>
      </c>
      <c r="AP160" s="109">
        <v>0</v>
      </c>
      <c r="AQ160" s="109">
        <v>12</v>
      </c>
      <c r="AR160" s="109">
        <v>0</v>
      </c>
      <c r="AS160" s="109" t="s">
        <v>252</v>
      </c>
      <c r="AT160" s="109" t="s">
        <v>229</v>
      </c>
      <c r="AU160" s="110">
        <v>46267</v>
      </c>
      <c r="AV160" s="109">
        <v>179.67</v>
      </c>
      <c r="AW160" s="109" t="s">
        <v>230</v>
      </c>
      <c r="AX160" s="109" t="s">
        <v>230</v>
      </c>
      <c r="AY160" s="109">
        <v>3927.58</v>
      </c>
      <c r="AZ160" s="109" t="s">
        <v>232</v>
      </c>
      <c r="BA160" s="109" t="s">
        <v>253</v>
      </c>
      <c r="BB160" s="109">
        <v>179.67</v>
      </c>
      <c r="BC160" s="109">
        <v>158.11</v>
      </c>
      <c r="BD160" s="109">
        <v>179.67</v>
      </c>
      <c r="BE160" s="109">
        <v>21.56</v>
      </c>
      <c r="BF160" s="111">
        <v>0.12</v>
      </c>
      <c r="BG160" s="109">
        <v>0</v>
      </c>
      <c r="BH160" s="109">
        <v>108.3</v>
      </c>
      <c r="BI160" s="109">
        <v>97.48</v>
      </c>
      <c r="BJ160" s="109">
        <v>0</v>
      </c>
      <c r="BK160" s="109">
        <v>17</v>
      </c>
      <c r="BL160" s="109">
        <v>0</v>
      </c>
      <c r="BM160" s="109">
        <v>9.76</v>
      </c>
      <c r="BN160" s="109">
        <v>5.89</v>
      </c>
      <c r="BO160" s="109">
        <v>11</v>
      </c>
      <c r="BP160" s="109">
        <v>3.23</v>
      </c>
      <c r="BQ160" s="109">
        <v>0</v>
      </c>
      <c r="BR160" s="109">
        <v>0</v>
      </c>
      <c r="BS160" s="109">
        <v>0</v>
      </c>
      <c r="BT160" s="109">
        <v>0</v>
      </c>
      <c r="BU160" s="109">
        <v>0</v>
      </c>
      <c r="BV160" s="109">
        <v>0</v>
      </c>
      <c r="BW160" s="109">
        <v>0</v>
      </c>
      <c r="BX160" s="109">
        <v>0</v>
      </c>
      <c r="BY160" s="109">
        <v>0</v>
      </c>
      <c r="BZ160" s="109">
        <v>0</v>
      </c>
      <c r="CA160" s="109">
        <v>13.75</v>
      </c>
      <c r="CB160" s="109" t="s">
        <v>225</v>
      </c>
      <c r="CC160" s="109" t="s">
        <v>247</v>
      </c>
      <c r="CD160" s="109">
        <v>416.67</v>
      </c>
      <c r="CE160" s="109">
        <v>0</v>
      </c>
      <c r="CF160" s="109">
        <v>0</v>
      </c>
      <c r="CG160" s="109">
        <v>0</v>
      </c>
      <c r="CH160" s="109">
        <v>0</v>
      </c>
      <c r="CI160" s="109">
        <v>0</v>
      </c>
      <c r="CJ160" s="109">
        <v>0</v>
      </c>
      <c r="CK160" s="109">
        <v>0</v>
      </c>
      <c r="CL160" s="109"/>
      <c r="CM160" s="109"/>
      <c r="CN160" s="109">
        <v>0</v>
      </c>
      <c r="CO160" s="109">
        <v>0</v>
      </c>
      <c r="CP160" s="109">
        <v>0</v>
      </c>
      <c r="CQ160" s="109">
        <v>0</v>
      </c>
      <c r="CR160" s="109">
        <v>0</v>
      </c>
      <c r="CS160" s="109">
        <v>0</v>
      </c>
      <c r="CT160" s="109">
        <v>0</v>
      </c>
      <c r="CU160" s="109">
        <v>16.25</v>
      </c>
      <c r="CV160" s="109" t="s">
        <v>235</v>
      </c>
      <c r="CW160" s="109">
        <v>0</v>
      </c>
      <c r="CX160" s="109"/>
      <c r="CY160" s="109">
        <v>19.49</v>
      </c>
      <c r="CZ160" s="109" t="s">
        <v>235</v>
      </c>
      <c r="DA160" s="109">
        <v>0</v>
      </c>
      <c r="DB160" s="109"/>
      <c r="DE160" s="109">
        <v>0</v>
      </c>
      <c r="DF160" s="109" t="s">
        <v>236</v>
      </c>
      <c r="DG160" s="109" t="s">
        <v>221</v>
      </c>
      <c r="DH160" s="109" t="s">
        <v>220</v>
      </c>
      <c r="DI160" s="109">
        <v>9026067267</v>
      </c>
      <c r="DJ160" s="109" t="s">
        <v>222</v>
      </c>
      <c r="DK160" s="109">
        <v>0</v>
      </c>
      <c r="DL160" s="109" t="s">
        <v>226</v>
      </c>
      <c r="DM160" s="109">
        <v>21.56</v>
      </c>
    </row>
    <row r="161" ht="13.8" hidden="1" spans="1:117">
      <c r="A161" s="109">
        <v>2</v>
      </c>
      <c r="B161" s="109" t="s">
        <v>1196</v>
      </c>
      <c r="C161" s="109" t="s">
        <v>203</v>
      </c>
      <c r="D161" s="109" t="s">
        <v>225</v>
      </c>
      <c r="E161" s="109" t="s">
        <v>226</v>
      </c>
      <c r="F161" s="110">
        <v>46255</v>
      </c>
      <c r="G161" s="109" t="s">
        <v>797</v>
      </c>
      <c r="H161" s="109" t="s">
        <v>1197</v>
      </c>
      <c r="I161" s="109" t="s">
        <v>216</v>
      </c>
      <c r="J161" s="109" t="s">
        <v>217</v>
      </c>
      <c r="K161" s="109" t="s">
        <v>218</v>
      </c>
      <c r="L161" s="109" t="s">
        <v>219</v>
      </c>
      <c r="M161" s="207" t="s">
        <v>242</v>
      </c>
      <c r="N161" s="109" t="s">
        <v>220</v>
      </c>
      <c r="O161" s="109" t="s">
        <v>221</v>
      </c>
      <c r="P161" s="109" t="s">
        <v>243</v>
      </c>
      <c r="Q161" s="109" t="s">
        <v>216</v>
      </c>
      <c r="R161" s="109" t="s">
        <v>217</v>
      </c>
      <c r="S161" s="109" t="s">
        <v>220</v>
      </c>
      <c r="T161" s="109" t="s">
        <v>221</v>
      </c>
      <c r="U161" s="109" t="s">
        <v>216</v>
      </c>
      <c r="V161" s="109" t="s">
        <v>217</v>
      </c>
      <c r="W161" s="109" t="s">
        <v>218</v>
      </c>
      <c r="X161" s="109" t="s">
        <v>219</v>
      </c>
      <c r="Y161" s="109" t="s">
        <v>220</v>
      </c>
      <c r="Z161" s="109" t="s">
        <v>221</v>
      </c>
      <c r="AA161" s="109" t="s">
        <v>222</v>
      </c>
      <c r="AB161" s="109" t="s">
        <v>223</v>
      </c>
      <c r="AC161" s="109" t="s">
        <v>1198</v>
      </c>
      <c r="AD161" s="109" t="s">
        <v>1199</v>
      </c>
      <c r="AE161" s="109">
        <v>151</v>
      </c>
      <c r="AF161" s="109" t="s">
        <v>605</v>
      </c>
      <c r="AG161" s="109" t="s">
        <v>1200</v>
      </c>
      <c r="AH161" s="109" t="s">
        <v>297</v>
      </c>
      <c r="AI161" s="109" t="s">
        <v>1198</v>
      </c>
      <c r="AJ161" s="109" t="s">
        <v>1199</v>
      </c>
      <c r="AK161" s="109" t="s">
        <v>1200</v>
      </c>
      <c r="AL161" s="109" t="s">
        <v>297</v>
      </c>
      <c r="AM161" s="109" t="s">
        <v>607</v>
      </c>
      <c r="AN161" s="207" t="s">
        <v>1201</v>
      </c>
      <c r="AO161" s="109">
        <v>256.99</v>
      </c>
      <c r="AP161" s="109">
        <v>0</v>
      </c>
      <c r="AQ161" s="109">
        <v>26</v>
      </c>
      <c r="AR161" s="109">
        <v>0</v>
      </c>
      <c r="AS161" s="109" t="s">
        <v>252</v>
      </c>
      <c r="AT161" s="109" t="s">
        <v>229</v>
      </c>
      <c r="AU161" s="110">
        <v>46267</v>
      </c>
      <c r="AV161" s="109">
        <v>371.39</v>
      </c>
      <c r="AW161" s="109" t="s">
        <v>230</v>
      </c>
      <c r="AX161" s="109" t="s">
        <v>230</v>
      </c>
      <c r="AY161" s="109">
        <v>8328.37</v>
      </c>
      <c r="AZ161" s="109" t="s">
        <v>232</v>
      </c>
      <c r="BA161" s="109" t="s">
        <v>557</v>
      </c>
      <c r="BB161" s="109">
        <v>371.39</v>
      </c>
      <c r="BC161" s="109">
        <v>326.82</v>
      </c>
      <c r="BD161" s="109">
        <v>371.39</v>
      </c>
      <c r="BE161" s="109">
        <v>44.57</v>
      </c>
      <c r="BF161" s="111">
        <v>0.12</v>
      </c>
      <c r="BG161" s="109">
        <v>0</v>
      </c>
      <c r="BH161" s="109">
        <v>256.99</v>
      </c>
      <c r="BI161" s="109">
        <v>238.69</v>
      </c>
      <c r="BJ161" s="109">
        <v>0</v>
      </c>
      <c r="BK161" s="109">
        <v>17</v>
      </c>
      <c r="BL161" s="109">
        <v>0</v>
      </c>
      <c r="BM161" s="109">
        <v>9.76</v>
      </c>
      <c r="BN161" s="109">
        <v>12.49</v>
      </c>
      <c r="BO161" s="109">
        <v>16.5</v>
      </c>
      <c r="BP161" s="109">
        <v>3.23</v>
      </c>
      <c r="BQ161" s="109">
        <v>0</v>
      </c>
      <c r="BR161" s="109">
        <v>0</v>
      </c>
      <c r="BS161" s="109">
        <v>0</v>
      </c>
      <c r="BT161" s="109">
        <v>0</v>
      </c>
      <c r="BU161" s="109">
        <v>0</v>
      </c>
      <c r="BV161" s="109">
        <v>0</v>
      </c>
      <c r="BW161" s="109">
        <v>0</v>
      </c>
      <c r="BX161" s="109">
        <v>0</v>
      </c>
      <c r="BY161" s="109">
        <v>0</v>
      </c>
      <c r="BZ161" s="109">
        <v>0</v>
      </c>
      <c r="CA161" s="109">
        <v>29.15</v>
      </c>
      <c r="CB161" s="109" t="s">
        <v>225</v>
      </c>
      <c r="CC161" s="109" t="s">
        <v>558</v>
      </c>
      <c r="CD161" s="109">
        <v>679.95</v>
      </c>
      <c r="CE161" s="109">
        <v>0</v>
      </c>
      <c r="CF161" s="109">
        <v>0</v>
      </c>
      <c r="CG161" s="109">
        <v>0</v>
      </c>
      <c r="CH161" s="109">
        <v>0</v>
      </c>
      <c r="CI161" s="109">
        <v>0</v>
      </c>
      <c r="CJ161" s="109">
        <v>0</v>
      </c>
      <c r="CK161" s="109">
        <v>0</v>
      </c>
      <c r="CL161" s="109"/>
      <c r="CM161" s="109"/>
      <c r="CN161" s="109">
        <v>0</v>
      </c>
      <c r="CO161" s="109">
        <v>0</v>
      </c>
      <c r="CP161" s="109">
        <v>0</v>
      </c>
      <c r="CQ161" s="109">
        <v>0</v>
      </c>
      <c r="CR161" s="109">
        <v>0</v>
      </c>
      <c r="CS161" s="109">
        <v>0</v>
      </c>
      <c r="CT161" s="109">
        <v>0</v>
      </c>
      <c r="CU161" s="109">
        <v>38.55</v>
      </c>
      <c r="CV161" s="109" t="s">
        <v>235</v>
      </c>
      <c r="CW161" s="109">
        <v>0</v>
      </c>
      <c r="CX161" s="109"/>
      <c r="CY161" s="109">
        <v>128.55</v>
      </c>
      <c r="CZ161" s="109" t="s">
        <v>1202</v>
      </c>
      <c r="DA161" s="109">
        <v>169.91</v>
      </c>
      <c r="DB161" s="109">
        <v>160985</v>
      </c>
      <c r="DE161" s="109">
        <v>0</v>
      </c>
      <c r="DF161" s="109" t="s">
        <v>236</v>
      </c>
      <c r="DG161" s="109" t="s">
        <v>221</v>
      </c>
      <c r="DH161" s="109" t="s">
        <v>220</v>
      </c>
      <c r="DI161" s="109">
        <v>9026067267</v>
      </c>
      <c r="DJ161" s="109" t="s">
        <v>222</v>
      </c>
      <c r="DK161" s="109">
        <v>0</v>
      </c>
      <c r="DL161" s="109" t="s">
        <v>226</v>
      </c>
      <c r="DM161" s="109">
        <v>44.57</v>
      </c>
    </row>
    <row r="162" ht="13.8" hidden="1" spans="1:117">
      <c r="A162" s="109">
        <v>2</v>
      </c>
      <c r="B162" s="109" t="s">
        <v>1203</v>
      </c>
      <c r="C162" s="109" t="s">
        <v>203</v>
      </c>
      <c r="D162" s="109" t="s">
        <v>225</v>
      </c>
      <c r="E162" s="109" t="s">
        <v>226</v>
      </c>
      <c r="F162" s="110">
        <v>46259</v>
      </c>
      <c r="G162" s="109" t="s">
        <v>1204</v>
      </c>
      <c r="H162" s="109" t="s">
        <v>1205</v>
      </c>
      <c r="I162" s="109" t="s">
        <v>216</v>
      </c>
      <c r="J162" s="109" t="s">
        <v>217</v>
      </c>
      <c r="K162" s="109" t="s">
        <v>218</v>
      </c>
      <c r="L162" s="109" t="s">
        <v>219</v>
      </c>
      <c r="M162" s="207" t="s">
        <v>242</v>
      </c>
      <c r="N162" s="109" t="s">
        <v>220</v>
      </c>
      <c r="O162" s="109" t="s">
        <v>221</v>
      </c>
      <c r="P162" s="109" t="s">
        <v>243</v>
      </c>
      <c r="Q162" s="109" t="s">
        <v>216</v>
      </c>
      <c r="R162" s="109" t="s">
        <v>217</v>
      </c>
      <c r="S162" s="109" t="s">
        <v>220</v>
      </c>
      <c r="T162" s="109" t="s">
        <v>221</v>
      </c>
      <c r="U162" s="109" t="s">
        <v>216</v>
      </c>
      <c r="V162" s="109" t="s">
        <v>217</v>
      </c>
      <c r="W162" s="109" t="s">
        <v>218</v>
      </c>
      <c r="X162" s="109" t="s">
        <v>219</v>
      </c>
      <c r="Y162" s="109" t="s">
        <v>220</v>
      </c>
      <c r="Z162" s="109" t="s">
        <v>221</v>
      </c>
      <c r="AA162" s="109" t="s">
        <v>222</v>
      </c>
      <c r="AB162" s="109" t="s">
        <v>223</v>
      </c>
      <c r="AC162" s="109" t="s">
        <v>508</v>
      </c>
      <c r="AD162" s="109" t="s">
        <v>509</v>
      </c>
      <c r="AE162" s="109">
        <v>291</v>
      </c>
      <c r="AF162" s="109" t="s">
        <v>277</v>
      </c>
      <c r="AG162" s="109" t="s">
        <v>510</v>
      </c>
      <c r="AH162" s="109" t="s">
        <v>273</v>
      </c>
      <c r="AI162" s="109" t="s">
        <v>508</v>
      </c>
      <c r="AJ162" s="109" t="s">
        <v>509</v>
      </c>
      <c r="AK162" s="109" t="s">
        <v>510</v>
      </c>
      <c r="AL162" s="109" t="s">
        <v>273</v>
      </c>
      <c r="AM162" s="109" t="s">
        <v>274</v>
      </c>
      <c r="AN162" s="207" t="s">
        <v>1206</v>
      </c>
      <c r="AO162" s="109">
        <v>75.9</v>
      </c>
      <c r="AP162" s="109">
        <v>0</v>
      </c>
      <c r="AQ162" s="109">
        <v>6</v>
      </c>
      <c r="AR162" s="109">
        <v>0</v>
      </c>
      <c r="AS162" s="109" t="s">
        <v>252</v>
      </c>
      <c r="AT162" s="109" t="s">
        <v>229</v>
      </c>
      <c r="AU162" s="110">
        <v>46274</v>
      </c>
      <c r="AV162" s="109">
        <v>440.58</v>
      </c>
      <c r="AW162" s="109" t="s">
        <v>230</v>
      </c>
      <c r="AX162" s="109" t="s">
        <v>230</v>
      </c>
      <c r="AY162" s="109">
        <v>2165.79</v>
      </c>
      <c r="AZ162" s="109" t="s">
        <v>232</v>
      </c>
      <c r="BA162" s="109" t="s">
        <v>276</v>
      </c>
      <c r="BB162" s="109">
        <v>443.14</v>
      </c>
      <c r="BC162" s="109">
        <v>412.12</v>
      </c>
      <c r="BD162" s="109">
        <v>443.14</v>
      </c>
      <c r="BE162" s="109">
        <v>31.02</v>
      </c>
      <c r="BF162" s="111">
        <v>0.07</v>
      </c>
      <c r="BG162" s="109">
        <v>0</v>
      </c>
      <c r="BH162" s="109">
        <v>75.9</v>
      </c>
      <c r="BI162" s="109">
        <v>115.8</v>
      </c>
      <c r="BJ162" s="109">
        <v>0</v>
      </c>
      <c r="BK162" s="109">
        <v>17</v>
      </c>
      <c r="BL162" s="109">
        <v>0</v>
      </c>
      <c r="BM162" s="109">
        <v>9.76</v>
      </c>
      <c r="BN162" s="109">
        <v>3.25</v>
      </c>
      <c r="BO162" s="109">
        <v>5.5</v>
      </c>
      <c r="BP162" s="109">
        <v>3.23</v>
      </c>
      <c r="BQ162" s="109">
        <v>0</v>
      </c>
      <c r="BR162" s="109">
        <v>0</v>
      </c>
      <c r="BS162" s="109">
        <v>0</v>
      </c>
      <c r="BT162" s="109">
        <v>0</v>
      </c>
      <c r="BU162" s="109">
        <v>0</v>
      </c>
      <c r="BV162" s="109">
        <v>0</v>
      </c>
      <c r="BW162" s="109">
        <v>0</v>
      </c>
      <c r="BX162" s="109">
        <v>250</v>
      </c>
      <c r="BY162" s="109">
        <v>0</v>
      </c>
      <c r="BZ162" s="109">
        <v>0</v>
      </c>
      <c r="CA162" s="109">
        <v>7.58</v>
      </c>
      <c r="CB162" s="109" t="s">
        <v>225</v>
      </c>
      <c r="CC162" s="109" t="s">
        <v>277</v>
      </c>
      <c r="CD162" s="109">
        <v>391.16</v>
      </c>
      <c r="CE162" s="109">
        <v>0</v>
      </c>
      <c r="CF162" s="109">
        <v>0</v>
      </c>
      <c r="CG162" s="109">
        <v>0</v>
      </c>
      <c r="CH162" s="109">
        <v>0</v>
      </c>
      <c r="CI162" s="109">
        <v>0</v>
      </c>
      <c r="CJ162" s="109">
        <v>0</v>
      </c>
      <c r="CK162" s="109">
        <v>0</v>
      </c>
      <c r="CL162" s="109"/>
      <c r="CM162" s="109"/>
      <c r="CN162" s="109">
        <v>0</v>
      </c>
      <c r="CO162" s="109">
        <v>0</v>
      </c>
      <c r="CP162" s="109">
        <v>0</v>
      </c>
      <c r="CQ162" s="109">
        <v>0</v>
      </c>
      <c r="CR162" s="109">
        <v>0</v>
      </c>
      <c r="CS162" s="109">
        <v>0</v>
      </c>
      <c r="CT162" s="109">
        <v>0</v>
      </c>
      <c r="CU162" s="109">
        <v>12</v>
      </c>
      <c r="CV162" s="109" t="s">
        <v>235</v>
      </c>
      <c r="CW162" s="109">
        <v>0</v>
      </c>
      <c r="CX162" s="109"/>
      <c r="CY162" s="109">
        <v>327.82</v>
      </c>
      <c r="CZ162" s="109" t="s">
        <v>1096</v>
      </c>
      <c r="DA162" s="109">
        <v>212.71</v>
      </c>
      <c r="DB162" s="207" t="s">
        <v>1097</v>
      </c>
      <c r="DE162" s="109">
        <v>0</v>
      </c>
      <c r="DF162" s="109" t="s">
        <v>236</v>
      </c>
      <c r="DG162" s="109" t="s">
        <v>221</v>
      </c>
      <c r="DH162" s="109" t="s">
        <v>220</v>
      </c>
      <c r="DI162" s="109">
        <v>9026067267</v>
      </c>
      <c r="DJ162" s="109" t="s">
        <v>222</v>
      </c>
      <c r="DK162" s="109">
        <v>0</v>
      </c>
      <c r="DL162" s="109" t="s">
        <v>226</v>
      </c>
      <c r="DM162" s="109">
        <v>31.02</v>
      </c>
    </row>
    <row r="163" ht="13.8" spans="1:117">
      <c r="A163" s="109">
        <v>2</v>
      </c>
      <c r="B163" s="109" t="s">
        <v>1207</v>
      </c>
      <c r="C163" s="109" t="s">
        <v>203</v>
      </c>
      <c r="D163" s="109" t="s">
        <v>225</v>
      </c>
      <c r="E163" s="109" t="s">
        <v>226</v>
      </c>
      <c r="F163" s="110">
        <v>46259</v>
      </c>
      <c r="G163" s="109" t="s">
        <v>1204</v>
      </c>
      <c r="H163" s="109" t="s">
        <v>1208</v>
      </c>
      <c r="I163" s="109" t="s">
        <v>216</v>
      </c>
      <c r="J163" s="109" t="s">
        <v>217</v>
      </c>
      <c r="K163" s="109" t="s">
        <v>218</v>
      </c>
      <c r="L163" s="109" t="s">
        <v>219</v>
      </c>
      <c r="M163" s="207" t="s">
        <v>242</v>
      </c>
      <c r="N163" s="109" t="s">
        <v>220</v>
      </c>
      <c r="O163" s="109" t="s">
        <v>221</v>
      </c>
      <c r="P163" s="109" t="s">
        <v>243</v>
      </c>
      <c r="Q163" s="109" t="s">
        <v>216</v>
      </c>
      <c r="R163" s="109" t="s">
        <v>217</v>
      </c>
      <c r="S163" s="109" t="s">
        <v>220</v>
      </c>
      <c r="T163" s="109" t="s">
        <v>221</v>
      </c>
      <c r="U163" s="109" t="s">
        <v>216</v>
      </c>
      <c r="V163" s="109" t="s">
        <v>217</v>
      </c>
      <c r="W163" s="109" t="s">
        <v>218</v>
      </c>
      <c r="X163" s="109" t="s">
        <v>219</v>
      </c>
      <c r="Y163" s="109" t="s">
        <v>220</v>
      </c>
      <c r="Z163" s="109" t="s">
        <v>221</v>
      </c>
      <c r="AA163" s="109" t="s">
        <v>222</v>
      </c>
      <c r="AB163" s="109" t="s">
        <v>223</v>
      </c>
      <c r="AC163" s="109" t="s">
        <v>1209</v>
      </c>
      <c r="AD163" s="109" t="s">
        <v>1210</v>
      </c>
      <c r="AE163" s="109">
        <v>190</v>
      </c>
      <c r="AF163" s="109" t="s">
        <v>553</v>
      </c>
      <c r="AG163" s="109" t="s">
        <v>1211</v>
      </c>
      <c r="AH163" s="109" t="s">
        <v>297</v>
      </c>
      <c r="AI163" s="109" t="s">
        <v>1209</v>
      </c>
      <c r="AJ163" s="109" t="s">
        <v>1210</v>
      </c>
      <c r="AK163" s="109" t="s">
        <v>1211</v>
      </c>
      <c r="AL163" s="109" t="s">
        <v>297</v>
      </c>
      <c r="AM163" s="109" t="s">
        <v>555</v>
      </c>
      <c r="AN163" s="207" t="s">
        <v>1212</v>
      </c>
      <c r="AO163" s="109">
        <v>58.871</v>
      </c>
      <c r="AP163" s="109">
        <v>0</v>
      </c>
      <c r="AQ163" s="109">
        <v>11</v>
      </c>
      <c r="AR163" s="109">
        <v>0</v>
      </c>
      <c r="AS163" s="109" t="s">
        <v>252</v>
      </c>
      <c r="AT163" s="109" t="s">
        <v>229</v>
      </c>
      <c r="AU163" s="110">
        <v>46274</v>
      </c>
      <c r="AV163" s="109">
        <v>466.37</v>
      </c>
      <c r="AW163" s="109" t="s">
        <v>230</v>
      </c>
      <c r="AX163" s="109" t="s">
        <v>230</v>
      </c>
      <c r="AY163" s="109">
        <v>5040.75</v>
      </c>
      <c r="AZ163" s="109" t="s">
        <v>232</v>
      </c>
      <c r="BA163" s="109" t="s">
        <v>557</v>
      </c>
      <c r="BB163" s="109">
        <v>469.08</v>
      </c>
      <c r="BC163" s="109">
        <v>412.79</v>
      </c>
      <c r="BD163" s="109">
        <v>469.08</v>
      </c>
      <c r="BE163" s="109">
        <v>56.29</v>
      </c>
      <c r="BF163" s="111">
        <v>0.12</v>
      </c>
      <c r="BG163" s="109">
        <v>0</v>
      </c>
      <c r="BH163" s="109">
        <v>58.871</v>
      </c>
      <c r="BI163" s="109">
        <v>102.1</v>
      </c>
      <c r="BJ163" s="109">
        <v>0</v>
      </c>
      <c r="BK163" s="109">
        <v>17</v>
      </c>
      <c r="BL163" s="109">
        <v>0</v>
      </c>
      <c r="BM163" s="109">
        <v>9.76</v>
      </c>
      <c r="BN163" s="109">
        <v>7.56</v>
      </c>
      <c r="BO163" s="109">
        <v>5.5</v>
      </c>
      <c r="BP163" s="109">
        <v>3.23</v>
      </c>
      <c r="BQ163" s="109">
        <v>0</v>
      </c>
      <c r="BR163" s="109">
        <v>0</v>
      </c>
      <c r="BS163" s="109">
        <v>0</v>
      </c>
      <c r="BT163" s="109">
        <v>0</v>
      </c>
      <c r="BU163" s="109">
        <v>0</v>
      </c>
      <c r="BV163" s="109">
        <v>0</v>
      </c>
      <c r="BW163" s="109">
        <v>0</v>
      </c>
      <c r="BX163" s="109">
        <v>250</v>
      </c>
      <c r="BY163" s="109">
        <v>0</v>
      </c>
      <c r="BZ163" s="109">
        <v>0</v>
      </c>
      <c r="CA163" s="109">
        <v>17.64</v>
      </c>
      <c r="CB163" s="109" t="s">
        <v>225</v>
      </c>
      <c r="CC163" s="109" t="s">
        <v>558</v>
      </c>
      <c r="CD163" s="109">
        <v>432.85</v>
      </c>
      <c r="CE163" s="109">
        <v>0</v>
      </c>
      <c r="CF163" s="109">
        <v>0</v>
      </c>
      <c r="CG163" s="109">
        <v>0</v>
      </c>
      <c r="CH163" s="109">
        <v>0</v>
      </c>
      <c r="CI163" s="109">
        <v>0</v>
      </c>
      <c r="CJ163" s="109">
        <v>0</v>
      </c>
      <c r="CK163" s="109">
        <v>0</v>
      </c>
      <c r="CL163" s="109"/>
      <c r="CM163" s="109"/>
      <c r="CN163" s="109">
        <v>0</v>
      </c>
      <c r="CO163" s="109">
        <v>0</v>
      </c>
      <c r="CP163" s="109">
        <v>0</v>
      </c>
      <c r="CQ163" s="109">
        <v>0</v>
      </c>
      <c r="CR163" s="109">
        <v>0</v>
      </c>
      <c r="CS163" s="109">
        <v>0</v>
      </c>
      <c r="CT163" s="109">
        <v>0</v>
      </c>
      <c r="CU163" s="109">
        <v>12</v>
      </c>
      <c r="CV163" s="109" t="s">
        <v>235</v>
      </c>
      <c r="CW163" s="109">
        <v>0</v>
      </c>
      <c r="CX163" s="109"/>
      <c r="CY163" s="109">
        <v>344.7</v>
      </c>
      <c r="CZ163" s="109" t="s">
        <v>289</v>
      </c>
      <c r="DA163" s="109">
        <v>92.05</v>
      </c>
      <c r="DB163" s="109"/>
      <c r="DE163" s="109">
        <v>0</v>
      </c>
      <c r="DF163" s="109" t="s">
        <v>236</v>
      </c>
      <c r="DG163" s="109" t="s">
        <v>221</v>
      </c>
      <c r="DH163" s="109" t="s">
        <v>220</v>
      </c>
      <c r="DI163" s="109">
        <v>9026067267</v>
      </c>
      <c r="DJ163" s="109" t="s">
        <v>222</v>
      </c>
      <c r="DK163" s="109">
        <v>0</v>
      </c>
      <c r="DL163" s="109" t="s">
        <v>226</v>
      </c>
      <c r="DM163" s="109">
        <v>56.29</v>
      </c>
    </row>
    <row r="164" ht="13.8" hidden="1" spans="1:117">
      <c r="A164" s="109">
        <v>2</v>
      </c>
      <c r="B164" s="109" t="s">
        <v>1213</v>
      </c>
      <c r="C164" s="109" t="s">
        <v>203</v>
      </c>
      <c r="D164" s="109" t="s">
        <v>225</v>
      </c>
      <c r="E164" s="109" t="s">
        <v>226</v>
      </c>
      <c r="F164" s="110">
        <v>46259</v>
      </c>
      <c r="G164" s="109" t="s">
        <v>1204</v>
      </c>
      <c r="H164" s="109" t="s">
        <v>1214</v>
      </c>
      <c r="I164" s="109" t="s">
        <v>216</v>
      </c>
      <c r="J164" s="109" t="s">
        <v>217</v>
      </c>
      <c r="K164" s="109" t="s">
        <v>218</v>
      </c>
      <c r="L164" s="109" t="s">
        <v>219</v>
      </c>
      <c r="M164" s="207" t="s">
        <v>242</v>
      </c>
      <c r="N164" s="109" t="s">
        <v>220</v>
      </c>
      <c r="O164" s="109" t="s">
        <v>221</v>
      </c>
      <c r="P164" s="109" t="s">
        <v>243</v>
      </c>
      <c r="Q164" s="109" t="s">
        <v>216</v>
      </c>
      <c r="R164" s="109" t="s">
        <v>217</v>
      </c>
      <c r="S164" s="109" t="s">
        <v>220</v>
      </c>
      <c r="T164" s="109" t="s">
        <v>221</v>
      </c>
      <c r="U164" s="109" t="s">
        <v>216</v>
      </c>
      <c r="V164" s="109" t="s">
        <v>217</v>
      </c>
      <c r="W164" s="109" t="s">
        <v>218</v>
      </c>
      <c r="X164" s="109" t="s">
        <v>219</v>
      </c>
      <c r="Y164" s="109" t="s">
        <v>220</v>
      </c>
      <c r="Z164" s="109" t="s">
        <v>221</v>
      </c>
      <c r="AA164" s="109" t="s">
        <v>222</v>
      </c>
      <c r="AB164" s="109" t="s">
        <v>223</v>
      </c>
      <c r="AC164" s="109" t="s">
        <v>1215</v>
      </c>
      <c r="AD164" s="109" t="s">
        <v>1216</v>
      </c>
      <c r="AE164" s="109" t="s">
        <v>246</v>
      </c>
      <c r="AF164" s="109" t="s">
        <v>247</v>
      </c>
      <c r="AG164" s="109" t="s">
        <v>248</v>
      </c>
      <c r="AH164" s="109" t="s">
        <v>249</v>
      </c>
      <c r="AI164" s="109" t="s">
        <v>1215</v>
      </c>
      <c r="AJ164" s="109" t="s">
        <v>1216</v>
      </c>
      <c r="AK164" s="109" t="s">
        <v>248</v>
      </c>
      <c r="AL164" s="109" t="s">
        <v>249</v>
      </c>
      <c r="AM164" s="109" t="s">
        <v>250</v>
      </c>
      <c r="AN164" s="207" t="s">
        <v>1217</v>
      </c>
      <c r="AO164" s="109">
        <v>75</v>
      </c>
      <c r="AP164" s="109">
        <v>0</v>
      </c>
      <c r="AQ164" s="109">
        <v>5</v>
      </c>
      <c r="AR164" s="109">
        <v>0</v>
      </c>
      <c r="AS164" s="109" t="s">
        <v>252</v>
      </c>
      <c r="AT164" s="109" t="s">
        <v>229</v>
      </c>
      <c r="AU164" s="110">
        <v>46274</v>
      </c>
      <c r="AV164" s="109">
        <v>167.52</v>
      </c>
      <c r="AW164" s="109" t="s">
        <v>230</v>
      </c>
      <c r="AX164" s="109" t="s">
        <v>231</v>
      </c>
      <c r="AY164" s="109">
        <v>2516.05</v>
      </c>
      <c r="AZ164" s="109" t="s">
        <v>232</v>
      </c>
      <c r="BA164" s="109" t="s">
        <v>253</v>
      </c>
      <c r="BB164" s="109">
        <v>168.49</v>
      </c>
      <c r="BC164" s="109">
        <v>148.27</v>
      </c>
      <c r="BD164" s="109">
        <v>168.49</v>
      </c>
      <c r="BE164" s="109">
        <v>20.22</v>
      </c>
      <c r="BF164" s="111">
        <v>0.12</v>
      </c>
      <c r="BG164" s="109">
        <v>0</v>
      </c>
      <c r="BH164" s="109">
        <v>75</v>
      </c>
      <c r="BI164" s="109">
        <v>100.2</v>
      </c>
      <c r="BJ164" s="109">
        <v>0</v>
      </c>
      <c r="BK164" s="109">
        <v>17</v>
      </c>
      <c r="BL164" s="109">
        <v>0</v>
      </c>
      <c r="BM164" s="109">
        <v>9.76</v>
      </c>
      <c r="BN164" s="109">
        <v>3.77</v>
      </c>
      <c r="BO164" s="109">
        <v>5.5</v>
      </c>
      <c r="BP164" s="109">
        <v>3.23</v>
      </c>
      <c r="BQ164" s="109">
        <v>0</v>
      </c>
      <c r="BR164" s="109">
        <v>0</v>
      </c>
      <c r="BS164" s="109">
        <v>0</v>
      </c>
      <c r="BT164" s="109">
        <v>0</v>
      </c>
      <c r="BU164" s="109">
        <v>0</v>
      </c>
      <c r="BV164" s="109">
        <v>0</v>
      </c>
      <c r="BW164" s="109">
        <v>0</v>
      </c>
      <c r="BX164" s="109">
        <v>0</v>
      </c>
      <c r="BY164" s="109">
        <v>0</v>
      </c>
      <c r="BZ164" s="109">
        <v>0</v>
      </c>
      <c r="CA164" s="109">
        <v>8.81</v>
      </c>
      <c r="CB164" s="109" t="s">
        <v>225</v>
      </c>
      <c r="CC164" s="109" t="s">
        <v>247</v>
      </c>
      <c r="CD164" s="109">
        <v>396.26</v>
      </c>
      <c r="CE164" s="109">
        <v>0</v>
      </c>
      <c r="CF164" s="109">
        <v>0</v>
      </c>
      <c r="CG164" s="109">
        <v>0</v>
      </c>
      <c r="CH164" s="109">
        <v>0</v>
      </c>
      <c r="CI164" s="109">
        <v>0</v>
      </c>
      <c r="CJ164" s="109">
        <v>0</v>
      </c>
      <c r="CK164" s="109">
        <v>0</v>
      </c>
      <c r="CL164" s="109"/>
      <c r="CM164" s="109"/>
      <c r="CN164" s="109">
        <v>0</v>
      </c>
      <c r="CO164" s="109">
        <v>0</v>
      </c>
      <c r="CP164" s="109">
        <v>0</v>
      </c>
      <c r="CQ164" s="109">
        <v>0</v>
      </c>
      <c r="CR164" s="109">
        <v>0</v>
      </c>
      <c r="CS164" s="109">
        <v>0</v>
      </c>
      <c r="CT164" s="109">
        <v>0</v>
      </c>
      <c r="CU164" s="109">
        <v>12</v>
      </c>
      <c r="CV164" s="109" t="s">
        <v>235</v>
      </c>
      <c r="CW164" s="109">
        <v>0</v>
      </c>
      <c r="CX164" s="109"/>
      <c r="CY164" s="109">
        <v>18</v>
      </c>
      <c r="CZ164" s="109" t="s">
        <v>235</v>
      </c>
      <c r="DA164" s="109">
        <v>0</v>
      </c>
      <c r="DB164" s="109"/>
      <c r="DE164" s="109">
        <v>0</v>
      </c>
      <c r="DF164" s="109" t="s">
        <v>236</v>
      </c>
      <c r="DG164" s="109" t="s">
        <v>221</v>
      </c>
      <c r="DH164" s="109" t="s">
        <v>220</v>
      </c>
      <c r="DI164" s="109">
        <v>9026067267</v>
      </c>
      <c r="DJ164" s="109" t="s">
        <v>222</v>
      </c>
      <c r="DK164" s="109">
        <v>0</v>
      </c>
      <c r="DL164" s="109" t="s">
        <v>226</v>
      </c>
      <c r="DM164" s="109">
        <v>20.22</v>
      </c>
    </row>
    <row r="165" ht="13.8" hidden="1" spans="1:117">
      <c r="A165" s="109">
        <v>2</v>
      </c>
      <c r="B165" s="109" t="s">
        <v>1218</v>
      </c>
      <c r="C165" s="109" t="s">
        <v>203</v>
      </c>
      <c r="D165" s="109" t="s">
        <v>225</v>
      </c>
      <c r="E165" s="109" t="s">
        <v>226</v>
      </c>
      <c r="F165" s="110">
        <v>46259</v>
      </c>
      <c r="G165" s="109" t="s">
        <v>1204</v>
      </c>
      <c r="H165" s="109" t="s">
        <v>1219</v>
      </c>
      <c r="I165" s="109" t="s">
        <v>216</v>
      </c>
      <c r="J165" s="109" t="s">
        <v>217</v>
      </c>
      <c r="K165" s="109" t="s">
        <v>218</v>
      </c>
      <c r="L165" s="109" t="s">
        <v>219</v>
      </c>
      <c r="M165" s="207" t="s">
        <v>242</v>
      </c>
      <c r="N165" s="109" t="s">
        <v>220</v>
      </c>
      <c r="O165" s="109" t="s">
        <v>221</v>
      </c>
      <c r="P165" s="109" t="s">
        <v>243</v>
      </c>
      <c r="Q165" s="109" t="s">
        <v>216</v>
      </c>
      <c r="R165" s="109" t="s">
        <v>217</v>
      </c>
      <c r="S165" s="109" t="s">
        <v>220</v>
      </c>
      <c r="T165" s="109" t="s">
        <v>221</v>
      </c>
      <c r="U165" s="109" t="s">
        <v>216</v>
      </c>
      <c r="V165" s="109" t="s">
        <v>217</v>
      </c>
      <c r="W165" s="109" t="s">
        <v>218</v>
      </c>
      <c r="X165" s="109" t="s">
        <v>219</v>
      </c>
      <c r="Y165" s="109" t="s">
        <v>220</v>
      </c>
      <c r="Z165" s="109" t="s">
        <v>221</v>
      </c>
      <c r="AA165" s="109" t="s">
        <v>222</v>
      </c>
      <c r="AB165" s="109" t="s">
        <v>223</v>
      </c>
      <c r="AC165" s="109" t="s">
        <v>391</v>
      </c>
      <c r="AD165" s="109" t="s">
        <v>258</v>
      </c>
      <c r="AE165" s="109" t="s">
        <v>246</v>
      </c>
      <c r="AF165" s="109" t="s">
        <v>247</v>
      </c>
      <c r="AG165" s="109" t="s">
        <v>248</v>
      </c>
      <c r="AH165" s="109" t="s">
        <v>249</v>
      </c>
      <c r="AI165" s="109" t="s">
        <v>391</v>
      </c>
      <c r="AJ165" s="109" t="s">
        <v>258</v>
      </c>
      <c r="AK165" s="109" t="s">
        <v>248</v>
      </c>
      <c r="AL165" s="109" t="s">
        <v>249</v>
      </c>
      <c r="AM165" s="109" t="s">
        <v>250</v>
      </c>
      <c r="AN165" s="207" t="s">
        <v>1220</v>
      </c>
      <c r="AO165" s="109">
        <v>68.6</v>
      </c>
      <c r="AP165" s="109">
        <v>0</v>
      </c>
      <c r="AQ165" s="109">
        <v>6</v>
      </c>
      <c r="AR165" s="109">
        <v>0</v>
      </c>
      <c r="AS165" s="109" t="s">
        <v>252</v>
      </c>
      <c r="AT165" s="109" t="s">
        <v>229</v>
      </c>
      <c r="AU165" s="110">
        <v>46274</v>
      </c>
      <c r="AV165" s="109">
        <v>429.43</v>
      </c>
      <c r="AW165" s="109" t="s">
        <v>230</v>
      </c>
      <c r="AX165" s="109" t="s">
        <v>231</v>
      </c>
      <c r="AY165" s="109">
        <v>2401.45</v>
      </c>
      <c r="AZ165" s="109" t="s">
        <v>232</v>
      </c>
      <c r="BA165" s="109" t="s">
        <v>253</v>
      </c>
      <c r="BB165" s="109">
        <v>431.93</v>
      </c>
      <c r="BC165" s="109">
        <v>380.1</v>
      </c>
      <c r="BD165" s="109">
        <v>431.93</v>
      </c>
      <c r="BE165" s="109">
        <v>51.83</v>
      </c>
      <c r="BF165" s="111">
        <v>0.12</v>
      </c>
      <c r="BG165" s="109">
        <v>0</v>
      </c>
      <c r="BH165" s="109">
        <v>68.6</v>
      </c>
      <c r="BI165" s="109">
        <v>82.6</v>
      </c>
      <c r="BJ165" s="109">
        <v>0</v>
      </c>
      <c r="BK165" s="109">
        <v>17</v>
      </c>
      <c r="BL165" s="109">
        <v>0</v>
      </c>
      <c r="BM165" s="109">
        <v>9.76</v>
      </c>
      <c r="BN165" s="109">
        <v>3.6</v>
      </c>
      <c r="BO165" s="109">
        <v>5.5</v>
      </c>
      <c r="BP165" s="109">
        <v>3.23</v>
      </c>
      <c r="BQ165" s="109">
        <v>0</v>
      </c>
      <c r="BR165" s="109">
        <v>0</v>
      </c>
      <c r="BS165" s="109">
        <v>0</v>
      </c>
      <c r="BT165" s="109">
        <v>0</v>
      </c>
      <c r="BU165" s="109">
        <v>0</v>
      </c>
      <c r="BV165" s="109">
        <v>0</v>
      </c>
      <c r="BW165" s="109">
        <v>0</v>
      </c>
      <c r="BX165" s="109">
        <v>250</v>
      </c>
      <c r="BY165" s="109">
        <v>0</v>
      </c>
      <c r="BZ165" s="109">
        <v>0</v>
      </c>
      <c r="CA165" s="109">
        <v>8.41</v>
      </c>
      <c r="CB165" s="109" t="s">
        <v>225</v>
      </c>
      <c r="CC165" s="109" t="s">
        <v>247</v>
      </c>
      <c r="CD165" s="109">
        <v>394.56</v>
      </c>
      <c r="CE165" s="109">
        <v>0</v>
      </c>
      <c r="CF165" s="109">
        <v>0</v>
      </c>
      <c r="CG165" s="109">
        <v>0</v>
      </c>
      <c r="CH165" s="109">
        <v>0</v>
      </c>
      <c r="CI165" s="109">
        <v>0</v>
      </c>
      <c r="CJ165" s="109">
        <v>0</v>
      </c>
      <c r="CK165" s="109">
        <v>0</v>
      </c>
      <c r="CL165" s="109"/>
      <c r="CM165" s="109"/>
      <c r="CN165" s="109">
        <v>0</v>
      </c>
      <c r="CO165" s="109">
        <v>0</v>
      </c>
      <c r="CP165" s="109">
        <v>0</v>
      </c>
      <c r="CQ165" s="109">
        <v>0</v>
      </c>
      <c r="CR165" s="109">
        <v>0</v>
      </c>
      <c r="CS165" s="109">
        <v>0</v>
      </c>
      <c r="CT165" s="109">
        <v>0</v>
      </c>
      <c r="CU165" s="109">
        <v>12</v>
      </c>
      <c r="CV165" s="109" t="s">
        <v>235</v>
      </c>
      <c r="CW165" s="109">
        <v>0</v>
      </c>
      <c r="CX165" s="109"/>
      <c r="CY165" s="109">
        <v>18</v>
      </c>
      <c r="CZ165" s="109" t="s">
        <v>941</v>
      </c>
      <c r="DA165" s="109">
        <v>0</v>
      </c>
      <c r="DB165" s="109"/>
      <c r="DE165" s="109">
        <v>0</v>
      </c>
      <c r="DF165" s="109" t="s">
        <v>236</v>
      </c>
      <c r="DG165" s="109" t="s">
        <v>221</v>
      </c>
      <c r="DH165" s="109" t="s">
        <v>220</v>
      </c>
      <c r="DI165" s="109">
        <v>9026067267</v>
      </c>
      <c r="DJ165" s="109" t="s">
        <v>222</v>
      </c>
      <c r="DK165" s="109">
        <v>0</v>
      </c>
      <c r="DL165" s="109" t="s">
        <v>226</v>
      </c>
      <c r="DM165" s="109">
        <v>51.83</v>
      </c>
    </row>
    <row r="166" ht="13.8" hidden="1" spans="1:117">
      <c r="A166" s="109">
        <v>2</v>
      </c>
      <c r="B166" s="109" t="s">
        <v>1221</v>
      </c>
      <c r="C166" s="109" t="s">
        <v>203</v>
      </c>
      <c r="D166" s="109" t="s">
        <v>225</v>
      </c>
      <c r="E166" s="109" t="s">
        <v>226</v>
      </c>
      <c r="F166" s="110">
        <v>46259</v>
      </c>
      <c r="G166" s="109" t="s">
        <v>1204</v>
      </c>
      <c r="H166" s="109" t="s">
        <v>1222</v>
      </c>
      <c r="I166" s="109" t="s">
        <v>216</v>
      </c>
      <c r="J166" s="109" t="s">
        <v>217</v>
      </c>
      <c r="K166" s="109" t="s">
        <v>218</v>
      </c>
      <c r="L166" s="109" t="s">
        <v>219</v>
      </c>
      <c r="M166" s="207" t="s">
        <v>242</v>
      </c>
      <c r="N166" s="109" t="s">
        <v>220</v>
      </c>
      <c r="O166" s="109" t="s">
        <v>221</v>
      </c>
      <c r="P166" s="109" t="s">
        <v>243</v>
      </c>
      <c r="Q166" s="109" t="s">
        <v>216</v>
      </c>
      <c r="R166" s="109" t="s">
        <v>217</v>
      </c>
      <c r="S166" s="109" t="s">
        <v>220</v>
      </c>
      <c r="T166" s="109" t="s">
        <v>221</v>
      </c>
      <c r="U166" s="109" t="s">
        <v>216</v>
      </c>
      <c r="V166" s="109" t="s">
        <v>217</v>
      </c>
      <c r="W166" s="109" t="s">
        <v>218</v>
      </c>
      <c r="X166" s="109" t="s">
        <v>219</v>
      </c>
      <c r="Y166" s="109" t="s">
        <v>220</v>
      </c>
      <c r="Z166" s="109" t="s">
        <v>221</v>
      </c>
      <c r="AA166" s="109" t="s">
        <v>222</v>
      </c>
      <c r="AB166" s="109" t="s">
        <v>223</v>
      </c>
      <c r="AC166" s="109" t="s">
        <v>1223</v>
      </c>
      <c r="AD166" s="109" t="s">
        <v>1224</v>
      </c>
      <c r="AE166" s="109" t="s">
        <v>1225</v>
      </c>
      <c r="AF166" s="109" t="s">
        <v>1226</v>
      </c>
      <c r="AG166" s="109" t="s">
        <v>1227</v>
      </c>
      <c r="AH166" s="109" t="s">
        <v>297</v>
      </c>
      <c r="AI166" s="109" t="s">
        <v>1223</v>
      </c>
      <c r="AJ166" s="109" t="s">
        <v>1224</v>
      </c>
      <c r="AK166" s="109" t="s">
        <v>1227</v>
      </c>
      <c r="AL166" s="109" t="s">
        <v>297</v>
      </c>
      <c r="AM166" s="109" t="s">
        <v>779</v>
      </c>
      <c r="AN166" s="207" t="s">
        <v>1228</v>
      </c>
      <c r="AO166" s="109">
        <v>1.98</v>
      </c>
      <c r="AP166" s="109">
        <v>0</v>
      </c>
      <c r="AQ166" s="109">
        <v>1</v>
      </c>
      <c r="AR166" s="109">
        <v>0</v>
      </c>
      <c r="AS166" s="109" t="s">
        <v>252</v>
      </c>
      <c r="AT166" s="109" t="s">
        <v>229</v>
      </c>
      <c r="AU166" s="110">
        <v>46274</v>
      </c>
      <c r="AV166" s="109">
        <v>79.07</v>
      </c>
      <c r="AW166" s="109" t="s">
        <v>230</v>
      </c>
      <c r="AX166" s="109" t="s">
        <v>230</v>
      </c>
      <c r="AY166" s="109">
        <v>386.61</v>
      </c>
      <c r="AZ166" s="109" t="s">
        <v>232</v>
      </c>
      <c r="BA166" s="109" t="s">
        <v>557</v>
      </c>
      <c r="BB166" s="109">
        <v>79.53</v>
      </c>
      <c r="BC166" s="109">
        <v>69.99</v>
      </c>
      <c r="BD166" s="109">
        <v>79.53</v>
      </c>
      <c r="BE166" s="109">
        <v>9.54</v>
      </c>
      <c r="BF166" s="111">
        <v>0.12</v>
      </c>
      <c r="BG166" s="109">
        <v>0</v>
      </c>
      <c r="BH166" s="109">
        <v>1.98</v>
      </c>
      <c r="BI166" s="109">
        <v>30.9</v>
      </c>
      <c r="BJ166" s="109">
        <v>0</v>
      </c>
      <c r="BK166" s="109">
        <v>17</v>
      </c>
      <c r="BL166" s="109">
        <v>0</v>
      </c>
      <c r="BM166" s="109">
        <v>9.76</v>
      </c>
      <c r="BN166" s="109">
        <v>2.25</v>
      </c>
      <c r="BO166" s="109">
        <v>5.5</v>
      </c>
      <c r="BP166" s="109">
        <v>3.23</v>
      </c>
      <c r="BQ166" s="109">
        <v>0</v>
      </c>
      <c r="BR166" s="109">
        <v>0</v>
      </c>
      <c r="BS166" s="109">
        <v>0</v>
      </c>
      <c r="BT166" s="109">
        <v>0</v>
      </c>
      <c r="BU166" s="109">
        <v>0</v>
      </c>
      <c r="BV166" s="109">
        <v>0</v>
      </c>
      <c r="BW166" s="109">
        <v>0</v>
      </c>
      <c r="BX166" s="109">
        <v>0</v>
      </c>
      <c r="BY166" s="109">
        <v>0</v>
      </c>
      <c r="BZ166" s="109">
        <v>0</v>
      </c>
      <c r="CA166" s="109">
        <v>1.35</v>
      </c>
      <c r="CB166" s="109" t="s">
        <v>225</v>
      </c>
      <c r="CC166" s="109" t="s">
        <v>558</v>
      </c>
      <c r="CD166" s="109">
        <v>371.64</v>
      </c>
      <c r="CE166" s="109">
        <v>0</v>
      </c>
      <c r="CF166" s="109">
        <v>0</v>
      </c>
      <c r="CG166" s="109">
        <v>0</v>
      </c>
      <c r="CH166" s="109">
        <v>0</v>
      </c>
      <c r="CI166" s="109">
        <v>0</v>
      </c>
      <c r="CJ166" s="109">
        <v>0</v>
      </c>
      <c r="CK166" s="109">
        <v>0</v>
      </c>
      <c r="CL166" s="109"/>
      <c r="CM166" s="109"/>
      <c r="CN166" s="109">
        <v>0</v>
      </c>
      <c r="CO166" s="109">
        <v>0</v>
      </c>
      <c r="CP166" s="109">
        <v>0</v>
      </c>
      <c r="CQ166" s="109">
        <v>0</v>
      </c>
      <c r="CR166" s="109">
        <v>0</v>
      </c>
      <c r="CS166" s="109">
        <v>0</v>
      </c>
      <c r="CT166" s="109">
        <v>0</v>
      </c>
      <c r="CU166" s="109">
        <v>12</v>
      </c>
      <c r="CV166" s="109" t="s">
        <v>235</v>
      </c>
      <c r="CW166" s="109">
        <v>0</v>
      </c>
      <c r="CX166" s="109"/>
      <c r="CY166" s="109">
        <v>42.02</v>
      </c>
      <c r="CZ166" s="109" t="s">
        <v>1020</v>
      </c>
      <c r="DA166" s="109">
        <v>42.02</v>
      </c>
      <c r="DB166" s="207" t="s">
        <v>1021</v>
      </c>
      <c r="DE166" s="109">
        <v>0</v>
      </c>
      <c r="DF166" s="109" t="s">
        <v>236</v>
      </c>
      <c r="DG166" s="109" t="s">
        <v>221</v>
      </c>
      <c r="DH166" s="109" t="s">
        <v>220</v>
      </c>
      <c r="DI166" s="109">
        <v>9026067267</v>
      </c>
      <c r="DJ166" s="109" t="s">
        <v>222</v>
      </c>
      <c r="DK166" s="109">
        <v>0</v>
      </c>
      <c r="DL166" s="109" t="s">
        <v>226</v>
      </c>
      <c r="DM166" s="109">
        <v>9.54</v>
      </c>
    </row>
    <row r="167" ht="13.8" hidden="1" spans="1:117">
      <c r="A167" s="109">
        <v>2</v>
      </c>
      <c r="B167" s="109" t="s">
        <v>1229</v>
      </c>
      <c r="C167" s="109" t="s">
        <v>203</v>
      </c>
      <c r="D167" s="109" t="s">
        <v>225</v>
      </c>
      <c r="E167" s="109" t="s">
        <v>226</v>
      </c>
      <c r="F167" s="110">
        <v>46259</v>
      </c>
      <c r="G167" s="109" t="s">
        <v>1204</v>
      </c>
      <c r="H167" s="109" t="s">
        <v>1230</v>
      </c>
      <c r="I167" s="109" t="s">
        <v>216</v>
      </c>
      <c r="J167" s="109" t="s">
        <v>217</v>
      </c>
      <c r="K167" s="109" t="s">
        <v>218</v>
      </c>
      <c r="L167" s="109" t="s">
        <v>219</v>
      </c>
      <c r="M167" s="207" t="s">
        <v>242</v>
      </c>
      <c r="N167" s="109" t="s">
        <v>220</v>
      </c>
      <c r="O167" s="109" t="s">
        <v>221</v>
      </c>
      <c r="P167" s="109" t="s">
        <v>243</v>
      </c>
      <c r="Q167" s="109" t="s">
        <v>216</v>
      </c>
      <c r="R167" s="109" t="s">
        <v>217</v>
      </c>
      <c r="S167" s="109" t="s">
        <v>220</v>
      </c>
      <c r="T167" s="109" t="s">
        <v>221</v>
      </c>
      <c r="U167" s="109" t="s">
        <v>216</v>
      </c>
      <c r="V167" s="109" t="s">
        <v>217</v>
      </c>
      <c r="W167" s="109" t="s">
        <v>218</v>
      </c>
      <c r="X167" s="109" t="s">
        <v>219</v>
      </c>
      <c r="Y167" s="109" t="s">
        <v>220</v>
      </c>
      <c r="Z167" s="109" t="s">
        <v>221</v>
      </c>
      <c r="AA167" s="109" t="s">
        <v>222</v>
      </c>
      <c r="AB167" s="109" t="s">
        <v>223</v>
      </c>
      <c r="AC167" s="109" t="s">
        <v>1231</v>
      </c>
      <c r="AD167" s="109" t="s">
        <v>1232</v>
      </c>
      <c r="AE167" s="109">
        <v>239</v>
      </c>
      <c r="AF167" s="109" t="s">
        <v>1233</v>
      </c>
      <c r="AG167" s="109" t="s">
        <v>1234</v>
      </c>
      <c r="AH167" s="109" t="s">
        <v>249</v>
      </c>
      <c r="AI167" s="109" t="s">
        <v>1231</v>
      </c>
      <c r="AJ167" s="109" t="s">
        <v>1232</v>
      </c>
      <c r="AK167" s="109" t="s">
        <v>1234</v>
      </c>
      <c r="AL167" s="109" t="s">
        <v>249</v>
      </c>
      <c r="AM167" s="109" t="s">
        <v>354</v>
      </c>
      <c r="AN167" s="207" t="s">
        <v>1235</v>
      </c>
      <c r="AO167" s="109">
        <v>120.601</v>
      </c>
      <c r="AP167" s="109">
        <v>0</v>
      </c>
      <c r="AQ167" s="109">
        <v>13</v>
      </c>
      <c r="AR167" s="109">
        <v>0</v>
      </c>
      <c r="AS167" s="109" t="s">
        <v>252</v>
      </c>
      <c r="AT167" s="109" t="s">
        <v>229</v>
      </c>
      <c r="AU167" s="110">
        <v>46274</v>
      </c>
      <c r="AV167" s="109">
        <v>224.08</v>
      </c>
      <c r="AW167" s="109" t="s">
        <v>230</v>
      </c>
      <c r="AX167" s="109" t="s">
        <v>231</v>
      </c>
      <c r="AY167" s="109">
        <v>3247.5</v>
      </c>
      <c r="AZ167" s="109" t="s">
        <v>232</v>
      </c>
      <c r="BA167" s="109" t="s">
        <v>356</v>
      </c>
      <c r="BB167" s="109">
        <v>225.38</v>
      </c>
      <c r="BC167" s="109">
        <v>198.33</v>
      </c>
      <c r="BD167" s="109">
        <v>225.38</v>
      </c>
      <c r="BE167" s="109">
        <v>27.05</v>
      </c>
      <c r="BF167" s="111">
        <v>0.12</v>
      </c>
      <c r="BG167" s="109">
        <v>0</v>
      </c>
      <c r="BH167" s="109">
        <v>120.601</v>
      </c>
      <c r="BI167" s="109">
        <v>141.1</v>
      </c>
      <c r="BJ167" s="109">
        <v>0</v>
      </c>
      <c r="BK167" s="109">
        <v>17</v>
      </c>
      <c r="BL167" s="109">
        <v>0</v>
      </c>
      <c r="BM167" s="109">
        <v>9.76</v>
      </c>
      <c r="BN167" s="109">
        <v>4.87</v>
      </c>
      <c r="BO167" s="109">
        <v>11</v>
      </c>
      <c r="BP167" s="109">
        <v>3.23</v>
      </c>
      <c r="BQ167" s="109">
        <v>0</v>
      </c>
      <c r="BR167" s="109">
        <v>0</v>
      </c>
      <c r="BS167" s="109">
        <v>0</v>
      </c>
      <c r="BT167" s="109">
        <v>0</v>
      </c>
      <c r="BU167" s="109">
        <v>0</v>
      </c>
      <c r="BV167" s="109">
        <v>0</v>
      </c>
      <c r="BW167" s="109">
        <v>0</v>
      </c>
      <c r="BX167" s="109">
        <v>0</v>
      </c>
      <c r="BY167" s="109">
        <v>0</v>
      </c>
      <c r="BZ167" s="109">
        <v>0</v>
      </c>
      <c r="CA167" s="109">
        <v>11.37</v>
      </c>
      <c r="CB167" s="109" t="s">
        <v>225</v>
      </c>
      <c r="CC167" s="109" t="s">
        <v>357</v>
      </c>
      <c r="CD167" s="109">
        <v>406.82</v>
      </c>
      <c r="CE167" s="109">
        <v>0</v>
      </c>
      <c r="CF167" s="109">
        <v>0</v>
      </c>
      <c r="CG167" s="109">
        <v>0</v>
      </c>
      <c r="CH167" s="109">
        <v>0</v>
      </c>
      <c r="CI167" s="109">
        <v>0</v>
      </c>
      <c r="CJ167" s="109">
        <v>0</v>
      </c>
      <c r="CK167" s="109">
        <v>0</v>
      </c>
      <c r="CL167" s="109"/>
      <c r="CM167" s="109"/>
      <c r="CN167" s="109">
        <v>0</v>
      </c>
      <c r="CO167" s="109">
        <v>0</v>
      </c>
      <c r="CP167" s="109">
        <v>0</v>
      </c>
      <c r="CQ167" s="109">
        <v>0</v>
      </c>
      <c r="CR167" s="109">
        <v>0</v>
      </c>
      <c r="CS167" s="109">
        <v>0</v>
      </c>
      <c r="CT167" s="109">
        <v>0</v>
      </c>
      <c r="CU167" s="109">
        <v>18.09</v>
      </c>
      <c r="CV167" s="109" t="s">
        <v>235</v>
      </c>
      <c r="CW167" s="109">
        <v>0</v>
      </c>
      <c r="CX167" s="109"/>
      <c r="CY167" s="109">
        <v>76.55</v>
      </c>
      <c r="CZ167" s="109" t="s">
        <v>849</v>
      </c>
      <c r="DA167" s="109">
        <v>76.55</v>
      </c>
      <c r="DB167" s="207" t="s">
        <v>850</v>
      </c>
      <c r="DE167" s="109">
        <v>0</v>
      </c>
      <c r="DF167" s="109" t="s">
        <v>236</v>
      </c>
      <c r="DG167" s="109" t="s">
        <v>221</v>
      </c>
      <c r="DH167" s="109" t="s">
        <v>220</v>
      </c>
      <c r="DI167" s="109">
        <v>9026067267</v>
      </c>
      <c r="DJ167" s="109" t="s">
        <v>222</v>
      </c>
      <c r="DK167" s="109">
        <v>0</v>
      </c>
      <c r="DL167" s="109" t="s">
        <v>226</v>
      </c>
      <c r="DM167" s="109">
        <v>27.05</v>
      </c>
    </row>
    <row r="168" ht="13.8" hidden="1" spans="1:117">
      <c r="A168" s="109">
        <v>2</v>
      </c>
      <c r="B168" s="109" t="s">
        <v>1236</v>
      </c>
      <c r="C168" s="109" t="s">
        <v>203</v>
      </c>
      <c r="D168" s="109" t="s">
        <v>225</v>
      </c>
      <c r="E168" s="109" t="s">
        <v>226</v>
      </c>
      <c r="F168" s="110">
        <v>46259</v>
      </c>
      <c r="G168" s="109" t="s">
        <v>1204</v>
      </c>
      <c r="H168" s="109" t="s">
        <v>1237</v>
      </c>
      <c r="I168" s="109" t="s">
        <v>216</v>
      </c>
      <c r="J168" s="109" t="s">
        <v>217</v>
      </c>
      <c r="K168" s="109" t="s">
        <v>218</v>
      </c>
      <c r="L168" s="109" t="s">
        <v>219</v>
      </c>
      <c r="M168" s="207" t="s">
        <v>242</v>
      </c>
      <c r="N168" s="109" t="s">
        <v>220</v>
      </c>
      <c r="O168" s="109" t="s">
        <v>221</v>
      </c>
      <c r="P168" s="109" t="s">
        <v>243</v>
      </c>
      <c r="Q168" s="109" t="s">
        <v>216</v>
      </c>
      <c r="R168" s="109" t="s">
        <v>217</v>
      </c>
      <c r="S168" s="109" t="s">
        <v>220</v>
      </c>
      <c r="T168" s="109" t="s">
        <v>221</v>
      </c>
      <c r="U168" s="109" t="s">
        <v>216</v>
      </c>
      <c r="V168" s="109" t="s">
        <v>217</v>
      </c>
      <c r="W168" s="109" t="s">
        <v>218</v>
      </c>
      <c r="X168" s="109" t="s">
        <v>219</v>
      </c>
      <c r="Y168" s="109" t="s">
        <v>220</v>
      </c>
      <c r="Z168" s="109" t="s">
        <v>221</v>
      </c>
      <c r="AA168" s="109" t="s">
        <v>222</v>
      </c>
      <c r="AB168" s="109" t="s">
        <v>223</v>
      </c>
      <c r="AC168" s="109" t="s">
        <v>1238</v>
      </c>
      <c r="AD168" s="109" t="s">
        <v>1239</v>
      </c>
      <c r="AE168" s="109" t="s">
        <v>246</v>
      </c>
      <c r="AF168" s="109" t="s">
        <v>247</v>
      </c>
      <c r="AG168" s="109" t="s">
        <v>248</v>
      </c>
      <c r="AH168" s="109" t="s">
        <v>249</v>
      </c>
      <c r="AI168" s="109" t="s">
        <v>1238</v>
      </c>
      <c r="AJ168" s="109" t="s">
        <v>1239</v>
      </c>
      <c r="AK168" s="109" t="s">
        <v>248</v>
      </c>
      <c r="AL168" s="109" t="s">
        <v>249</v>
      </c>
      <c r="AM168" s="109" t="s">
        <v>250</v>
      </c>
      <c r="AN168" s="207" t="s">
        <v>1240</v>
      </c>
      <c r="AO168" s="109">
        <v>107.35</v>
      </c>
      <c r="AP168" s="109">
        <v>0</v>
      </c>
      <c r="AQ168" s="109">
        <v>10</v>
      </c>
      <c r="AR168" s="109">
        <v>0</v>
      </c>
      <c r="AS168" s="109" t="s">
        <v>252</v>
      </c>
      <c r="AT168" s="109" t="s">
        <v>229</v>
      </c>
      <c r="AU168" s="110">
        <v>46274</v>
      </c>
      <c r="AV168" s="109">
        <v>169.13</v>
      </c>
      <c r="AW168" s="109" t="s">
        <v>230</v>
      </c>
      <c r="AX168" s="109" t="s">
        <v>230</v>
      </c>
      <c r="AY168" s="109">
        <v>2416.57</v>
      </c>
      <c r="AZ168" s="109" t="s">
        <v>232</v>
      </c>
      <c r="BA168" s="109" t="s">
        <v>253</v>
      </c>
      <c r="BB168" s="109">
        <v>170.11</v>
      </c>
      <c r="BC168" s="109">
        <v>149.7</v>
      </c>
      <c r="BD168" s="109">
        <v>170.11</v>
      </c>
      <c r="BE168" s="109">
        <v>20.41</v>
      </c>
      <c r="BF168" s="111">
        <v>0.12</v>
      </c>
      <c r="BG168" s="109">
        <v>0</v>
      </c>
      <c r="BH168" s="109">
        <v>107.35</v>
      </c>
      <c r="BI168" s="109">
        <v>96.63</v>
      </c>
      <c r="BJ168" s="109">
        <v>0</v>
      </c>
      <c r="BK168" s="109">
        <v>17</v>
      </c>
      <c r="BL168" s="109">
        <v>0</v>
      </c>
      <c r="BM168" s="109">
        <v>9.76</v>
      </c>
      <c r="BN168" s="109">
        <v>3.62</v>
      </c>
      <c r="BO168" s="109">
        <v>11</v>
      </c>
      <c r="BP168" s="109">
        <v>3.23</v>
      </c>
      <c r="BQ168" s="109">
        <v>0</v>
      </c>
      <c r="BR168" s="109">
        <v>0</v>
      </c>
      <c r="BS168" s="109">
        <v>0</v>
      </c>
      <c r="BT168" s="109">
        <v>0</v>
      </c>
      <c r="BU168" s="109">
        <v>0</v>
      </c>
      <c r="BV168" s="109">
        <v>0</v>
      </c>
      <c r="BW168" s="109">
        <v>0</v>
      </c>
      <c r="BX168" s="109">
        <v>0</v>
      </c>
      <c r="BY168" s="109">
        <v>0</v>
      </c>
      <c r="BZ168" s="109">
        <v>0</v>
      </c>
      <c r="CA168" s="109">
        <v>8.46</v>
      </c>
      <c r="CB168" s="109" t="s">
        <v>225</v>
      </c>
      <c r="CC168" s="109" t="s">
        <v>247</v>
      </c>
      <c r="CD168" s="109">
        <v>394.78</v>
      </c>
      <c r="CE168" s="109">
        <v>0</v>
      </c>
      <c r="CF168" s="109">
        <v>0</v>
      </c>
      <c r="CG168" s="109">
        <v>0</v>
      </c>
      <c r="CH168" s="109">
        <v>0</v>
      </c>
      <c r="CI168" s="109">
        <v>0</v>
      </c>
      <c r="CJ168" s="109">
        <v>0</v>
      </c>
      <c r="CK168" s="109">
        <v>0</v>
      </c>
      <c r="CL168" s="109"/>
      <c r="CM168" s="109"/>
      <c r="CN168" s="109">
        <v>0</v>
      </c>
      <c r="CO168" s="109">
        <v>0</v>
      </c>
      <c r="CP168" s="109">
        <v>0</v>
      </c>
      <c r="CQ168" s="109">
        <v>0</v>
      </c>
      <c r="CR168" s="109">
        <v>0</v>
      </c>
      <c r="CS168" s="109">
        <v>0</v>
      </c>
      <c r="CT168" s="109">
        <v>0</v>
      </c>
      <c r="CU168" s="109">
        <v>16.1</v>
      </c>
      <c r="CV168" s="109" t="s">
        <v>235</v>
      </c>
      <c r="CW168" s="109">
        <v>0</v>
      </c>
      <c r="CX168" s="109"/>
      <c r="CY168" s="109">
        <v>19.32</v>
      </c>
      <c r="CZ168" s="109" t="s">
        <v>235</v>
      </c>
      <c r="DA168" s="109">
        <v>0</v>
      </c>
      <c r="DB168" s="109"/>
      <c r="DE168" s="109">
        <v>0</v>
      </c>
      <c r="DF168" s="109" t="s">
        <v>236</v>
      </c>
      <c r="DG168" s="109" t="s">
        <v>221</v>
      </c>
      <c r="DH168" s="109" t="s">
        <v>220</v>
      </c>
      <c r="DI168" s="109">
        <v>9026067267</v>
      </c>
      <c r="DJ168" s="109" t="s">
        <v>222</v>
      </c>
      <c r="DK168" s="109">
        <v>0</v>
      </c>
      <c r="DL168" s="109" t="s">
        <v>226</v>
      </c>
      <c r="DM168" s="109">
        <v>20.41</v>
      </c>
    </row>
    <row r="169" ht="13.8" hidden="1" spans="1:117">
      <c r="A169" s="109">
        <v>2</v>
      </c>
      <c r="B169" s="109" t="s">
        <v>1241</v>
      </c>
      <c r="C169" s="109" t="s">
        <v>203</v>
      </c>
      <c r="D169" s="109" t="s">
        <v>225</v>
      </c>
      <c r="E169" s="109" t="s">
        <v>226</v>
      </c>
      <c r="F169" s="110">
        <v>46259</v>
      </c>
      <c r="G169" s="109" t="s">
        <v>1204</v>
      </c>
      <c r="H169" s="109" t="s">
        <v>1242</v>
      </c>
      <c r="I169" s="109" t="s">
        <v>216</v>
      </c>
      <c r="J169" s="109" t="s">
        <v>217</v>
      </c>
      <c r="K169" s="109" t="s">
        <v>218</v>
      </c>
      <c r="L169" s="109" t="s">
        <v>219</v>
      </c>
      <c r="M169" s="207" t="s">
        <v>242</v>
      </c>
      <c r="N169" s="109" t="s">
        <v>220</v>
      </c>
      <c r="O169" s="109" t="s">
        <v>221</v>
      </c>
      <c r="P169" s="109" t="s">
        <v>243</v>
      </c>
      <c r="Q169" s="109" t="s">
        <v>216</v>
      </c>
      <c r="R169" s="109" t="s">
        <v>217</v>
      </c>
      <c r="S169" s="109" t="s">
        <v>220</v>
      </c>
      <c r="T169" s="109" t="s">
        <v>221</v>
      </c>
      <c r="U169" s="109" t="s">
        <v>216</v>
      </c>
      <c r="V169" s="109" t="s">
        <v>217</v>
      </c>
      <c r="W169" s="109" t="s">
        <v>218</v>
      </c>
      <c r="X169" s="109" t="s">
        <v>219</v>
      </c>
      <c r="Y169" s="109" t="s">
        <v>220</v>
      </c>
      <c r="Z169" s="109" t="s">
        <v>221</v>
      </c>
      <c r="AA169" s="109" t="s">
        <v>222</v>
      </c>
      <c r="AB169" s="109" t="s">
        <v>223</v>
      </c>
      <c r="AC169" s="109" t="s">
        <v>1243</v>
      </c>
      <c r="AD169" s="109" t="s">
        <v>1244</v>
      </c>
      <c r="AE169" s="109" t="s">
        <v>397</v>
      </c>
      <c r="AF169" s="109" t="s">
        <v>295</v>
      </c>
      <c r="AG169" s="109" t="s">
        <v>296</v>
      </c>
      <c r="AH169" s="109" t="s">
        <v>297</v>
      </c>
      <c r="AI169" s="109" t="s">
        <v>1243</v>
      </c>
      <c r="AJ169" s="109" t="s">
        <v>1244</v>
      </c>
      <c r="AK169" s="109" t="s">
        <v>296</v>
      </c>
      <c r="AL169" s="109" t="s">
        <v>297</v>
      </c>
      <c r="AM169" s="109" t="s">
        <v>298</v>
      </c>
      <c r="AN169" s="207" t="s">
        <v>1245</v>
      </c>
      <c r="AO169" s="109">
        <v>9.16</v>
      </c>
      <c r="AP169" s="109">
        <v>0</v>
      </c>
      <c r="AQ169" s="109">
        <v>1</v>
      </c>
      <c r="AR169" s="109">
        <v>0</v>
      </c>
      <c r="AS169" s="109" t="s">
        <v>252</v>
      </c>
      <c r="AT169" s="109" t="s">
        <v>229</v>
      </c>
      <c r="AU169" s="110">
        <v>46274</v>
      </c>
      <c r="AV169" s="109">
        <v>95.31</v>
      </c>
      <c r="AW169" s="109" t="s">
        <v>230</v>
      </c>
      <c r="AX169" s="109" t="s">
        <v>230</v>
      </c>
      <c r="AY169" s="109">
        <v>2955.59</v>
      </c>
      <c r="AZ169" s="109" t="s">
        <v>232</v>
      </c>
      <c r="BA169" s="109" t="s">
        <v>300</v>
      </c>
      <c r="BB169" s="109">
        <v>95.86</v>
      </c>
      <c r="BC169" s="109">
        <v>84.36</v>
      </c>
      <c r="BD169" s="109">
        <v>95.86</v>
      </c>
      <c r="BE169" s="109">
        <v>11.5</v>
      </c>
      <c r="BF169" s="111">
        <v>0.12</v>
      </c>
      <c r="BG169" s="109">
        <v>0</v>
      </c>
      <c r="BH169" s="109">
        <v>9.16</v>
      </c>
      <c r="BI169" s="109">
        <v>34.1</v>
      </c>
      <c r="BJ169" s="109">
        <v>0</v>
      </c>
      <c r="BK169" s="109">
        <v>17</v>
      </c>
      <c r="BL169" s="109">
        <v>0</v>
      </c>
      <c r="BM169" s="109">
        <v>9.76</v>
      </c>
      <c r="BN169" s="109">
        <v>4.43</v>
      </c>
      <c r="BO169" s="109">
        <v>5.5</v>
      </c>
      <c r="BP169" s="109">
        <v>3.23</v>
      </c>
      <c r="BQ169" s="109">
        <v>0</v>
      </c>
      <c r="BR169" s="109">
        <v>0</v>
      </c>
      <c r="BS169" s="109">
        <v>0</v>
      </c>
      <c r="BT169" s="109">
        <v>0</v>
      </c>
      <c r="BU169" s="109">
        <v>0</v>
      </c>
      <c r="BV169" s="109">
        <v>0</v>
      </c>
      <c r="BW169" s="109">
        <v>0</v>
      </c>
      <c r="BX169" s="109">
        <v>0</v>
      </c>
      <c r="BY169" s="109">
        <v>0</v>
      </c>
      <c r="BZ169" s="109">
        <v>0</v>
      </c>
      <c r="CA169" s="109">
        <v>10.34</v>
      </c>
      <c r="CB169" s="109" t="s">
        <v>225</v>
      </c>
      <c r="CC169" s="109" t="s">
        <v>295</v>
      </c>
      <c r="CD169" s="109">
        <v>402.6</v>
      </c>
      <c r="CE169" s="109">
        <v>0</v>
      </c>
      <c r="CF169" s="109">
        <v>0</v>
      </c>
      <c r="CG169" s="109">
        <v>0</v>
      </c>
      <c r="CH169" s="109">
        <v>0</v>
      </c>
      <c r="CI169" s="109">
        <v>0</v>
      </c>
      <c r="CJ169" s="109">
        <v>0</v>
      </c>
      <c r="CK169" s="109">
        <v>0</v>
      </c>
      <c r="CL169" s="109"/>
      <c r="CM169" s="109"/>
      <c r="CN169" s="109">
        <v>0</v>
      </c>
      <c r="CO169" s="109">
        <v>0</v>
      </c>
      <c r="CP169" s="109">
        <v>0</v>
      </c>
      <c r="CQ169" s="109">
        <v>0</v>
      </c>
      <c r="CR169" s="109">
        <v>0</v>
      </c>
      <c r="CS169" s="109">
        <v>0</v>
      </c>
      <c r="CT169" s="109">
        <v>0</v>
      </c>
      <c r="CU169" s="109">
        <v>12</v>
      </c>
      <c r="CV169" s="109" t="s">
        <v>235</v>
      </c>
      <c r="CW169" s="109">
        <v>0</v>
      </c>
      <c r="CX169" s="109"/>
      <c r="CY169" s="109">
        <v>18</v>
      </c>
      <c r="CZ169" s="109" t="s">
        <v>235</v>
      </c>
      <c r="DA169" s="109">
        <v>0</v>
      </c>
      <c r="DB169" s="109"/>
      <c r="DE169" s="109">
        <v>0</v>
      </c>
      <c r="DF169" s="109" t="s">
        <v>236</v>
      </c>
      <c r="DG169" s="109" t="s">
        <v>221</v>
      </c>
      <c r="DH169" s="109" t="s">
        <v>220</v>
      </c>
      <c r="DI169" s="109">
        <v>9026067267</v>
      </c>
      <c r="DJ169" s="109" t="s">
        <v>222</v>
      </c>
      <c r="DK169" s="109">
        <v>0</v>
      </c>
      <c r="DL169" s="109" t="s">
        <v>226</v>
      </c>
      <c r="DM169" s="109">
        <v>11.5</v>
      </c>
    </row>
    <row r="170" ht="13.8" hidden="1" spans="1:117">
      <c r="A170" s="109">
        <v>2</v>
      </c>
      <c r="B170" s="109" t="s">
        <v>1246</v>
      </c>
      <c r="C170" s="109" t="s">
        <v>203</v>
      </c>
      <c r="D170" s="109" t="s">
        <v>225</v>
      </c>
      <c r="E170" s="109" t="s">
        <v>226</v>
      </c>
      <c r="F170" s="110">
        <v>46259</v>
      </c>
      <c r="G170" s="109" t="s">
        <v>1204</v>
      </c>
      <c r="H170" s="109" t="s">
        <v>1247</v>
      </c>
      <c r="I170" s="109" t="s">
        <v>216</v>
      </c>
      <c r="J170" s="109" t="s">
        <v>217</v>
      </c>
      <c r="K170" s="109" t="s">
        <v>218</v>
      </c>
      <c r="L170" s="109" t="s">
        <v>219</v>
      </c>
      <c r="M170" s="207" t="s">
        <v>242</v>
      </c>
      <c r="N170" s="109" t="s">
        <v>220</v>
      </c>
      <c r="O170" s="109" t="s">
        <v>221</v>
      </c>
      <c r="P170" s="109" t="s">
        <v>243</v>
      </c>
      <c r="Q170" s="109" t="s">
        <v>216</v>
      </c>
      <c r="R170" s="109" t="s">
        <v>217</v>
      </c>
      <c r="S170" s="109" t="s">
        <v>220</v>
      </c>
      <c r="T170" s="109" t="s">
        <v>221</v>
      </c>
      <c r="U170" s="109" t="s">
        <v>216</v>
      </c>
      <c r="V170" s="109" t="s">
        <v>217</v>
      </c>
      <c r="W170" s="109" t="s">
        <v>218</v>
      </c>
      <c r="X170" s="109" t="s">
        <v>219</v>
      </c>
      <c r="Y170" s="109" t="s">
        <v>220</v>
      </c>
      <c r="Z170" s="109" t="s">
        <v>221</v>
      </c>
      <c r="AA170" s="109" t="s">
        <v>222</v>
      </c>
      <c r="AB170" s="109" t="s">
        <v>223</v>
      </c>
      <c r="AC170" s="109" t="s">
        <v>1248</v>
      </c>
      <c r="AD170" s="109" t="s">
        <v>1249</v>
      </c>
      <c r="AE170" s="109" t="s">
        <v>374</v>
      </c>
      <c r="AF170" s="109" t="s">
        <v>295</v>
      </c>
      <c r="AG170" s="109" t="s">
        <v>296</v>
      </c>
      <c r="AH170" s="109" t="s">
        <v>297</v>
      </c>
      <c r="AI170" s="109" t="s">
        <v>1248</v>
      </c>
      <c r="AJ170" s="109" t="s">
        <v>1249</v>
      </c>
      <c r="AK170" s="109" t="s">
        <v>296</v>
      </c>
      <c r="AL170" s="109" t="s">
        <v>297</v>
      </c>
      <c r="AM170" s="109" t="s">
        <v>298</v>
      </c>
      <c r="AN170" s="207" t="s">
        <v>1250</v>
      </c>
      <c r="AO170" s="109">
        <v>21.52</v>
      </c>
      <c r="AP170" s="109">
        <v>0</v>
      </c>
      <c r="AQ170" s="109">
        <v>2</v>
      </c>
      <c r="AR170" s="109">
        <v>0</v>
      </c>
      <c r="AS170" s="109" t="s">
        <v>252</v>
      </c>
      <c r="AT170" s="109" t="s">
        <v>229</v>
      </c>
      <c r="AU170" s="110">
        <v>46274</v>
      </c>
      <c r="AV170" s="109">
        <v>103.37</v>
      </c>
      <c r="AW170" s="109" t="s">
        <v>230</v>
      </c>
      <c r="AX170" s="109" t="s">
        <v>230</v>
      </c>
      <c r="AY170" s="109">
        <v>1559.92</v>
      </c>
      <c r="AZ170" s="109" t="s">
        <v>232</v>
      </c>
      <c r="BA170" s="109" t="s">
        <v>300</v>
      </c>
      <c r="BB170" s="109">
        <v>103.97</v>
      </c>
      <c r="BC170" s="109">
        <v>91.49</v>
      </c>
      <c r="BD170" s="109">
        <v>103.97</v>
      </c>
      <c r="BE170" s="109">
        <v>12.48</v>
      </c>
      <c r="BF170" s="111">
        <v>0.12</v>
      </c>
      <c r="BG170" s="109">
        <v>0</v>
      </c>
      <c r="BH170" s="109">
        <v>21.52</v>
      </c>
      <c r="BI170" s="109">
        <v>48.2</v>
      </c>
      <c r="BJ170" s="109">
        <v>0</v>
      </c>
      <c r="BK170" s="109">
        <v>17</v>
      </c>
      <c r="BL170" s="109">
        <v>0</v>
      </c>
      <c r="BM170" s="109">
        <v>9.76</v>
      </c>
      <c r="BN170" s="109">
        <v>2.34</v>
      </c>
      <c r="BO170" s="109">
        <v>5.5</v>
      </c>
      <c r="BP170" s="109">
        <v>3.23</v>
      </c>
      <c r="BQ170" s="109">
        <v>0</v>
      </c>
      <c r="BR170" s="109">
        <v>0</v>
      </c>
      <c r="BS170" s="109">
        <v>0</v>
      </c>
      <c r="BT170" s="109">
        <v>0</v>
      </c>
      <c r="BU170" s="109">
        <v>0</v>
      </c>
      <c r="BV170" s="109">
        <v>0</v>
      </c>
      <c r="BW170" s="109">
        <v>0</v>
      </c>
      <c r="BX170" s="109">
        <v>0</v>
      </c>
      <c r="BY170" s="109">
        <v>0</v>
      </c>
      <c r="BZ170" s="109">
        <v>0</v>
      </c>
      <c r="CA170" s="109">
        <v>5.46</v>
      </c>
      <c r="CB170" s="109" t="s">
        <v>225</v>
      </c>
      <c r="CC170" s="109" t="s">
        <v>295</v>
      </c>
      <c r="CD170" s="109">
        <v>383.37</v>
      </c>
      <c r="CE170" s="109">
        <v>0</v>
      </c>
      <c r="CF170" s="109">
        <v>0</v>
      </c>
      <c r="CG170" s="109">
        <v>0</v>
      </c>
      <c r="CH170" s="109">
        <v>0</v>
      </c>
      <c r="CI170" s="109">
        <v>0</v>
      </c>
      <c r="CJ170" s="109">
        <v>0</v>
      </c>
      <c r="CK170" s="109">
        <v>0</v>
      </c>
      <c r="CL170" s="109"/>
      <c r="CM170" s="109"/>
      <c r="CN170" s="109">
        <v>0</v>
      </c>
      <c r="CO170" s="109">
        <v>0</v>
      </c>
      <c r="CP170" s="109">
        <v>0</v>
      </c>
      <c r="CQ170" s="109">
        <v>0</v>
      </c>
      <c r="CR170" s="109">
        <v>0</v>
      </c>
      <c r="CS170" s="109">
        <v>0</v>
      </c>
      <c r="CT170" s="109">
        <v>0</v>
      </c>
      <c r="CU170" s="109">
        <v>12</v>
      </c>
      <c r="CV170" s="109" t="s">
        <v>235</v>
      </c>
      <c r="CW170" s="109">
        <v>0</v>
      </c>
      <c r="CX170" s="109"/>
      <c r="CY170" s="109">
        <v>18</v>
      </c>
      <c r="CZ170" s="109" t="s">
        <v>235</v>
      </c>
      <c r="DA170" s="109">
        <v>0</v>
      </c>
      <c r="DB170" s="109"/>
      <c r="DE170" s="109">
        <v>0</v>
      </c>
      <c r="DF170" s="109" t="s">
        <v>236</v>
      </c>
      <c r="DG170" s="109" t="s">
        <v>221</v>
      </c>
      <c r="DH170" s="109" t="s">
        <v>220</v>
      </c>
      <c r="DI170" s="109">
        <v>9026067267</v>
      </c>
      <c r="DJ170" s="109" t="s">
        <v>222</v>
      </c>
      <c r="DK170" s="109">
        <v>0</v>
      </c>
      <c r="DL170" s="109" t="s">
        <v>226</v>
      </c>
      <c r="DM170" s="109">
        <v>12.48</v>
      </c>
    </row>
    <row r="171" ht="13.8" hidden="1" spans="1:117">
      <c r="A171" s="109">
        <v>2</v>
      </c>
      <c r="B171" s="109" t="s">
        <v>1251</v>
      </c>
      <c r="C171" s="109" t="s">
        <v>203</v>
      </c>
      <c r="D171" s="109" t="s">
        <v>225</v>
      </c>
      <c r="E171" s="109" t="s">
        <v>226</v>
      </c>
      <c r="F171" s="110">
        <v>46259</v>
      </c>
      <c r="G171" s="109" t="s">
        <v>1204</v>
      </c>
      <c r="H171" s="109" t="s">
        <v>1252</v>
      </c>
      <c r="I171" s="109" t="s">
        <v>216</v>
      </c>
      <c r="J171" s="109" t="s">
        <v>217</v>
      </c>
      <c r="K171" s="109" t="s">
        <v>218</v>
      </c>
      <c r="L171" s="109" t="s">
        <v>219</v>
      </c>
      <c r="M171" s="207" t="s">
        <v>242</v>
      </c>
      <c r="N171" s="109" t="s">
        <v>220</v>
      </c>
      <c r="O171" s="109" t="s">
        <v>221</v>
      </c>
      <c r="P171" s="109" t="s">
        <v>243</v>
      </c>
      <c r="Q171" s="109" t="s">
        <v>216</v>
      </c>
      <c r="R171" s="109" t="s">
        <v>217</v>
      </c>
      <c r="S171" s="109" t="s">
        <v>220</v>
      </c>
      <c r="T171" s="109" t="s">
        <v>221</v>
      </c>
      <c r="U171" s="109" t="s">
        <v>216</v>
      </c>
      <c r="V171" s="109" t="s">
        <v>217</v>
      </c>
      <c r="W171" s="109" t="s">
        <v>218</v>
      </c>
      <c r="X171" s="109" t="s">
        <v>219</v>
      </c>
      <c r="Y171" s="109" t="s">
        <v>220</v>
      </c>
      <c r="Z171" s="109" t="s">
        <v>221</v>
      </c>
      <c r="AA171" s="109" t="s">
        <v>222</v>
      </c>
      <c r="AB171" s="109" t="s">
        <v>223</v>
      </c>
      <c r="AC171" s="109" t="s">
        <v>1253</v>
      </c>
      <c r="AD171" s="109" t="s">
        <v>1254</v>
      </c>
      <c r="AE171" s="109" t="s">
        <v>1255</v>
      </c>
      <c r="AF171" s="109" t="s">
        <v>878</v>
      </c>
      <c r="AG171" s="109" t="s">
        <v>1256</v>
      </c>
      <c r="AH171" s="109" t="s">
        <v>214</v>
      </c>
      <c r="AI171" s="109" t="s">
        <v>1253</v>
      </c>
      <c r="AJ171" s="109" t="s">
        <v>1254</v>
      </c>
      <c r="AK171" s="109" t="s">
        <v>1256</v>
      </c>
      <c r="AL171" s="109" t="s">
        <v>214</v>
      </c>
      <c r="AM171" s="109" t="s">
        <v>880</v>
      </c>
      <c r="AN171" s="207" t="s">
        <v>1257</v>
      </c>
      <c r="AO171" s="109">
        <v>77</v>
      </c>
      <c r="AP171" s="109">
        <v>0</v>
      </c>
      <c r="AQ171" s="109">
        <v>8</v>
      </c>
      <c r="AR171" s="109">
        <v>0</v>
      </c>
      <c r="AS171" s="109" t="s">
        <v>252</v>
      </c>
      <c r="AT171" s="109" t="s">
        <v>229</v>
      </c>
      <c r="AU171" s="110">
        <v>46274</v>
      </c>
      <c r="AV171" s="109">
        <v>254.66</v>
      </c>
      <c r="AW171" s="109" t="s">
        <v>230</v>
      </c>
      <c r="AX171" s="109" t="s">
        <v>230</v>
      </c>
      <c r="AY171" s="109">
        <v>3342</v>
      </c>
      <c r="AZ171" s="109" t="s">
        <v>232</v>
      </c>
      <c r="BA171" s="109" t="s">
        <v>1258</v>
      </c>
      <c r="BB171" s="109">
        <v>256.14</v>
      </c>
      <c r="BC171" s="109">
        <v>225.4</v>
      </c>
      <c r="BD171" s="109">
        <v>256.14</v>
      </c>
      <c r="BE171" s="109">
        <v>30.74</v>
      </c>
      <c r="BF171" s="111">
        <v>0.12</v>
      </c>
      <c r="BG171" s="109">
        <v>0</v>
      </c>
      <c r="BH171" s="109">
        <v>77</v>
      </c>
      <c r="BI171" s="109">
        <v>173.2</v>
      </c>
      <c r="BJ171" s="109">
        <v>0</v>
      </c>
      <c r="BK171" s="109">
        <v>17</v>
      </c>
      <c r="BL171" s="109">
        <v>0</v>
      </c>
      <c r="BM171" s="109">
        <v>9.76</v>
      </c>
      <c r="BN171" s="109">
        <v>5.01</v>
      </c>
      <c r="BO171" s="109">
        <v>5.5</v>
      </c>
      <c r="BP171" s="109">
        <v>3.23</v>
      </c>
      <c r="BQ171" s="109">
        <v>0</v>
      </c>
      <c r="BR171" s="109">
        <v>0</v>
      </c>
      <c r="BS171" s="109">
        <v>0</v>
      </c>
      <c r="BT171" s="109">
        <v>0</v>
      </c>
      <c r="BU171" s="109">
        <v>0</v>
      </c>
      <c r="BV171" s="109">
        <v>0</v>
      </c>
      <c r="BW171" s="109">
        <v>0</v>
      </c>
      <c r="BX171" s="109">
        <v>0</v>
      </c>
      <c r="BY171" s="109">
        <v>0</v>
      </c>
      <c r="BZ171" s="109">
        <v>0</v>
      </c>
      <c r="CA171" s="109">
        <v>11.7</v>
      </c>
      <c r="CB171" s="109" t="s">
        <v>225</v>
      </c>
      <c r="CC171" s="109" t="s">
        <v>1259</v>
      </c>
      <c r="CD171" s="109">
        <v>408.19</v>
      </c>
      <c r="CE171" s="109">
        <v>0</v>
      </c>
      <c r="CF171" s="109">
        <v>0</v>
      </c>
      <c r="CG171" s="109">
        <v>0</v>
      </c>
      <c r="CH171" s="109">
        <v>0</v>
      </c>
      <c r="CI171" s="109">
        <v>0</v>
      </c>
      <c r="CJ171" s="109">
        <v>0</v>
      </c>
      <c r="CK171" s="109">
        <v>0</v>
      </c>
      <c r="CL171" s="109"/>
      <c r="CM171" s="109"/>
      <c r="CN171" s="109">
        <v>0</v>
      </c>
      <c r="CO171" s="109">
        <v>0</v>
      </c>
      <c r="CP171" s="109">
        <v>0</v>
      </c>
      <c r="CQ171" s="109">
        <v>0</v>
      </c>
      <c r="CR171" s="109">
        <v>0</v>
      </c>
      <c r="CS171" s="109">
        <v>0</v>
      </c>
      <c r="CT171" s="109">
        <v>0</v>
      </c>
      <c r="CU171" s="109">
        <v>12</v>
      </c>
      <c r="CV171" s="109" t="s">
        <v>235</v>
      </c>
      <c r="CW171" s="109">
        <v>0</v>
      </c>
      <c r="CX171" s="109"/>
      <c r="CY171" s="109">
        <v>89.65</v>
      </c>
      <c r="CZ171" s="109" t="s">
        <v>1260</v>
      </c>
      <c r="DA171" s="109">
        <v>89.65</v>
      </c>
      <c r="DB171" s="207" t="s">
        <v>1261</v>
      </c>
      <c r="DE171" s="109">
        <v>0</v>
      </c>
      <c r="DF171" s="109" t="s">
        <v>236</v>
      </c>
      <c r="DG171" s="109" t="s">
        <v>221</v>
      </c>
      <c r="DH171" s="109" t="s">
        <v>220</v>
      </c>
      <c r="DI171" s="109">
        <v>9026067267</v>
      </c>
      <c r="DJ171" s="109" t="s">
        <v>222</v>
      </c>
      <c r="DK171" s="109">
        <v>0</v>
      </c>
      <c r="DL171" s="109" t="s">
        <v>226</v>
      </c>
      <c r="DM171" s="109">
        <v>30.74</v>
      </c>
    </row>
    <row r="172" ht="13.8" hidden="1" spans="1:117">
      <c r="A172" s="109">
        <v>2</v>
      </c>
      <c r="B172" s="109" t="s">
        <v>1262</v>
      </c>
      <c r="C172" s="109" t="s">
        <v>203</v>
      </c>
      <c r="D172" s="109" t="s">
        <v>225</v>
      </c>
      <c r="E172" s="109" t="s">
        <v>226</v>
      </c>
      <c r="F172" s="110">
        <v>46259</v>
      </c>
      <c r="G172" s="109" t="s">
        <v>1204</v>
      </c>
      <c r="H172" s="109" t="s">
        <v>1263</v>
      </c>
      <c r="I172" s="109" t="s">
        <v>216</v>
      </c>
      <c r="J172" s="109" t="s">
        <v>217</v>
      </c>
      <c r="K172" s="109" t="s">
        <v>218</v>
      </c>
      <c r="L172" s="109" t="s">
        <v>219</v>
      </c>
      <c r="M172" s="207" t="s">
        <v>242</v>
      </c>
      <c r="N172" s="109" t="s">
        <v>220</v>
      </c>
      <c r="O172" s="109" t="s">
        <v>221</v>
      </c>
      <c r="P172" s="109" t="s">
        <v>243</v>
      </c>
      <c r="Q172" s="109" t="s">
        <v>216</v>
      </c>
      <c r="R172" s="109" t="s">
        <v>217</v>
      </c>
      <c r="S172" s="109" t="s">
        <v>220</v>
      </c>
      <c r="T172" s="109" t="s">
        <v>221</v>
      </c>
      <c r="U172" s="109" t="s">
        <v>216</v>
      </c>
      <c r="V172" s="109" t="s">
        <v>217</v>
      </c>
      <c r="W172" s="109" t="s">
        <v>218</v>
      </c>
      <c r="X172" s="109" t="s">
        <v>219</v>
      </c>
      <c r="Y172" s="109" t="s">
        <v>220</v>
      </c>
      <c r="Z172" s="109" t="s">
        <v>221</v>
      </c>
      <c r="AA172" s="109" t="s">
        <v>222</v>
      </c>
      <c r="AB172" s="109" t="s">
        <v>223</v>
      </c>
      <c r="AC172" s="109" t="s">
        <v>1231</v>
      </c>
      <c r="AD172" s="109" t="s">
        <v>1232</v>
      </c>
      <c r="AE172" s="109">
        <v>239</v>
      </c>
      <c r="AF172" s="109" t="s">
        <v>1233</v>
      </c>
      <c r="AG172" s="109" t="s">
        <v>1234</v>
      </c>
      <c r="AH172" s="109" t="s">
        <v>249</v>
      </c>
      <c r="AI172" s="109" t="s">
        <v>1231</v>
      </c>
      <c r="AJ172" s="109" t="s">
        <v>1232</v>
      </c>
      <c r="AK172" s="109" t="s">
        <v>1234</v>
      </c>
      <c r="AL172" s="109" t="s">
        <v>249</v>
      </c>
      <c r="AM172" s="109" t="s">
        <v>354</v>
      </c>
      <c r="AN172" s="207" t="s">
        <v>1264</v>
      </c>
      <c r="AO172" s="109">
        <v>25</v>
      </c>
      <c r="AP172" s="109">
        <v>0.6475</v>
      </c>
      <c r="AQ172" s="109">
        <v>1</v>
      </c>
      <c r="AR172" s="109">
        <v>0</v>
      </c>
      <c r="AS172" s="109" t="s">
        <v>252</v>
      </c>
      <c r="AT172" s="109" t="s">
        <v>229</v>
      </c>
      <c r="AU172" s="110">
        <v>46274</v>
      </c>
      <c r="AV172" s="109">
        <v>308.8</v>
      </c>
      <c r="AW172" s="109" t="s">
        <v>230</v>
      </c>
      <c r="AX172" s="109" t="s">
        <v>230</v>
      </c>
      <c r="AY172" s="109">
        <v>805.75</v>
      </c>
      <c r="AZ172" s="109" t="s">
        <v>232</v>
      </c>
      <c r="BA172" s="109" t="s">
        <v>356</v>
      </c>
      <c r="BB172" s="109">
        <v>310.6</v>
      </c>
      <c r="BC172" s="109">
        <v>273.33</v>
      </c>
      <c r="BD172" s="109">
        <v>310.6</v>
      </c>
      <c r="BE172" s="109">
        <v>37.27</v>
      </c>
      <c r="BF172" s="111">
        <v>0.12</v>
      </c>
      <c r="BG172" s="109">
        <v>0</v>
      </c>
      <c r="BH172" s="109">
        <v>194.25</v>
      </c>
      <c r="BI172" s="109">
        <v>227.27</v>
      </c>
      <c r="BJ172" s="109">
        <v>0</v>
      </c>
      <c r="BK172" s="109">
        <v>17</v>
      </c>
      <c r="BL172" s="109">
        <v>0</v>
      </c>
      <c r="BM172" s="109">
        <v>9.76</v>
      </c>
      <c r="BN172" s="109">
        <v>2.25</v>
      </c>
      <c r="BO172" s="109">
        <v>11</v>
      </c>
      <c r="BP172" s="109">
        <v>3.23</v>
      </c>
      <c r="BQ172" s="109">
        <v>0</v>
      </c>
      <c r="BR172" s="109">
        <v>0</v>
      </c>
      <c r="BS172" s="109">
        <v>0</v>
      </c>
      <c r="BT172" s="109">
        <v>0</v>
      </c>
      <c r="BU172" s="109">
        <v>0</v>
      </c>
      <c r="BV172" s="109">
        <v>0</v>
      </c>
      <c r="BW172" s="109">
        <v>0</v>
      </c>
      <c r="BX172" s="109">
        <v>0</v>
      </c>
      <c r="BY172" s="109">
        <v>0</v>
      </c>
      <c r="BZ172" s="109">
        <v>0</v>
      </c>
      <c r="CA172" s="109">
        <v>2.82</v>
      </c>
      <c r="CB172" s="109" t="s">
        <v>225</v>
      </c>
      <c r="CC172" s="109" t="s">
        <v>357</v>
      </c>
      <c r="CD172" s="109">
        <v>375.8</v>
      </c>
      <c r="CE172" s="109">
        <v>0</v>
      </c>
      <c r="CF172" s="109">
        <v>0</v>
      </c>
      <c r="CG172" s="109">
        <v>0</v>
      </c>
      <c r="CH172" s="109">
        <v>0</v>
      </c>
      <c r="CI172" s="109">
        <v>0</v>
      </c>
      <c r="CJ172" s="109">
        <v>0</v>
      </c>
      <c r="CK172" s="109">
        <v>0</v>
      </c>
      <c r="CL172" s="109"/>
      <c r="CM172" s="109"/>
      <c r="CN172" s="109">
        <v>0</v>
      </c>
      <c r="CO172" s="109">
        <v>0</v>
      </c>
      <c r="CP172" s="109">
        <v>0</v>
      </c>
      <c r="CQ172" s="109">
        <v>0</v>
      </c>
      <c r="CR172" s="109">
        <v>0</v>
      </c>
      <c r="CS172" s="109">
        <v>0</v>
      </c>
      <c r="CT172" s="109">
        <v>0</v>
      </c>
      <c r="CU172" s="109">
        <v>12</v>
      </c>
      <c r="CV172" s="109" t="s">
        <v>235</v>
      </c>
      <c r="CW172" s="109">
        <v>0</v>
      </c>
      <c r="CX172" s="109"/>
      <c r="CY172" s="109">
        <v>101.3</v>
      </c>
      <c r="CZ172" s="109" t="s">
        <v>849</v>
      </c>
      <c r="DA172" s="109">
        <v>101.3</v>
      </c>
      <c r="DB172" s="207" t="s">
        <v>850</v>
      </c>
      <c r="DE172" s="109">
        <v>0</v>
      </c>
      <c r="DF172" s="109" t="s">
        <v>236</v>
      </c>
      <c r="DG172" s="109" t="s">
        <v>221</v>
      </c>
      <c r="DH172" s="109" t="s">
        <v>220</v>
      </c>
      <c r="DI172" s="109">
        <v>9026067267</v>
      </c>
      <c r="DJ172" s="109" t="s">
        <v>222</v>
      </c>
      <c r="DK172" s="109">
        <v>0</v>
      </c>
      <c r="DL172" s="109" t="s">
        <v>226</v>
      </c>
      <c r="DM172" s="109">
        <v>37.27</v>
      </c>
    </row>
    <row r="173" ht="13.8" hidden="1" spans="1:117">
      <c r="A173" s="109">
        <v>2</v>
      </c>
      <c r="B173" s="109" t="s">
        <v>1265</v>
      </c>
      <c r="C173" s="109" t="s">
        <v>203</v>
      </c>
      <c r="D173" s="109" t="s">
        <v>225</v>
      </c>
      <c r="E173" s="109" t="s">
        <v>226</v>
      </c>
      <c r="F173" s="110">
        <v>46259</v>
      </c>
      <c r="G173" s="109" t="s">
        <v>240</v>
      </c>
      <c r="H173" s="109" t="s">
        <v>1266</v>
      </c>
      <c r="I173" s="109" t="s">
        <v>216</v>
      </c>
      <c r="J173" s="109" t="s">
        <v>217</v>
      </c>
      <c r="K173" s="109" t="s">
        <v>218</v>
      </c>
      <c r="L173" s="109" t="s">
        <v>219</v>
      </c>
      <c r="M173" s="207" t="s">
        <v>242</v>
      </c>
      <c r="N173" s="109" t="s">
        <v>220</v>
      </c>
      <c r="O173" s="109" t="s">
        <v>221</v>
      </c>
      <c r="P173" s="109" t="s">
        <v>243</v>
      </c>
      <c r="Q173" s="109" t="s">
        <v>216</v>
      </c>
      <c r="R173" s="109" t="s">
        <v>217</v>
      </c>
      <c r="S173" s="109" t="s">
        <v>220</v>
      </c>
      <c r="T173" s="109" t="s">
        <v>221</v>
      </c>
      <c r="U173" s="109" t="s">
        <v>216</v>
      </c>
      <c r="V173" s="109" t="s">
        <v>217</v>
      </c>
      <c r="W173" s="109" t="s">
        <v>218</v>
      </c>
      <c r="X173" s="109" t="s">
        <v>219</v>
      </c>
      <c r="Y173" s="109" t="s">
        <v>220</v>
      </c>
      <c r="Z173" s="109" t="s">
        <v>221</v>
      </c>
      <c r="AA173" s="109" t="s">
        <v>222</v>
      </c>
      <c r="AB173" s="109" t="s">
        <v>223</v>
      </c>
      <c r="AC173" s="109" t="s">
        <v>1267</v>
      </c>
      <c r="AD173" s="109" t="s">
        <v>1268</v>
      </c>
      <c r="AE173" s="109">
        <v>384</v>
      </c>
      <c r="AF173" s="109" t="s">
        <v>331</v>
      </c>
      <c r="AG173" s="109" t="s">
        <v>332</v>
      </c>
      <c r="AH173" s="109" t="s">
        <v>214</v>
      </c>
      <c r="AI173" s="109" t="s">
        <v>1267</v>
      </c>
      <c r="AJ173" s="109" t="s">
        <v>1268</v>
      </c>
      <c r="AK173" s="109" t="s">
        <v>332</v>
      </c>
      <c r="AL173" s="109" t="s">
        <v>214</v>
      </c>
      <c r="AM173" s="109" t="s">
        <v>333</v>
      </c>
      <c r="AN173" s="207" t="s">
        <v>1269</v>
      </c>
      <c r="AO173" s="109">
        <v>45.22</v>
      </c>
      <c r="AP173" s="109">
        <v>0</v>
      </c>
      <c r="AQ173" s="109">
        <v>3</v>
      </c>
      <c r="AR173" s="109">
        <v>0</v>
      </c>
      <c r="AS173" s="109" t="s">
        <v>252</v>
      </c>
      <c r="AT173" s="109" t="s">
        <v>229</v>
      </c>
      <c r="AU173" s="110">
        <v>46274</v>
      </c>
      <c r="AV173" s="109">
        <v>170.6</v>
      </c>
      <c r="AW173" s="109" t="s">
        <v>230</v>
      </c>
      <c r="AX173" s="109" t="s">
        <v>231</v>
      </c>
      <c r="AY173" s="109">
        <v>903.99</v>
      </c>
      <c r="AZ173" s="109" t="s">
        <v>232</v>
      </c>
      <c r="BA173" s="109" t="s">
        <v>335</v>
      </c>
      <c r="BB173" s="109">
        <v>171.59</v>
      </c>
      <c r="BC173" s="109">
        <v>151</v>
      </c>
      <c r="BD173" s="109">
        <v>171.59</v>
      </c>
      <c r="BE173" s="109">
        <v>20.59</v>
      </c>
      <c r="BF173" s="111">
        <v>0.12</v>
      </c>
      <c r="BG173" s="109">
        <v>0</v>
      </c>
      <c r="BH173" s="109">
        <v>45.22</v>
      </c>
      <c r="BI173" s="109">
        <v>110.1</v>
      </c>
      <c r="BJ173" s="109">
        <v>0</v>
      </c>
      <c r="BK173" s="109">
        <v>17</v>
      </c>
      <c r="BL173" s="109">
        <v>0</v>
      </c>
      <c r="BM173" s="109">
        <v>9.76</v>
      </c>
      <c r="BN173" s="109">
        <v>2.25</v>
      </c>
      <c r="BO173" s="109">
        <v>5.5</v>
      </c>
      <c r="BP173" s="109">
        <v>3.23</v>
      </c>
      <c r="BQ173" s="109">
        <v>0</v>
      </c>
      <c r="BR173" s="109">
        <v>0</v>
      </c>
      <c r="BS173" s="109">
        <v>0</v>
      </c>
      <c r="BT173" s="109">
        <v>0</v>
      </c>
      <c r="BU173" s="109">
        <v>0</v>
      </c>
      <c r="BV173" s="109">
        <v>0</v>
      </c>
      <c r="BW173" s="109">
        <v>0</v>
      </c>
      <c r="BX173" s="109">
        <v>0</v>
      </c>
      <c r="BY173" s="109">
        <v>0</v>
      </c>
      <c r="BZ173" s="109">
        <v>0</v>
      </c>
      <c r="CA173" s="109">
        <v>3.16</v>
      </c>
      <c r="CB173" s="109" t="s">
        <v>225</v>
      </c>
      <c r="CC173" s="109" t="s">
        <v>336</v>
      </c>
      <c r="CD173" s="109">
        <v>376.79</v>
      </c>
      <c r="CE173" s="109">
        <v>0</v>
      </c>
      <c r="CF173" s="109">
        <v>0</v>
      </c>
      <c r="CG173" s="109">
        <v>0</v>
      </c>
      <c r="CH173" s="109">
        <v>0</v>
      </c>
      <c r="CI173" s="109">
        <v>0</v>
      </c>
      <c r="CJ173" s="109">
        <v>0</v>
      </c>
      <c r="CK173" s="109">
        <v>0</v>
      </c>
      <c r="CL173" s="109"/>
      <c r="CM173" s="109"/>
      <c r="CN173" s="109">
        <v>0</v>
      </c>
      <c r="CO173" s="109">
        <v>0</v>
      </c>
      <c r="CP173" s="109">
        <v>0</v>
      </c>
      <c r="CQ173" s="109">
        <v>0</v>
      </c>
      <c r="CR173" s="109">
        <v>0</v>
      </c>
      <c r="CS173" s="109">
        <v>0</v>
      </c>
      <c r="CT173" s="109">
        <v>0</v>
      </c>
      <c r="CU173" s="109">
        <v>12</v>
      </c>
      <c r="CV173" s="109" t="s">
        <v>235</v>
      </c>
      <c r="CW173" s="109">
        <v>0</v>
      </c>
      <c r="CX173" s="109"/>
      <c r="CY173" s="109">
        <v>68.64</v>
      </c>
      <c r="CZ173" s="109" t="s">
        <v>1270</v>
      </c>
      <c r="DA173" s="109">
        <v>65.53</v>
      </c>
      <c r="DB173" s="109">
        <v>233474</v>
      </c>
      <c r="DE173" s="109">
        <v>0</v>
      </c>
      <c r="DF173" s="109" t="s">
        <v>236</v>
      </c>
      <c r="DG173" s="109" t="s">
        <v>221</v>
      </c>
      <c r="DH173" s="109" t="s">
        <v>220</v>
      </c>
      <c r="DI173" s="109">
        <v>9026067267</v>
      </c>
      <c r="DJ173" s="109" t="s">
        <v>222</v>
      </c>
      <c r="DK173" s="109">
        <v>0</v>
      </c>
      <c r="DL173" s="109" t="s">
        <v>226</v>
      </c>
      <c r="DM173" s="109">
        <v>20.59</v>
      </c>
    </row>
    <row r="174" ht="13.8" hidden="1" spans="1:117">
      <c r="A174" s="109">
        <v>2</v>
      </c>
      <c r="B174" s="109" t="s">
        <v>1271</v>
      </c>
      <c r="C174" s="109" t="s">
        <v>203</v>
      </c>
      <c r="D174" s="109" t="s">
        <v>225</v>
      </c>
      <c r="E174" s="109" t="s">
        <v>226</v>
      </c>
      <c r="F174" s="110">
        <v>46259</v>
      </c>
      <c r="G174" s="109" t="s">
        <v>240</v>
      </c>
      <c r="H174" s="109" t="s">
        <v>1272</v>
      </c>
      <c r="I174" s="109" t="s">
        <v>216</v>
      </c>
      <c r="J174" s="109" t="s">
        <v>217</v>
      </c>
      <c r="K174" s="109" t="s">
        <v>218</v>
      </c>
      <c r="L174" s="109" t="s">
        <v>219</v>
      </c>
      <c r="M174" s="207" t="s">
        <v>242</v>
      </c>
      <c r="N174" s="109" t="s">
        <v>220</v>
      </c>
      <c r="O174" s="109" t="s">
        <v>221</v>
      </c>
      <c r="P174" s="109" t="s">
        <v>243</v>
      </c>
      <c r="Q174" s="109" t="s">
        <v>216</v>
      </c>
      <c r="R174" s="109" t="s">
        <v>217</v>
      </c>
      <c r="S174" s="109" t="s">
        <v>220</v>
      </c>
      <c r="T174" s="109" t="s">
        <v>221</v>
      </c>
      <c r="U174" s="109" t="s">
        <v>216</v>
      </c>
      <c r="V174" s="109" t="s">
        <v>217</v>
      </c>
      <c r="W174" s="109" t="s">
        <v>218</v>
      </c>
      <c r="X174" s="109" t="s">
        <v>219</v>
      </c>
      <c r="Y174" s="109" t="s">
        <v>220</v>
      </c>
      <c r="Z174" s="109" t="s">
        <v>221</v>
      </c>
      <c r="AA174" s="109" t="s">
        <v>222</v>
      </c>
      <c r="AB174" s="109" t="s">
        <v>223</v>
      </c>
      <c r="AC174" s="109" t="s">
        <v>1273</v>
      </c>
      <c r="AD174" s="109" t="s">
        <v>1274</v>
      </c>
      <c r="AE174" s="109" t="s">
        <v>921</v>
      </c>
      <c r="AF174" s="109" t="s">
        <v>369</v>
      </c>
      <c r="AG174" s="109" t="s">
        <v>1275</v>
      </c>
      <c r="AH174" s="109" t="s">
        <v>297</v>
      </c>
      <c r="AI174" s="109" t="s">
        <v>1273</v>
      </c>
      <c r="AJ174" s="109" t="s">
        <v>1274</v>
      </c>
      <c r="AK174" s="109" t="s">
        <v>1275</v>
      </c>
      <c r="AL174" s="109" t="s">
        <v>297</v>
      </c>
      <c r="AM174" s="109" t="s">
        <v>298</v>
      </c>
      <c r="AN174" s="207" t="s">
        <v>1276</v>
      </c>
      <c r="AO174" s="109">
        <v>48.96</v>
      </c>
      <c r="AP174" s="109">
        <v>0</v>
      </c>
      <c r="AQ174" s="109">
        <v>6</v>
      </c>
      <c r="AR174" s="109">
        <v>0</v>
      </c>
      <c r="AS174" s="109" t="s">
        <v>252</v>
      </c>
      <c r="AT174" s="109" t="s">
        <v>229</v>
      </c>
      <c r="AU174" s="110">
        <v>46274</v>
      </c>
      <c r="AV174" s="109">
        <v>232.84</v>
      </c>
      <c r="AW174" s="109" t="s">
        <v>230</v>
      </c>
      <c r="AX174" s="109" t="s">
        <v>230</v>
      </c>
      <c r="AY174" s="109">
        <v>1523.56</v>
      </c>
      <c r="AZ174" s="109" t="s">
        <v>232</v>
      </c>
      <c r="BA174" s="109" t="s">
        <v>368</v>
      </c>
      <c r="BB174" s="109">
        <v>234.19</v>
      </c>
      <c r="BC174" s="109">
        <v>206.09</v>
      </c>
      <c r="BD174" s="109">
        <v>234.19</v>
      </c>
      <c r="BE174" s="109">
        <v>28.1</v>
      </c>
      <c r="BF174" s="111">
        <v>0.12</v>
      </c>
      <c r="BG174" s="109">
        <v>0</v>
      </c>
      <c r="BH174" s="109">
        <v>48.96</v>
      </c>
      <c r="BI174" s="109">
        <v>97.98</v>
      </c>
      <c r="BJ174" s="109">
        <v>0</v>
      </c>
      <c r="BK174" s="109">
        <v>17</v>
      </c>
      <c r="BL174" s="109">
        <v>0</v>
      </c>
      <c r="BM174" s="109">
        <v>9.76</v>
      </c>
      <c r="BN174" s="109">
        <v>2.29</v>
      </c>
      <c r="BO174" s="109">
        <v>5.5</v>
      </c>
      <c r="BP174" s="109">
        <v>3.23</v>
      </c>
      <c r="BQ174" s="109">
        <v>65</v>
      </c>
      <c r="BR174" s="109">
        <v>0</v>
      </c>
      <c r="BS174" s="109">
        <v>0</v>
      </c>
      <c r="BT174" s="109">
        <v>0</v>
      </c>
      <c r="BU174" s="109">
        <v>0</v>
      </c>
      <c r="BV174" s="109">
        <v>0</v>
      </c>
      <c r="BW174" s="109">
        <v>0</v>
      </c>
      <c r="BX174" s="109">
        <v>0</v>
      </c>
      <c r="BY174" s="109">
        <v>0</v>
      </c>
      <c r="BZ174" s="109">
        <v>0</v>
      </c>
      <c r="CA174" s="109">
        <v>5.33</v>
      </c>
      <c r="CB174" s="109" t="s">
        <v>225</v>
      </c>
      <c r="CC174" s="109" t="s">
        <v>369</v>
      </c>
      <c r="CD174" s="109">
        <v>382.98</v>
      </c>
      <c r="CE174" s="109">
        <v>0</v>
      </c>
      <c r="CF174" s="109">
        <v>0</v>
      </c>
      <c r="CG174" s="109">
        <v>0</v>
      </c>
      <c r="CH174" s="109">
        <v>0</v>
      </c>
      <c r="CI174" s="109">
        <v>0</v>
      </c>
      <c r="CJ174" s="109">
        <v>0</v>
      </c>
      <c r="CK174" s="109">
        <v>0</v>
      </c>
      <c r="CL174" s="109"/>
      <c r="CM174" s="109"/>
      <c r="CN174" s="109">
        <v>0</v>
      </c>
      <c r="CO174" s="109">
        <v>0</v>
      </c>
      <c r="CP174" s="109">
        <v>0</v>
      </c>
      <c r="CQ174" s="109">
        <v>0</v>
      </c>
      <c r="CR174" s="109">
        <v>0</v>
      </c>
      <c r="CS174" s="109">
        <v>0</v>
      </c>
      <c r="CT174" s="109">
        <v>0</v>
      </c>
      <c r="CU174" s="109">
        <v>12</v>
      </c>
      <c r="CV174" s="109" t="s">
        <v>235</v>
      </c>
      <c r="CW174" s="109">
        <v>0</v>
      </c>
      <c r="CX174" s="109"/>
      <c r="CY174" s="109">
        <v>18</v>
      </c>
      <c r="CZ174" s="109" t="s">
        <v>235</v>
      </c>
      <c r="DA174" s="109">
        <v>0</v>
      </c>
      <c r="DB174" s="109"/>
      <c r="DE174" s="109">
        <v>0</v>
      </c>
      <c r="DF174" s="109" t="s">
        <v>236</v>
      </c>
      <c r="DG174" s="109" t="s">
        <v>221</v>
      </c>
      <c r="DH174" s="109" t="s">
        <v>220</v>
      </c>
      <c r="DI174" s="109">
        <v>9026067267</v>
      </c>
      <c r="DJ174" s="109" t="s">
        <v>222</v>
      </c>
      <c r="DK174" s="109">
        <v>0</v>
      </c>
      <c r="DL174" s="109" t="s">
        <v>226</v>
      </c>
      <c r="DM174" s="109">
        <v>28.1</v>
      </c>
    </row>
    <row r="175" ht="13.8" hidden="1" spans="1:117">
      <c r="A175" s="109">
        <v>2</v>
      </c>
      <c r="B175" s="109" t="s">
        <v>1277</v>
      </c>
      <c r="C175" s="109" t="s">
        <v>203</v>
      </c>
      <c r="D175" s="109" t="s">
        <v>225</v>
      </c>
      <c r="E175" s="109" t="s">
        <v>226</v>
      </c>
      <c r="F175" s="110">
        <v>46259</v>
      </c>
      <c r="G175" s="109" t="s">
        <v>240</v>
      </c>
      <c r="H175" s="109" t="s">
        <v>1278</v>
      </c>
      <c r="I175" s="109" t="s">
        <v>216</v>
      </c>
      <c r="J175" s="109" t="s">
        <v>217</v>
      </c>
      <c r="K175" s="109" t="s">
        <v>218</v>
      </c>
      <c r="L175" s="109" t="s">
        <v>219</v>
      </c>
      <c r="M175" s="207" t="s">
        <v>242</v>
      </c>
      <c r="N175" s="109" t="s">
        <v>220</v>
      </c>
      <c r="O175" s="109" t="s">
        <v>221</v>
      </c>
      <c r="P175" s="109" t="s">
        <v>243</v>
      </c>
      <c r="Q175" s="109" t="s">
        <v>216</v>
      </c>
      <c r="R175" s="109" t="s">
        <v>217</v>
      </c>
      <c r="S175" s="109" t="s">
        <v>220</v>
      </c>
      <c r="T175" s="109" t="s">
        <v>221</v>
      </c>
      <c r="U175" s="109" t="s">
        <v>216</v>
      </c>
      <c r="V175" s="109" t="s">
        <v>217</v>
      </c>
      <c r="W175" s="109" t="s">
        <v>218</v>
      </c>
      <c r="X175" s="109" t="s">
        <v>219</v>
      </c>
      <c r="Y175" s="109" t="s">
        <v>220</v>
      </c>
      <c r="Z175" s="109" t="s">
        <v>221</v>
      </c>
      <c r="AA175" s="109" t="s">
        <v>222</v>
      </c>
      <c r="AB175" s="109" t="s">
        <v>223</v>
      </c>
      <c r="AC175" s="109" t="s">
        <v>1279</v>
      </c>
      <c r="AD175" s="109" t="s">
        <v>1280</v>
      </c>
      <c r="AE175" s="109" t="s">
        <v>528</v>
      </c>
      <c r="AF175" s="109" t="s">
        <v>247</v>
      </c>
      <c r="AG175" s="109" t="s">
        <v>529</v>
      </c>
      <c r="AH175" s="109" t="s">
        <v>249</v>
      </c>
      <c r="AI175" s="109" t="s">
        <v>1279</v>
      </c>
      <c r="AJ175" s="109" t="s">
        <v>1280</v>
      </c>
      <c r="AK175" s="109" t="s">
        <v>529</v>
      </c>
      <c r="AL175" s="109" t="s">
        <v>249</v>
      </c>
      <c r="AM175" s="109" t="s">
        <v>250</v>
      </c>
      <c r="AN175" s="207" t="s">
        <v>1281</v>
      </c>
      <c r="AO175" s="109">
        <v>123.86</v>
      </c>
      <c r="AP175" s="109">
        <v>0</v>
      </c>
      <c r="AQ175" s="109">
        <v>13</v>
      </c>
      <c r="AR175" s="109">
        <v>0</v>
      </c>
      <c r="AS175" s="109" t="s">
        <v>252</v>
      </c>
      <c r="AT175" s="109" t="s">
        <v>229</v>
      </c>
      <c r="AU175" s="110">
        <v>46274</v>
      </c>
      <c r="AV175" s="109">
        <v>192.05</v>
      </c>
      <c r="AW175" s="109" t="s">
        <v>230</v>
      </c>
      <c r="AX175" s="109" t="s">
        <v>230</v>
      </c>
      <c r="AY175" s="109">
        <v>3501.72</v>
      </c>
      <c r="AZ175" s="109" t="s">
        <v>232</v>
      </c>
      <c r="BA175" s="109" t="s">
        <v>253</v>
      </c>
      <c r="BB175" s="109">
        <v>193.17</v>
      </c>
      <c r="BC175" s="109">
        <v>169.99</v>
      </c>
      <c r="BD175" s="109">
        <v>193.17</v>
      </c>
      <c r="BE175" s="109">
        <v>23.18</v>
      </c>
      <c r="BF175" s="111">
        <v>0.12</v>
      </c>
      <c r="BG175" s="109">
        <v>0</v>
      </c>
      <c r="BH175" s="109">
        <v>123.86</v>
      </c>
      <c r="BI175" s="109">
        <v>111.49</v>
      </c>
      <c r="BJ175" s="109">
        <v>0</v>
      </c>
      <c r="BK175" s="109">
        <v>17</v>
      </c>
      <c r="BL175" s="109">
        <v>0</v>
      </c>
      <c r="BM175" s="109">
        <v>9.76</v>
      </c>
      <c r="BN175" s="109">
        <v>5.25</v>
      </c>
      <c r="BO175" s="109">
        <v>11</v>
      </c>
      <c r="BP175" s="109">
        <v>3.23</v>
      </c>
      <c r="BQ175" s="109">
        <v>0</v>
      </c>
      <c r="BR175" s="109">
        <v>0</v>
      </c>
      <c r="BS175" s="109">
        <v>0</v>
      </c>
      <c r="BT175" s="109">
        <v>0</v>
      </c>
      <c r="BU175" s="109">
        <v>0</v>
      </c>
      <c r="BV175" s="109">
        <v>0</v>
      </c>
      <c r="BW175" s="109">
        <v>0</v>
      </c>
      <c r="BX175" s="109">
        <v>0</v>
      </c>
      <c r="BY175" s="109">
        <v>0</v>
      </c>
      <c r="BZ175" s="109">
        <v>0</v>
      </c>
      <c r="CA175" s="109">
        <v>12.26</v>
      </c>
      <c r="CB175" s="109" t="s">
        <v>225</v>
      </c>
      <c r="CC175" s="109" t="s">
        <v>247</v>
      </c>
      <c r="CD175" s="109">
        <v>410.56</v>
      </c>
      <c r="CE175" s="109">
        <v>0</v>
      </c>
      <c r="CF175" s="109">
        <v>0</v>
      </c>
      <c r="CG175" s="109">
        <v>0</v>
      </c>
      <c r="CH175" s="109">
        <v>0</v>
      </c>
      <c r="CI175" s="109">
        <v>0</v>
      </c>
      <c r="CJ175" s="109">
        <v>0</v>
      </c>
      <c r="CK175" s="109">
        <v>0</v>
      </c>
      <c r="CL175" s="109"/>
      <c r="CM175" s="109"/>
      <c r="CN175" s="109">
        <v>0</v>
      </c>
      <c r="CO175" s="109">
        <v>0</v>
      </c>
      <c r="CP175" s="109">
        <v>0</v>
      </c>
      <c r="CQ175" s="109">
        <v>0</v>
      </c>
      <c r="CR175" s="109">
        <v>0</v>
      </c>
      <c r="CS175" s="109">
        <v>0</v>
      </c>
      <c r="CT175" s="109">
        <v>0</v>
      </c>
      <c r="CU175" s="109">
        <v>18.58</v>
      </c>
      <c r="CV175" s="109" t="s">
        <v>235</v>
      </c>
      <c r="CW175" s="109">
        <v>0</v>
      </c>
      <c r="CX175" s="109"/>
      <c r="CY175" s="109">
        <v>22.29</v>
      </c>
      <c r="CZ175" s="109" t="s">
        <v>235</v>
      </c>
      <c r="DA175" s="109">
        <v>0</v>
      </c>
      <c r="DB175" s="109"/>
      <c r="DE175" s="109">
        <v>0</v>
      </c>
      <c r="DF175" s="109" t="s">
        <v>236</v>
      </c>
      <c r="DG175" s="109" t="s">
        <v>221</v>
      </c>
      <c r="DH175" s="109" t="s">
        <v>220</v>
      </c>
      <c r="DI175" s="109">
        <v>9026067267</v>
      </c>
      <c r="DJ175" s="109" t="s">
        <v>222</v>
      </c>
      <c r="DK175" s="109">
        <v>0</v>
      </c>
      <c r="DL175" s="109" t="s">
        <v>226</v>
      </c>
      <c r="DM175" s="109">
        <v>23.18</v>
      </c>
    </row>
    <row r="176" ht="13.8" hidden="1" spans="1:117">
      <c r="A176" s="109">
        <v>2</v>
      </c>
      <c r="B176" s="109" t="s">
        <v>1282</v>
      </c>
      <c r="C176" s="109" t="s">
        <v>1283</v>
      </c>
      <c r="D176" s="109" t="s">
        <v>225</v>
      </c>
      <c r="E176" s="109" t="s">
        <v>226</v>
      </c>
      <c r="F176" s="110">
        <v>46260</v>
      </c>
      <c r="G176" s="109" t="s">
        <v>1048</v>
      </c>
      <c r="H176" s="109" t="s">
        <v>1284</v>
      </c>
      <c r="I176" s="109" t="s">
        <v>216</v>
      </c>
      <c r="J176" s="109" t="s">
        <v>217</v>
      </c>
      <c r="K176" s="109" t="s">
        <v>218</v>
      </c>
      <c r="L176" s="109" t="s">
        <v>219</v>
      </c>
      <c r="M176" s="207" t="s">
        <v>242</v>
      </c>
      <c r="N176" s="109" t="s">
        <v>220</v>
      </c>
      <c r="O176" s="109" t="s">
        <v>221</v>
      </c>
      <c r="P176" s="109" t="s">
        <v>243</v>
      </c>
      <c r="Q176" s="109" t="s">
        <v>216</v>
      </c>
      <c r="R176" s="109" t="s">
        <v>217</v>
      </c>
      <c r="S176" s="109" t="s">
        <v>220</v>
      </c>
      <c r="T176" s="109" t="s">
        <v>221</v>
      </c>
      <c r="U176" s="109" t="s">
        <v>216</v>
      </c>
      <c r="V176" s="109" t="s">
        <v>217</v>
      </c>
      <c r="W176" s="109" t="s">
        <v>218</v>
      </c>
      <c r="X176" s="109" t="s">
        <v>219</v>
      </c>
      <c r="Y176" s="109" t="s">
        <v>220</v>
      </c>
      <c r="Z176" s="109" t="s">
        <v>221</v>
      </c>
      <c r="AA176" s="109" t="s">
        <v>222</v>
      </c>
      <c r="AB176" s="109" t="s">
        <v>223</v>
      </c>
      <c r="AC176" s="109" t="s">
        <v>1066</v>
      </c>
      <c r="AD176" s="109" t="s">
        <v>1067</v>
      </c>
      <c r="AE176" s="109" t="s">
        <v>246</v>
      </c>
      <c r="AF176" s="109" t="s">
        <v>247</v>
      </c>
      <c r="AG176" s="109" t="s">
        <v>248</v>
      </c>
      <c r="AH176" s="109" t="s">
        <v>249</v>
      </c>
      <c r="AI176" s="109" t="s">
        <v>1066</v>
      </c>
      <c r="AJ176" s="109" t="s">
        <v>1067</v>
      </c>
      <c r="AK176" s="109" t="s">
        <v>248</v>
      </c>
      <c r="AL176" s="109" t="s">
        <v>249</v>
      </c>
      <c r="AM176" s="109" t="s">
        <v>250</v>
      </c>
      <c r="AN176" s="207" t="s">
        <v>1068</v>
      </c>
      <c r="AO176" s="109">
        <v>301.225</v>
      </c>
      <c r="AP176" s="109">
        <v>0</v>
      </c>
      <c r="AQ176" s="109">
        <v>31</v>
      </c>
      <c r="AR176" s="109">
        <v>0</v>
      </c>
      <c r="AS176" s="109" t="s">
        <v>252</v>
      </c>
      <c r="AT176" s="109" t="s">
        <v>229</v>
      </c>
      <c r="AU176" s="110">
        <v>46274</v>
      </c>
      <c r="AV176" s="109">
        <v>204.07</v>
      </c>
      <c r="AW176" s="109" t="s">
        <v>230</v>
      </c>
      <c r="AX176" s="109" t="s">
        <v>230</v>
      </c>
      <c r="AY176" s="109">
        <v>7625.28</v>
      </c>
      <c r="AZ176" s="109" t="s">
        <v>1283</v>
      </c>
      <c r="BA176" s="109"/>
      <c r="BB176" s="109">
        <v>205.26</v>
      </c>
      <c r="BC176" s="109">
        <v>180.63</v>
      </c>
      <c r="BD176" s="109">
        <v>205.26</v>
      </c>
      <c r="BE176" s="109">
        <v>24.63</v>
      </c>
      <c r="BF176" s="111">
        <v>0.12</v>
      </c>
      <c r="BG176" s="109">
        <v>0</v>
      </c>
      <c r="BH176" s="109">
        <v>301.225</v>
      </c>
      <c r="BI176" s="109">
        <v>135.56</v>
      </c>
      <c r="BJ176" s="109">
        <v>0</v>
      </c>
      <c r="BK176" s="109">
        <v>8.5</v>
      </c>
      <c r="BL176" s="109">
        <v>0</v>
      </c>
      <c r="BM176" s="109">
        <v>4.88</v>
      </c>
      <c r="BN176" s="109">
        <v>5.72</v>
      </c>
      <c r="BO176" s="109">
        <v>11</v>
      </c>
      <c r="BP176" s="109">
        <v>1.62</v>
      </c>
      <c r="BQ176" s="109">
        <v>0</v>
      </c>
      <c r="BR176" s="109">
        <v>0</v>
      </c>
      <c r="BS176" s="109">
        <v>0</v>
      </c>
      <c r="BT176" s="109">
        <v>0</v>
      </c>
      <c r="BU176" s="109">
        <v>0</v>
      </c>
      <c r="BV176" s="109">
        <v>0</v>
      </c>
      <c r="BW176" s="109">
        <v>0</v>
      </c>
      <c r="BX176" s="109">
        <v>0</v>
      </c>
      <c r="BY176" s="109">
        <v>0</v>
      </c>
      <c r="BZ176" s="109">
        <v>0</v>
      </c>
      <c r="CA176" s="109">
        <v>13.35</v>
      </c>
      <c r="CB176" s="109" t="s">
        <v>225</v>
      </c>
      <c r="CC176" s="109" t="s">
        <v>247</v>
      </c>
      <c r="CD176" s="109">
        <v>824.67</v>
      </c>
      <c r="CE176" s="109">
        <v>0</v>
      </c>
      <c r="CF176" s="109">
        <v>0</v>
      </c>
      <c r="CG176" s="109">
        <v>0</v>
      </c>
      <c r="CH176" s="109">
        <v>0</v>
      </c>
      <c r="CI176" s="109">
        <v>0</v>
      </c>
      <c r="CJ176" s="109">
        <v>0</v>
      </c>
      <c r="CK176" s="109">
        <v>0</v>
      </c>
      <c r="CL176" s="109"/>
      <c r="CM176" s="109"/>
      <c r="CN176" s="109">
        <v>0</v>
      </c>
      <c r="CO176" s="109">
        <v>0</v>
      </c>
      <c r="CP176" s="109">
        <v>0</v>
      </c>
      <c r="CQ176" s="109">
        <v>0</v>
      </c>
      <c r="CR176" s="109">
        <v>0</v>
      </c>
      <c r="CS176" s="109">
        <v>0</v>
      </c>
      <c r="CT176" s="109">
        <v>0</v>
      </c>
      <c r="CU176" s="109">
        <v>0</v>
      </c>
      <c r="CV176" s="109" t="s">
        <v>289</v>
      </c>
      <c r="CW176" s="109">
        <v>0</v>
      </c>
      <c r="CX176" s="109"/>
      <c r="CY176" s="109">
        <v>0</v>
      </c>
      <c r="CZ176" s="109" t="s">
        <v>289</v>
      </c>
      <c r="DA176" s="109">
        <v>0</v>
      </c>
      <c r="DB176" s="109"/>
      <c r="DE176" s="109">
        <v>0</v>
      </c>
      <c r="DF176" s="109" t="s">
        <v>236</v>
      </c>
      <c r="DG176" s="109" t="s">
        <v>221</v>
      </c>
      <c r="DH176" s="109" t="s">
        <v>220</v>
      </c>
      <c r="DI176" s="109">
        <v>9026067267</v>
      </c>
      <c r="DJ176" s="109" t="s">
        <v>222</v>
      </c>
      <c r="DK176" s="109">
        <v>0</v>
      </c>
      <c r="DL176" s="109" t="s">
        <v>226</v>
      </c>
      <c r="DM176" s="109">
        <v>24.63</v>
      </c>
    </row>
    <row r="177" ht="13.8" hidden="1" spans="1:117">
      <c r="A177" s="109">
        <v>2</v>
      </c>
      <c r="B177" s="109" t="s">
        <v>1285</v>
      </c>
      <c r="C177" s="109" t="s">
        <v>203</v>
      </c>
      <c r="D177" s="109" t="s">
        <v>225</v>
      </c>
      <c r="E177" s="109" t="s">
        <v>226</v>
      </c>
      <c r="F177" s="110">
        <v>46265</v>
      </c>
      <c r="G177" s="109" t="s">
        <v>240</v>
      </c>
      <c r="H177" s="109" t="s">
        <v>1286</v>
      </c>
      <c r="I177" s="109" t="s">
        <v>216</v>
      </c>
      <c r="J177" s="109" t="s">
        <v>217</v>
      </c>
      <c r="K177" s="109" t="s">
        <v>218</v>
      </c>
      <c r="L177" s="109" t="s">
        <v>219</v>
      </c>
      <c r="M177" s="207" t="s">
        <v>242</v>
      </c>
      <c r="N177" s="109" t="s">
        <v>220</v>
      </c>
      <c r="O177" s="109" t="s">
        <v>221</v>
      </c>
      <c r="P177" s="109" t="s">
        <v>243</v>
      </c>
      <c r="Q177" s="109" t="s">
        <v>216</v>
      </c>
      <c r="R177" s="109" t="s">
        <v>217</v>
      </c>
      <c r="S177" s="109" t="s">
        <v>220</v>
      </c>
      <c r="T177" s="109" t="s">
        <v>221</v>
      </c>
      <c r="U177" s="109" t="s">
        <v>216</v>
      </c>
      <c r="V177" s="109" t="s">
        <v>217</v>
      </c>
      <c r="W177" s="109" t="s">
        <v>218</v>
      </c>
      <c r="X177" s="109" t="s">
        <v>219</v>
      </c>
      <c r="Y177" s="109" t="s">
        <v>220</v>
      </c>
      <c r="Z177" s="109" t="s">
        <v>221</v>
      </c>
      <c r="AA177" s="109" t="s">
        <v>222</v>
      </c>
      <c r="AB177" s="109" t="s">
        <v>223</v>
      </c>
      <c r="AC177" s="109" t="s">
        <v>1287</v>
      </c>
      <c r="AD177" s="109" t="s">
        <v>1288</v>
      </c>
      <c r="AE177" s="109">
        <v>132</v>
      </c>
      <c r="AF177" s="109" t="s">
        <v>364</v>
      </c>
      <c r="AG177" s="109" t="s">
        <v>1289</v>
      </c>
      <c r="AH177" s="109" t="s">
        <v>297</v>
      </c>
      <c r="AI177" s="109" t="s">
        <v>1287</v>
      </c>
      <c r="AJ177" s="109" t="s">
        <v>1288</v>
      </c>
      <c r="AK177" s="109" t="s">
        <v>1289</v>
      </c>
      <c r="AL177" s="109" t="s">
        <v>297</v>
      </c>
      <c r="AM177" s="109" t="s">
        <v>366</v>
      </c>
      <c r="AN177" s="207" t="s">
        <v>1290</v>
      </c>
      <c r="AO177" s="109">
        <v>102.475</v>
      </c>
      <c r="AP177" s="109">
        <v>0</v>
      </c>
      <c r="AQ177" s="109">
        <v>9</v>
      </c>
      <c r="AR177" s="109">
        <v>0</v>
      </c>
      <c r="AS177" s="109" t="s">
        <v>252</v>
      </c>
      <c r="AT177" s="109" t="s">
        <v>229</v>
      </c>
      <c r="AU177" s="110">
        <v>46281</v>
      </c>
      <c r="AV177" s="109">
        <v>209.8</v>
      </c>
      <c r="AW177" s="109" t="s">
        <v>230</v>
      </c>
      <c r="AX177" s="109" t="s">
        <v>231</v>
      </c>
      <c r="AY177" s="109">
        <v>4523.77</v>
      </c>
      <c r="AZ177" s="109" t="s">
        <v>232</v>
      </c>
      <c r="BA177" s="109" t="s">
        <v>368</v>
      </c>
      <c r="BB177" s="109">
        <v>209.8</v>
      </c>
      <c r="BC177" s="109">
        <v>184.62</v>
      </c>
      <c r="BD177" s="109">
        <v>209.8</v>
      </c>
      <c r="BE177" s="109">
        <v>25.18</v>
      </c>
      <c r="BF177" s="111">
        <v>0.12</v>
      </c>
      <c r="BG177" s="109">
        <v>0</v>
      </c>
      <c r="BH177" s="109">
        <v>102.475</v>
      </c>
      <c r="BI177" s="109">
        <v>121.01</v>
      </c>
      <c r="BJ177" s="109">
        <v>0</v>
      </c>
      <c r="BK177" s="109">
        <v>17</v>
      </c>
      <c r="BL177" s="109">
        <v>0</v>
      </c>
      <c r="BM177" s="109">
        <v>9.76</v>
      </c>
      <c r="BN177" s="109">
        <v>6.79</v>
      </c>
      <c r="BO177" s="109">
        <v>11</v>
      </c>
      <c r="BP177" s="109">
        <v>3.23</v>
      </c>
      <c r="BQ177" s="109">
        <v>0</v>
      </c>
      <c r="BR177" s="109">
        <v>0</v>
      </c>
      <c r="BS177" s="109">
        <v>0</v>
      </c>
      <c r="BT177" s="109">
        <v>0</v>
      </c>
      <c r="BU177" s="109">
        <v>0</v>
      </c>
      <c r="BV177" s="109">
        <v>0</v>
      </c>
      <c r="BW177" s="109">
        <v>0</v>
      </c>
      <c r="BX177" s="109">
        <v>0</v>
      </c>
      <c r="BY177" s="109">
        <v>0</v>
      </c>
      <c r="BZ177" s="109">
        <v>0</v>
      </c>
      <c r="CA177" s="109">
        <v>15.83</v>
      </c>
      <c r="CB177" s="109" t="s">
        <v>225</v>
      </c>
      <c r="CC177" s="109" t="s">
        <v>369</v>
      </c>
      <c r="CD177" s="109">
        <v>425.39</v>
      </c>
      <c r="CE177" s="109">
        <v>0</v>
      </c>
      <c r="CF177" s="109">
        <v>0</v>
      </c>
      <c r="CG177" s="109">
        <v>0</v>
      </c>
      <c r="CH177" s="109">
        <v>0</v>
      </c>
      <c r="CI177" s="109">
        <v>0</v>
      </c>
      <c r="CJ177" s="109">
        <v>0</v>
      </c>
      <c r="CK177" s="109">
        <v>0</v>
      </c>
      <c r="CL177" s="109"/>
      <c r="CM177" s="109"/>
      <c r="CN177" s="109">
        <v>0</v>
      </c>
      <c r="CO177" s="109">
        <v>0</v>
      </c>
      <c r="CP177" s="109">
        <v>0</v>
      </c>
      <c r="CQ177" s="109">
        <v>0</v>
      </c>
      <c r="CR177" s="109">
        <v>0</v>
      </c>
      <c r="CS177" s="109">
        <v>0</v>
      </c>
      <c r="CT177" s="109">
        <v>0</v>
      </c>
      <c r="CU177" s="109">
        <v>15.37</v>
      </c>
      <c r="CV177" s="109" t="s">
        <v>235</v>
      </c>
      <c r="CW177" s="109">
        <v>0</v>
      </c>
      <c r="CX177" s="109"/>
      <c r="CY177" s="109">
        <v>66.99</v>
      </c>
      <c r="CZ177" s="109" t="s">
        <v>941</v>
      </c>
      <c r="DA177" s="109">
        <f>CY177</f>
        <v>66.99</v>
      </c>
      <c r="DB177" s="109"/>
      <c r="DE177" s="109">
        <v>0</v>
      </c>
      <c r="DF177" s="109" t="s">
        <v>236</v>
      </c>
      <c r="DG177" s="109" t="s">
        <v>221</v>
      </c>
      <c r="DH177" s="109" t="s">
        <v>220</v>
      </c>
      <c r="DI177" s="109">
        <v>9026067267</v>
      </c>
      <c r="DJ177" s="109" t="s">
        <v>222</v>
      </c>
      <c r="DK177" s="109">
        <v>0</v>
      </c>
      <c r="DL177" s="109" t="s">
        <v>226</v>
      </c>
      <c r="DM177" s="109">
        <v>17.38</v>
      </c>
    </row>
    <row r="178" ht="13.8" hidden="1" spans="1:117">
      <c r="A178" s="109">
        <v>2</v>
      </c>
      <c r="B178" s="109" t="s">
        <v>1291</v>
      </c>
      <c r="C178" s="109" t="s">
        <v>203</v>
      </c>
      <c r="D178" s="109" t="s">
        <v>225</v>
      </c>
      <c r="E178" s="109" t="s">
        <v>226</v>
      </c>
      <c r="F178" s="110">
        <v>46260</v>
      </c>
      <c r="G178" s="109" t="s">
        <v>240</v>
      </c>
      <c r="H178" s="109" t="s">
        <v>1292</v>
      </c>
      <c r="I178" s="109" t="s">
        <v>216</v>
      </c>
      <c r="J178" s="109" t="s">
        <v>217</v>
      </c>
      <c r="K178" s="109" t="s">
        <v>218</v>
      </c>
      <c r="L178" s="109" t="s">
        <v>219</v>
      </c>
      <c r="M178" s="207" t="s">
        <v>242</v>
      </c>
      <c r="N178" s="109" t="s">
        <v>220</v>
      </c>
      <c r="O178" s="109" t="s">
        <v>221</v>
      </c>
      <c r="P178" s="109" t="s">
        <v>243</v>
      </c>
      <c r="Q178" s="109" t="s">
        <v>216</v>
      </c>
      <c r="R178" s="109" t="s">
        <v>217</v>
      </c>
      <c r="S178" s="109" t="s">
        <v>220</v>
      </c>
      <c r="T178" s="109" t="s">
        <v>221</v>
      </c>
      <c r="U178" s="109" t="s">
        <v>216</v>
      </c>
      <c r="V178" s="109" t="s">
        <v>217</v>
      </c>
      <c r="W178" s="109" t="s">
        <v>218</v>
      </c>
      <c r="X178" s="109" t="s">
        <v>219</v>
      </c>
      <c r="Y178" s="109" t="s">
        <v>220</v>
      </c>
      <c r="Z178" s="109" t="s">
        <v>221</v>
      </c>
      <c r="AA178" s="109" t="s">
        <v>222</v>
      </c>
      <c r="AB178" s="109" t="s">
        <v>223</v>
      </c>
      <c r="AC178" s="109" t="s">
        <v>785</v>
      </c>
      <c r="AD178" s="109" t="s">
        <v>786</v>
      </c>
      <c r="AE178" s="109" t="s">
        <v>787</v>
      </c>
      <c r="AF178" s="109" t="s">
        <v>295</v>
      </c>
      <c r="AG178" s="109" t="s">
        <v>547</v>
      </c>
      <c r="AH178" s="109" t="s">
        <v>297</v>
      </c>
      <c r="AI178" s="109" t="s">
        <v>785</v>
      </c>
      <c r="AJ178" s="109" t="s">
        <v>786</v>
      </c>
      <c r="AK178" s="109" t="s">
        <v>547</v>
      </c>
      <c r="AL178" s="109" t="s">
        <v>297</v>
      </c>
      <c r="AM178" s="109" t="s">
        <v>298</v>
      </c>
      <c r="AN178" s="207" t="s">
        <v>1293</v>
      </c>
      <c r="AO178" s="109">
        <v>32.16</v>
      </c>
      <c r="AP178" s="109">
        <v>0</v>
      </c>
      <c r="AQ178" s="109">
        <v>3</v>
      </c>
      <c r="AR178" s="109">
        <v>0</v>
      </c>
      <c r="AS178" s="109" t="s">
        <v>252</v>
      </c>
      <c r="AT178" s="109" t="s">
        <v>229</v>
      </c>
      <c r="AU178" s="110">
        <v>46274</v>
      </c>
      <c r="AV178" s="109">
        <v>116.92</v>
      </c>
      <c r="AW178" s="109" t="s">
        <v>230</v>
      </c>
      <c r="AX178" s="109" t="s">
        <v>230</v>
      </c>
      <c r="AY178" s="109">
        <v>2240.42</v>
      </c>
      <c r="AZ178" s="109" t="s">
        <v>232</v>
      </c>
      <c r="BA178" s="109" t="s">
        <v>300</v>
      </c>
      <c r="BB178" s="109">
        <v>117.6</v>
      </c>
      <c r="BC178" s="109">
        <v>103.49</v>
      </c>
      <c r="BD178" s="109">
        <v>117.6</v>
      </c>
      <c r="BE178" s="109">
        <v>14.11</v>
      </c>
      <c r="BF178" s="111">
        <v>0.12</v>
      </c>
      <c r="BG178" s="109">
        <v>0</v>
      </c>
      <c r="BH178" s="109">
        <v>32.16</v>
      </c>
      <c r="BI178" s="109">
        <v>56.8</v>
      </c>
      <c r="BJ178" s="109">
        <v>0</v>
      </c>
      <c r="BK178" s="109">
        <v>17</v>
      </c>
      <c r="BL178" s="109">
        <v>0</v>
      </c>
      <c r="BM178" s="109">
        <v>9.76</v>
      </c>
      <c r="BN178" s="109">
        <v>3.36</v>
      </c>
      <c r="BO178" s="109">
        <v>5.5</v>
      </c>
      <c r="BP178" s="109">
        <v>3.23</v>
      </c>
      <c r="BQ178" s="109">
        <v>0</v>
      </c>
      <c r="BR178" s="109">
        <v>0</v>
      </c>
      <c r="BS178" s="109">
        <v>0</v>
      </c>
      <c r="BT178" s="109">
        <v>0</v>
      </c>
      <c r="BU178" s="109">
        <v>0</v>
      </c>
      <c r="BV178" s="109">
        <v>0</v>
      </c>
      <c r="BW178" s="109">
        <v>0</v>
      </c>
      <c r="BX178" s="109">
        <v>0</v>
      </c>
      <c r="BY178" s="109">
        <v>0</v>
      </c>
      <c r="BZ178" s="109">
        <v>0</v>
      </c>
      <c r="CA178" s="109">
        <v>7.84</v>
      </c>
      <c r="CB178" s="109" t="s">
        <v>225</v>
      </c>
      <c r="CC178" s="109" t="s">
        <v>295</v>
      </c>
      <c r="CD178" s="109">
        <v>392.26</v>
      </c>
      <c r="CE178" s="109">
        <v>0</v>
      </c>
      <c r="CF178" s="109">
        <v>0</v>
      </c>
      <c r="CG178" s="109">
        <v>0</v>
      </c>
      <c r="CH178" s="109">
        <v>0</v>
      </c>
      <c r="CI178" s="109">
        <v>0</v>
      </c>
      <c r="CJ178" s="109">
        <v>0</v>
      </c>
      <c r="CK178" s="109">
        <v>0</v>
      </c>
      <c r="CL178" s="109"/>
      <c r="CM178" s="109"/>
      <c r="CN178" s="109">
        <v>0</v>
      </c>
      <c r="CO178" s="109">
        <v>0</v>
      </c>
      <c r="CP178" s="109">
        <v>0</v>
      </c>
      <c r="CQ178" s="109">
        <v>0</v>
      </c>
      <c r="CR178" s="109">
        <v>0</v>
      </c>
      <c r="CS178" s="109">
        <v>0</v>
      </c>
      <c r="CT178" s="109">
        <v>0</v>
      </c>
      <c r="CU178" s="109">
        <v>12</v>
      </c>
      <c r="CV178" s="109" t="s">
        <v>235</v>
      </c>
      <c r="CW178" s="109">
        <v>0</v>
      </c>
      <c r="CX178" s="109"/>
      <c r="CY178" s="109">
        <v>18</v>
      </c>
      <c r="CZ178" s="109" t="s">
        <v>235</v>
      </c>
      <c r="DA178" s="109">
        <v>0</v>
      </c>
      <c r="DB178" s="109"/>
      <c r="DE178" s="109">
        <v>0</v>
      </c>
      <c r="DF178" s="109" t="s">
        <v>236</v>
      </c>
      <c r="DG178" s="109" t="s">
        <v>221</v>
      </c>
      <c r="DH178" s="109" t="s">
        <v>220</v>
      </c>
      <c r="DI178" s="109">
        <v>9026067267</v>
      </c>
      <c r="DJ178" s="109" t="s">
        <v>222</v>
      </c>
      <c r="DK178" s="109">
        <v>0</v>
      </c>
      <c r="DL178" s="109" t="s">
        <v>226</v>
      </c>
      <c r="DM178" s="109">
        <v>14.11</v>
      </c>
    </row>
    <row r="179" ht="13.8" hidden="1" spans="1:117">
      <c r="A179" s="109">
        <v>2</v>
      </c>
      <c r="B179" s="109" t="s">
        <v>1294</v>
      </c>
      <c r="C179" s="109" t="s">
        <v>203</v>
      </c>
      <c r="D179" s="109" t="s">
        <v>225</v>
      </c>
      <c r="E179" s="109" t="s">
        <v>226</v>
      </c>
      <c r="F179" s="110">
        <v>46261</v>
      </c>
      <c r="G179" s="109" t="s">
        <v>240</v>
      </c>
      <c r="H179" s="109" t="s">
        <v>1295</v>
      </c>
      <c r="I179" s="109" t="s">
        <v>216</v>
      </c>
      <c r="J179" s="109" t="s">
        <v>217</v>
      </c>
      <c r="K179" s="109" t="s">
        <v>218</v>
      </c>
      <c r="L179" s="109" t="s">
        <v>219</v>
      </c>
      <c r="M179" s="207" t="s">
        <v>242</v>
      </c>
      <c r="N179" s="109" t="s">
        <v>220</v>
      </c>
      <c r="O179" s="109" t="s">
        <v>221</v>
      </c>
      <c r="P179" s="109" t="s">
        <v>243</v>
      </c>
      <c r="Q179" s="109" t="s">
        <v>216</v>
      </c>
      <c r="R179" s="109" t="s">
        <v>217</v>
      </c>
      <c r="S179" s="109" t="s">
        <v>220</v>
      </c>
      <c r="T179" s="109" t="s">
        <v>221</v>
      </c>
      <c r="U179" s="109" t="s">
        <v>216</v>
      </c>
      <c r="V179" s="109" t="s">
        <v>217</v>
      </c>
      <c r="W179" s="109" t="s">
        <v>218</v>
      </c>
      <c r="X179" s="109" t="s">
        <v>219</v>
      </c>
      <c r="Y179" s="109" t="s">
        <v>220</v>
      </c>
      <c r="Z179" s="109" t="s">
        <v>221</v>
      </c>
      <c r="AA179" s="109" t="s">
        <v>222</v>
      </c>
      <c r="AB179" s="109" t="s">
        <v>223</v>
      </c>
      <c r="AC179" s="109" t="s">
        <v>1296</v>
      </c>
      <c r="AD179" s="109" t="s">
        <v>1297</v>
      </c>
      <c r="AE179" s="109" t="s">
        <v>659</v>
      </c>
      <c r="AF179" s="109" t="s">
        <v>247</v>
      </c>
      <c r="AG179" s="109" t="s">
        <v>660</v>
      </c>
      <c r="AH179" s="109" t="s">
        <v>249</v>
      </c>
      <c r="AI179" s="109" t="s">
        <v>1296</v>
      </c>
      <c r="AJ179" s="109" t="s">
        <v>1297</v>
      </c>
      <c r="AK179" s="109" t="s">
        <v>660</v>
      </c>
      <c r="AL179" s="109" t="s">
        <v>249</v>
      </c>
      <c r="AM179" s="109" t="s">
        <v>250</v>
      </c>
      <c r="AN179" s="207" t="s">
        <v>1298</v>
      </c>
      <c r="AO179" s="109">
        <v>115.181</v>
      </c>
      <c r="AP179" s="109">
        <v>0</v>
      </c>
      <c r="AQ179" s="109">
        <v>13</v>
      </c>
      <c r="AR179" s="109">
        <v>0</v>
      </c>
      <c r="AS179" s="109" t="s">
        <v>252</v>
      </c>
      <c r="AT179" s="109" t="s">
        <v>229</v>
      </c>
      <c r="AU179" s="110">
        <v>46274</v>
      </c>
      <c r="AV179" s="109">
        <v>183.35</v>
      </c>
      <c r="AW179" s="109" t="s">
        <v>230</v>
      </c>
      <c r="AX179" s="109" t="s">
        <v>231</v>
      </c>
      <c r="AY179" s="109">
        <v>3525.39</v>
      </c>
      <c r="AZ179" s="109" t="s">
        <v>232</v>
      </c>
      <c r="BA179" s="109" t="s">
        <v>253</v>
      </c>
      <c r="BB179" s="109">
        <v>184.42</v>
      </c>
      <c r="BC179" s="109">
        <v>162.29</v>
      </c>
      <c r="BD179" s="109">
        <v>184.42</v>
      </c>
      <c r="BE179" s="109">
        <v>22.13</v>
      </c>
      <c r="BF179" s="111">
        <v>0.12</v>
      </c>
      <c r="BG179" s="109">
        <v>0</v>
      </c>
      <c r="BH179" s="109">
        <v>115.181</v>
      </c>
      <c r="BI179" s="109">
        <v>103.67</v>
      </c>
      <c r="BJ179" s="109">
        <v>0</v>
      </c>
      <c r="BK179" s="109">
        <v>17</v>
      </c>
      <c r="BL179" s="109">
        <v>0</v>
      </c>
      <c r="BM179" s="109">
        <v>9.76</v>
      </c>
      <c r="BN179" s="109">
        <v>5.29</v>
      </c>
      <c r="BO179" s="109">
        <v>11</v>
      </c>
      <c r="BP179" s="109">
        <v>3.23</v>
      </c>
      <c r="BQ179" s="109">
        <v>0</v>
      </c>
      <c r="BR179" s="109">
        <v>0</v>
      </c>
      <c r="BS179" s="109">
        <v>0</v>
      </c>
      <c r="BT179" s="109">
        <v>0</v>
      </c>
      <c r="BU179" s="109">
        <v>0</v>
      </c>
      <c r="BV179" s="109">
        <v>0</v>
      </c>
      <c r="BW179" s="109">
        <v>0</v>
      </c>
      <c r="BX179" s="109">
        <v>0</v>
      </c>
      <c r="BY179" s="109">
        <v>0</v>
      </c>
      <c r="BZ179" s="109">
        <v>0</v>
      </c>
      <c r="CA179" s="109">
        <v>12.34</v>
      </c>
      <c r="CB179" s="109" t="s">
        <v>225</v>
      </c>
      <c r="CC179" s="109" t="s">
        <v>247</v>
      </c>
      <c r="CD179" s="109">
        <v>410.92</v>
      </c>
      <c r="CE179" s="109">
        <v>0</v>
      </c>
      <c r="CF179" s="109">
        <v>0</v>
      </c>
      <c r="CG179" s="109">
        <v>0</v>
      </c>
      <c r="CH179" s="109">
        <v>0</v>
      </c>
      <c r="CI179" s="109">
        <v>0</v>
      </c>
      <c r="CJ179" s="109">
        <v>0</v>
      </c>
      <c r="CK179" s="109">
        <v>0</v>
      </c>
      <c r="CL179" s="109"/>
      <c r="CM179" s="109"/>
      <c r="CN179" s="109">
        <v>0</v>
      </c>
      <c r="CO179" s="109">
        <v>0</v>
      </c>
      <c r="CP179" s="109">
        <v>0</v>
      </c>
      <c r="CQ179" s="109">
        <v>0</v>
      </c>
      <c r="CR179" s="109">
        <v>0</v>
      </c>
      <c r="CS179" s="109">
        <v>0</v>
      </c>
      <c r="CT179" s="109">
        <v>0</v>
      </c>
      <c r="CU179" s="109">
        <v>17.28</v>
      </c>
      <c r="CV179" s="109" t="s">
        <v>235</v>
      </c>
      <c r="CW179" s="109">
        <v>0</v>
      </c>
      <c r="CX179" s="109"/>
      <c r="CY179" s="109">
        <v>20.73</v>
      </c>
      <c r="CZ179" s="109" t="s">
        <v>941</v>
      </c>
      <c r="DA179" s="109">
        <v>0</v>
      </c>
      <c r="DB179" s="109"/>
      <c r="DE179" s="109">
        <v>0</v>
      </c>
      <c r="DF179" s="109" t="s">
        <v>236</v>
      </c>
      <c r="DG179" s="109" t="s">
        <v>221</v>
      </c>
      <c r="DH179" s="109" t="s">
        <v>220</v>
      </c>
      <c r="DI179" s="109">
        <v>9026067267</v>
      </c>
      <c r="DJ179" s="109" t="s">
        <v>222</v>
      </c>
      <c r="DK179" s="109">
        <v>0</v>
      </c>
      <c r="DL179" s="109" t="s">
        <v>226</v>
      </c>
      <c r="DM179" s="109">
        <v>22.13</v>
      </c>
    </row>
    <row r="180" ht="13.8" hidden="1" spans="1:117">
      <c r="A180" s="109">
        <v>2</v>
      </c>
      <c r="B180" s="109" t="s">
        <v>1299</v>
      </c>
      <c r="C180" s="109" t="s">
        <v>203</v>
      </c>
      <c r="D180" s="109" t="s">
        <v>225</v>
      </c>
      <c r="E180" s="109" t="s">
        <v>226</v>
      </c>
      <c r="F180" s="110">
        <v>46261</v>
      </c>
      <c r="G180" s="109" t="s">
        <v>240</v>
      </c>
      <c r="H180" s="109" t="s">
        <v>1300</v>
      </c>
      <c r="I180" s="109" t="s">
        <v>216</v>
      </c>
      <c r="J180" s="109" t="s">
        <v>217</v>
      </c>
      <c r="K180" s="109" t="s">
        <v>218</v>
      </c>
      <c r="L180" s="109" t="s">
        <v>219</v>
      </c>
      <c r="M180" s="207" t="s">
        <v>242</v>
      </c>
      <c r="N180" s="109" t="s">
        <v>220</v>
      </c>
      <c r="O180" s="109" t="s">
        <v>221</v>
      </c>
      <c r="P180" s="109" t="s">
        <v>243</v>
      </c>
      <c r="Q180" s="109" t="s">
        <v>216</v>
      </c>
      <c r="R180" s="109" t="s">
        <v>217</v>
      </c>
      <c r="S180" s="109" t="s">
        <v>220</v>
      </c>
      <c r="T180" s="109" t="s">
        <v>221</v>
      </c>
      <c r="U180" s="109" t="s">
        <v>216</v>
      </c>
      <c r="V180" s="109" t="s">
        <v>217</v>
      </c>
      <c r="W180" s="109" t="s">
        <v>218</v>
      </c>
      <c r="X180" s="109" t="s">
        <v>219</v>
      </c>
      <c r="Y180" s="109" t="s">
        <v>220</v>
      </c>
      <c r="Z180" s="109" t="s">
        <v>221</v>
      </c>
      <c r="AA180" s="109" t="s">
        <v>222</v>
      </c>
      <c r="AB180" s="109" t="s">
        <v>223</v>
      </c>
      <c r="AC180" s="109" t="s">
        <v>1301</v>
      </c>
      <c r="AD180" s="109" t="s">
        <v>1302</v>
      </c>
      <c r="AE180" s="109" t="s">
        <v>246</v>
      </c>
      <c r="AF180" s="109" t="s">
        <v>247</v>
      </c>
      <c r="AG180" s="109" t="s">
        <v>248</v>
      </c>
      <c r="AH180" s="109" t="s">
        <v>249</v>
      </c>
      <c r="AI180" s="109" t="s">
        <v>1301</v>
      </c>
      <c r="AJ180" s="109" t="s">
        <v>1302</v>
      </c>
      <c r="AK180" s="109" t="s">
        <v>248</v>
      </c>
      <c r="AL180" s="109" t="s">
        <v>249</v>
      </c>
      <c r="AM180" s="109" t="s">
        <v>250</v>
      </c>
      <c r="AN180" s="207" t="s">
        <v>1303</v>
      </c>
      <c r="AO180" s="109">
        <v>106.4</v>
      </c>
      <c r="AP180" s="109">
        <v>0</v>
      </c>
      <c r="AQ180" s="109">
        <v>8</v>
      </c>
      <c r="AR180" s="109">
        <v>0</v>
      </c>
      <c r="AS180" s="109" t="s">
        <v>252</v>
      </c>
      <c r="AT180" s="109" t="s">
        <v>229</v>
      </c>
      <c r="AU180" s="110">
        <v>46274</v>
      </c>
      <c r="AV180" s="109">
        <v>177.86</v>
      </c>
      <c r="AW180" s="109" t="s">
        <v>230</v>
      </c>
      <c r="AX180" s="109" t="s">
        <v>230</v>
      </c>
      <c r="AY180" s="109">
        <v>4132.2</v>
      </c>
      <c r="AZ180" s="109" t="s">
        <v>232</v>
      </c>
      <c r="BA180" s="109" t="s">
        <v>253</v>
      </c>
      <c r="BB180" s="109">
        <v>178.89</v>
      </c>
      <c r="BC180" s="109">
        <v>157.42</v>
      </c>
      <c r="BD180" s="109">
        <v>178.89</v>
      </c>
      <c r="BE180" s="109">
        <v>21.47</v>
      </c>
      <c r="BF180" s="111">
        <v>0.12</v>
      </c>
      <c r="BG180" s="109">
        <v>0</v>
      </c>
      <c r="BH180" s="109">
        <v>106.4</v>
      </c>
      <c r="BI180" s="109">
        <v>95.77</v>
      </c>
      <c r="BJ180" s="109">
        <v>0</v>
      </c>
      <c r="BK180" s="109">
        <v>17</v>
      </c>
      <c r="BL180" s="109">
        <v>0</v>
      </c>
      <c r="BM180" s="109">
        <v>9.76</v>
      </c>
      <c r="BN180" s="109">
        <v>6.2</v>
      </c>
      <c r="BO180" s="109">
        <v>11</v>
      </c>
      <c r="BP180" s="109">
        <v>3.23</v>
      </c>
      <c r="BQ180" s="109">
        <v>0</v>
      </c>
      <c r="BR180" s="109">
        <v>0</v>
      </c>
      <c r="BS180" s="109">
        <v>0</v>
      </c>
      <c r="BT180" s="109">
        <v>0</v>
      </c>
      <c r="BU180" s="109">
        <v>0</v>
      </c>
      <c r="BV180" s="109">
        <v>0</v>
      </c>
      <c r="BW180" s="109">
        <v>0</v>
      </c>
      <c r="BX180" s="109">
        <v>0</v>
      </c>
      <c r="BY180" s="109">
        <v>0</v>
      </c>
      <c r="BZ180" s="109">
        <v>0</v>
      </c>
      <c r="CA180" s="109">
        <v>14.46</v>
      </c>
      <c r="CB180" s="109" t="s">
        <v>225</v>
      </c>
      <c r="CC180" s="109" t="s">
        <v>247</v>
      </c>
      <c r="CD180" s="109">
        <v>419.63</v>
      </c>
      <c r="CE180" s="109">
        <v>0</v>
      </c>
      <c r="CF180" s="109">
        <v>0</v>
      </c>
      <c r="CG180" s="109">
        <v>0</v>
      </c>
      <c r="CH180" s="109">
        <v>0</v>
      </c>
      <c r="CI180" s="109">
        <v>0</v>
      </c>
      <c r="CJ180" s="109">
        <v>0</v>
      </c>
      <c r="CK180" s="109">
        <v>0</v>
      </c>
      <c r="CL180" s="109"/>
      <c r="CM180" s="109"/>
      <c r="CN180" s="109">
        <v>0</v>
      </c>
      <c r="CO180" s="109">
        <v>0</v>
      </c>
      <c r="CP180" s="109">
        <v>0</v>
      </c>
      <c r="CQ180" s="109">
        <v>0</v>
      </c>
      <c r="CR180" s="109">
        <v>0</v>
      </c>
      <c r="CS180" s="109">
        <v>0</v>
      </c>
      <c r="CT180" s="109">
        <v>0</v>
      </c>
      <c r="CU180" s="109">
        <v>15.96</v>
      </c>
      <c r="CV180" s="109" t="s">
        <v>235</v>
      </c>
      <c r="CW180" s="109">
        <v>0</v>
      </c>
      <c r="CX180" s="109"/>
      <c r="CY180" s="109">
        <v>19.15</v>
      </c>
      <c r="CZ180" s="109" t="s">
        <v>941</v>
      </c>
      <c r="DA180" s="109">
        <v>0</v>
      </c>
      <c r="DB180" s="109"/>
      <c r="DE180" s="109">
        <v>0</v>
      </c>
      <c r="DF180" s="109" t="s">
        <v>236</v>
      </c>
      <c r="DG180" s="109" t="s">
        <v>221</v>
      </c>
      <c r="DH180" s="109" t="s">
        <v>220</v>
      </c>
      <c r="DI180" s="109">
        <v>9026067267</v>
      </c>
      <c r="DJ180" s="109" t="s">
        <v>222</v>
      </c>
      <c r="DK180" s="109">
        <v>0</v>
      </c>
      <c r="DL180" s="109" t="s">
        <v>226</v>
      </c>
      <c r="DM180" s="109">
        <v>21.47</v>
      </c>
    </row>
    <row r="181" ht="13.8" hidden="1" spans="1:117">
      <c r="A181" s="109">
        <v>2</v>
      </c>
      <c r="B181" s="109" t="s">
        <v>1304</v>
      </c>
      <c r="C181" s="109" t="s">
        <v>203</v>
      </c>
      <c r="D181" s="109" t="s">
        <v>225</v>
      </c>
      <c r="E181" s="109" t="s">
        <v>226</v>
      </c>
      <c r="F181" s="110">
        <v>46261</v>
      </c>
      <c r="G181" s="109" t="s">
        <v>240</v>
      </c>
      <c r="H181" s="109" t="s">
        <v>1305</v>
      </c>
      <c r="I181" s="109" t="s">
        <v>216</v>
      </c>
      <c r="J181" s="109" t="s">
        <v>217</v>
      </c>
      <c r="K181" s="109" t="s">
        <v>218</v>
      </c>
      <c r="L181" s="109" t="s">
        <v>219</v>
      </c>
      <c r="M181" s="207" t="s">
        <v>242</v>
      </c>
      <c r="N181" s="109" t="s">
        <v>220</v>
      </c>
      <c r="O181" s="109" t="s">
        <v>221</v>
      </c>
      <c r="P181" s="109" t="s">
        <v>243</v>
      </c>
      <c r="Q181" s="109" t="s">
        <v>216</v>
      </c>
      <c r="R181" s="109" t="s">
        <v>217</v>
      </c>
      <c r="S181" s="109" t="s">
        <v>220</v>
      </c>
      <c r="T181" s="109" t="s">
        <v>221</v>
      </c>
      <c r="U181" s="109" t="s">
        <v>216</v>
      </c>
      <c r="V181" s="109" t="s">
        <v>217</v>
      </c>
      <c r="W181" s="109" t="s">
        <v>218</v>
      </c>
      <c r="X181" s="109" t="s">
        <v>219</v>
      </c>
      <c r="Y181" s="109" t="s">
        <v>220</v>
      </c>
      <c r="Z181" s="109" t="s">
        <v>221</v>
      </c>
      <c r="AA181" s="109" t="s">
        <v>222</v>
      </c>
      <c r="AB181" s="109" t="s">
        <v>223</v>
      </c>
      <c r="AC181" s="109" t="s">
        <v>1306</v>
      </c>
      <c r="AD181" s="109" t="s">
        <v>1307</v>
      </c>
      <c r="AE181" s="109">
        <v>365</v>
      </c>
      <c r="AF181" s="109" t="s">
        <v>284</v>
      </c>
      <c r="AG181" s="109" t="s">
        <v>1308</v>
      </c>
      <c r="AH181" s="109" t="s">
        <v>214</v>
      </c>
      <c r="AI181" s="109" t="s">
        <v>1306</v>
      </c>
      <c r="AJ181" s="109" t="s">
        <v>1307</v>
      </c>
      <c r="AK181" s="109" t="s">
        <v>1308</v>
      </c>
      <c r="AL181" s="109" t="s">
        <v>214</v>
      </c>
      <c r="AM181" s="109" t="s">
        <v>286</v>
      </c>
      <c r="AN181" s="207" t="s">
        <v>1309</v>
      </c>
      <c r="AO181" s="109">
        <v>99</v>
      </c>
      <c r="AP181" s="109">
        <v>0</v>
      </c>
      <c r="AQ181" s="109">
        <v>11</v>
      </c>
      <c r="AR181" s="109">
        <v>0</v>
      </c>
      <c r="AS181" s="109" t="s">
        <v>252</v>
      </c>
      <c r="AT181" s="109" t="s">
        <v>229</v>
      </c>
      <c r="AU181" s="110">
        <v>46274</v>
      </c>
      <c r="AV181" s="109">
        <v>211.61</v>
      </c>
      <c r="AW181" s="109" t="s">
        <v>230</v>
      </c>
      <c r="AX181" s="109" t="s">
        <v>230</v>
      </c>
      <c r="AY181" s="109">
        <v>5022.69</v>
      </c>
      <c r="AZ181" s="109" t="s">
        <v>232</v>
      </c>
      <c r="BA181" s="109" t="s">
        <v>288</v>
      </c>
      <c r="BB181" s="109">
        <v>212.84</v>
      </c>
      <c r="BC181" s="109">
        <v>187.3</v>
      </c>
      <c r="BD181" s="109">
        <v>212.84</v>
      </c>
      <c r="BE181" s="109">
        <v>25.54</v>
      </c>
      <c r="BF181" s="111">
        <v>0.12</v>
      </c>
      <c r="BG181" s="109">
        <v>0</v>
      </c>
      <c r="BH181" s="109">
        <v>99</v>
      </c>
      <c r="BI181" s="109">
        <v>126.7</v>
      </c>
      <c r="BJ181" s="109">
        <v>0</v>
      </c>
      <c r="BK181" s="109">
        <v>17</v>
      </c>
      <c r="BL181" s="109">
        <v>0</v>
      </c>
      <c r="BM181" s="109">
        <v>9.76</v>
      </c>
      <c r="BN181" s="109">
        <v>7.53</v>
      </c>
      <c r="BO181" s="109">
        <v>5.5</v>
      </c>
      <c r="BP181" s="109">
        <v>3.23</v>
      </c>
      <c r="BQ181" s="109">
        <v>0</v>
      </c>
      <c r="BR181" s="109">
        <v>0</v>
      </c>
      <c r="BS181" s="109">
        <v>0</v>
      </c>
      <c r="BT181" s="109">
        <v>0</v>
      </c>
      <c r="BU181" s="109">
        <v>0</v>
      </c>
      <c r="BV181" s="109">
        <v>0</v>
      </c>
      <c r="BW181" s="109">
        <v>0</v>
      </c>
      <c r="BX181" s="109">
        <v>0</v>
      </c>
      <c r="BY181" s="109">
        <v>0</v>
      </c>
      <c r="BZ181" s="109">
        <v>0</v>
      </c>
      <c r="CA181" s="109">
        <v>17.58</v>
      </c>
      <c r="CB181" s="109" t="s">
        <v>225</v>
      </c>
      <c r="CC181" s="109" t="s">
        <v>284</v>
      </c>
      <c r="CD181" s="109">
        <v>432.6</v>
      </c>
      <c r="CE181" s="109">
        <v>0</v>
      </c>
      <c r="CF181" s="109">
        <v>0</v>
      </c>
      <c r="CG181" s="109">
        <v>0</v>
      </c>
      <c r="CH181" s="109">
        <v>0</v>
      </c>
      <c r="CI181" s="109">
        <v>0</v>
      </c>
      <c r="CJ181" s="109">
        <v>0</v>
      </c>
      <c r="CK181" s="109">
        <v>0</v>
      </c>
      <c r="CL181" s="109"/>
      <c r="CM181" s="109"/>
      <c r="CN181" s="109">
        <v>0</v>
      </c>
      <c r="CO181" s="109">
        <v>0</v>
      </c>
      <c r="CP181" s="109">
        <v>0</v>
      </c>
      <c r="CQ181" s="109">
        <v>0</v>
      </c>
      <c r="CR181" s="109">
        <v>0</v>
      </c>
      <c r="CS181" s="109">
        <v>0</v>
      </c>
      <c r="CT181" s="109">
        <v>0</v>
      </c>
      <c r="CU181" s="109">
        <v>14.85</v>
      </c>
      <c r="CV181" s="109" t="s">
        <v>235</v>
      </c>
      <c r="CW181" s="109">
        <v>0</v>
      </c>
      <c r="CX181" s="109"/>
      <c r="CY181" s="109">
        <v>49.5</v>
      </c>
      <c r="CZ181" s="109" t="s">
        <v>289</v>
      </c>
      <c r="DA181" s="109">
        <f>CY181</f>
        <v>49.5</v>
      </c>
      <c r="DB181" s="109"/>
      <c r="DE181" s="109">
        <v>0</v>
      </c>
      <c r="DF181" s="109" t="s">
        <v>236</v>
      </c>
      <c r="DG181" s="109" t="s">
        <v>221</v>
      </c>
      <c r="DH181" s="109" t="s">
        <v>220</v>
      </c>
      <c r="DI181" s="109">
        <v>9026067267</v>
      </c>
      <c r="DJ181" s="109" t="s">
        <v>222</v>
      </c>
      <c r="DK181" s="109">
        <v>0</v>
      </c>
      <c r="DL181" s="109" t="s">
        <v>226</v>
      </c>
      <c r="DM181" s="109">
        <v>25.54</v>
      </c>
    </row>
    <row r="182" ht="13.8" hidden="1" spans="1:117">
      <c r="A182" s="109">
        <v>2</v>
      </c>
      <c r="B182" s="109" t="s">
        <v>1310</v>
      </c>
      <c r="C182" s="109" t="s">
        <v>203</v>
      </c>
      <c r="D182" s="109" t="s">
        <v>225</v>
      </c>
      <c r="E182" s="109" t="s">
        <v>226</v>
      </c>
      <c r="F182" s="110">
        <v>46262</v>
      </c>
      <c r="G182" s="109" t="s">
        <v>1048</v>
      </c>
      <c r="H182" s="109" t="s">
        <v>1311</v>
      </c>
      <c r="I182" s="109" t="s">
        <v>216</v>
      </c>
      <c r="J182" s="109" t="s">
        <v>217</v>
      </c>
      <c r="K182" s="109" t="s">
        <v>218</v>
      </c>
      <c r="L182" s="109" t="s">
        <v>219</v>
      </c>
      <c r="M182" s="207" t="s">
        <v>242</v>
      </c>
      <c r="N182" s="109" t="s">
        <v>220</v>
      </c>
      <c r="O182" s="109" t="s">
        <v>221</v>
      </c>
      <c r="P182" s="109" t="s">
        <v>243</v>
      </c>
      <c r="Q182" s="109" t="s">
        <v>216</v>
      </c>
      <c r="R182" s="109" t="s">
        <v>217</v>
      </c>
      <c r="S182" s="109" t="s">
        <v>220</v>
      </c>
      <c r="T182" s="109" t="s">
        <v>221</v>
      </c>
      <c r="U182" s="109" t="s">
        <v>216</v>
      </c>
      <c r="V182" s="109" t="s">
        <v>217</v>
      </c>
      <c r="W182" s="109" t="s">
        <v>218</v>
      </c>
      <c r="X182" s="109" t="s">
        <v>219</v>
      </c>
      <c r="Y182" s="109" t="s">
        <v>220</v>
      </c>
      <c r="Z182" s="109" t="s">
        <v>221</v>
      </c>
      <c r="AA182" s="109" t="s">
        <v>222</v>
      </c>
      <c r="AB182" s="109" t="s">
        <v>223</v>
      </c>
      <c r="AC182" s="109" t="s">
        <v>1312</v>
      </c>
      <c r="AD182" s="109" t="s">
        <v>1313</v>
      </c>
      <c r="AE182" s="109">
        <v>140</v>
      </c>
      <c r="AF182" s="109" t="s">
        <v>804</v>
      </c>
      <c r="AG182" s="109" t="s">
        <v>915</v>
      </c>
      <c r="AH182" s="109" t="s">
        <v>297</v>
      </c>
      <c r="AI182" s="109" t="s">
        <v>1312</v>
      </c>
      <c r="AJ182" s="109" t="s">
        <v>1313</v>
      </c>
      <c r="AK182" s="109" t="s">
        <v>915</v>
      </c>
      <c r="AL182" s="109" t="s">
        <v>297</v>
      </c>
      <c r="AM182" s="109" t="s">
        <v>806</v>
      </c>
      <c r="AN182" s="207" t="s">
        <v>1314</v>
      </c>
      <c r="AO182" s="109">
        <v>33.2</v>
      </c>
      <c r="AP182" s="109">
        <v>0</v>
      </c>
      <c r="AQ182" s="109">
        <v>4</v>
      </c>
      <c r="AR182" s="109">
        <v>0</v>
      </c>
      <c r="AS182" s="109" t="s">
        <v>252</v>
      </c>
      <c r="AT182" s="109" t="s">
        <v>229</v>
      </c>
      <c r="AU182" s="110">
        <v>46274</v>
      </c>
      <c r="AV182" s="109">
        <v>151.96</v>
      </c>
      <c r="AW182" s="109" t="s">
        <v>230</v>
      </c>
      <c r="AX182" s="109" t="s">
        <v>230</v>
      </c>
      <c r="AY182" s="109">
        <v>4957.24</v>
      </c>
      <c r="AZ182" s="109" t="s">
        <v>232</v>
      </c>
      <c r="BA182" s="109" t="s">
        <v>557</v>
      </c>
      <c r="BB182" s="109">
        <v>152.84</v>
      </c>
      <c r="BC182" s="109">
        <v>134.5</v>
      </c>
      <c r="BD182" s="109">
        <v>152.84</v>
      </c>
      <c r="BE182" s="109">
        <v>18.34</v>
      </c>
      <c r="BF182" s="111">
        <v>0.12</v>
      </c>
      <c r="BG182" s="109">
        <v>0</v>
      </c>
      <c r="BH182" s="109">
        <v>33.2</v>
      </c>
      <c r="BI182" s="109">
        <v>74.22</v>
      </c>
      <c r="BJ182" s="109">
        <v>0</v>
      </c>
      <c r="BK182" s="109">
        <v>17</v>
      </c>
      <c r="BL182" s="109">
        <v>0</v>
      </c>
      <c r="BM182" s="109">
        <v>9.76</v>
      </c>
      <c r="BN182" s="109">
        <v>7.44</v>
      </c>
      <c r="BO182" s="109">
        <v>5.5</v>
      </c>
      <c r="BP182" s="109">
        <v>3.23</v>
      </c>
      <c r="BQ182" s="109">
        <v>0</v>
      </c>
      <c r="BR182" s="109">
        <v>0</v>
      </c>
      <c r="BS182" s="109">
        <v>0</v>
      </c>
      <c r="BT182" s="109">
        <v>0</v>
      </c>
      <c r="BU182" s="109">
        <v>0</v>
      </c>
      <c r="BV182" s="109">
        <v>0</v>
      </c>
      <c r="BW182" s="109">
        <v>0</v>
      </c>
      <c r="BX182" s="109">
        <v>0</v>
      </c>
      <c r="BY182" s="109">
        <v>0</v>
      </c>
      <c r="BZ182" s="109">
        <v>0</v>
      </c>
      <c r="CA182" s="109">
        <v>17.35</v>
      </c>
      <c r="CB182" s="109" t="s">
        <v>225</v>
      </c>
      <c r="CC182" s="109" t="s">
        <v>558</v>
      </c>
      <c r="CD182" s="109">
        <v>431.63</v>
      </c>
      <c r="CE182" s="109">
        <v>0</v>
      </c>
      <c r="CF182" s="109">
        <v>0</v>
      </c>
      <c r="CG182" s="109">
        <v>0</v>
      </c>
      <c r="CH182" s="109">
        <v>0</v>
      </c>
      <c r="CI182" s="109">
        <v>0</v>
      </c>
      <c r="CJ182" s="109">
        <v>0</v>
      </c>
      <c r="CK182" s="109">
        <v>0</v>
      </c>
      <c r="CL182" s="109"/>
      <c r="CM182" s="109"/>
      <c r="CN182" s="109">
        <v>0</v>
      </c>
      <c r="CO182" s="109">
        <v>0</v>
      </c>
      <c r="CP182" s="109">
        <v>0</v>
      </c>
      <c r="CQ182" s="109">
        <v>0</v>
      </c>
      <c r="CR182" s="109">
        <v>0</v>
      </c>
      <c r="CS182" s="109">
        <v>0</v>
      </c>
      <c r="CT182" s="109">
        <v>0</v>
      </c>
      <c r="CU182" s="109">
        <v>12</v>
      </c>
      <c r="CV182" s="109" t="s">
        <v>235</v>
      </c>
      <c r="CW182" s="109">
        <v>0</v>
      </c>
      <c r="CX182" s="109"/>
      <c r="CY182" s="109">
        <v>72.41</v>
      </c>
      <c r="CZ182" s="109" t="s">
        <v>808</v>
      </c>
      <c r="DA182" s="109">
        <v>80.59</v>
      </c>
      <c r="DB182" s="109">
        <v>326288</v>
      </c>
      <c r="DE182" s="109">
        <v>0</v>
      </c>
      <c r="DF182" s="109" t="s">
        <v>236</v>
      </c>
      <c r="DG182" s="109" t="s">
        <v>221</v>
      </c>
      <c r="DH182" s="109" t="s">
        <v>220</v>
      </c>
      <c r="DI182" s="109">
        <v>9026067267</v>
      </c>
      <c r="DJ182" s="109" t="s">
        <v>222</v>
      </c>
      <c r="DK182" s="109">
        <v>0</v>
      </c>
      <c r="DL182" s="109" t="s">
        <v>226</v>
      </c>
      <c r="DM182" s="109">
        <v>18.34</v>
      </c>
    </row>
    <row r="183" ht="13.8" hidden="1" spans="1:117">
      <c r="A183" s="109">
        <v>2</v>
      </c>
      <c r="B183" s="109" t="s">
        <v>1315</v>
      </c>
      <c r="C183" s="109" t="s">
        <v>203</v>
      </c>
      <c r="D183" s="109" t="s">
        <v>225</v>
      </c>
      <c r="E183" s="109" t="s">
        <v>226</v>
      </c>
      <c r="F183" s="110">
        <v>46262</v>
      </c>
      <c r="G183" s="109" t="s">
        <v>1048</v>
      </c>
      <c r="H183" s="109" t="s">
        <v>1316</v>
      </c>
      <c r="I183" s="109" t="s">
        <v>216</v>
      </c>
      <c r="J183" s="109" t="s">
        <v>217</v>
      </c>
      <c r="K183" s="109" t="s">
        <v>218</v>
      </c>
      <c r="L183" s="109" t="s">
        <v>219</v>
      </c>
      <c r="M183" s="207" t="s">
        <v>242</v>
      </c>
      <c r="N183" s="109" t="s">
        <v>220</v>
      </c>
      <c r="O183" s="109" t="s">
        <v>221</v>
      </c>
      <c r="P183" s="109" t="s">
        <v>243</v>
      </c>
      <c r="Q183" s="109" t="s">
        <v>216</v>
      </c>
      <c r="R183" s="109" t="s">
        <v>217</v>
      </c>
      <c r="S183" s="109" t="s">
        <v>220</v>
      </c>
      <c r="T183" s="109" t="s">
        <v>221</v>
      </c>
      <c r="U183" s="109" t="s">
        <v>216</v>
      </c>
      <c r="V183" s="109" t="s">
        <v>217</v>
      </c>
      <c r="W183" s="109" t="s">
        <v>218</v>
      </c>
      <c r="X183" s="109" t="s">
        <v>219</v>
      </c>
      <c r="Y183" s="109" t="s">
        <v>220</v>
      </c>
      <c r="Z183" s="109" t="s">
        <v>221</v>
      </c>
      <c r="AA183" s="109" t="s">
        <v>222</v>
      </c>
      <c r="AB183" s="109" t="s">
        <v>223</v>
      </c>
      <c r="AC183" s="109" t="s">
        <v>1317</v>
      </c>
      <c r="AD183" s="109" t="s">
        <v>1318</v>
      </c>
      <c r="AE183" s="109">
        <v>140</v>
      </c>
      <c r="AF183" s="109" t="s">
        <v>804</v>
      </c>
      <c r="AG183" s="109" t="s">
        <v>915</v>
      </c>
      <c r="AH183" s="109" t="s">
        <v>297</v>
      </c>
      <c r="AI183" s="109" t="s">
        <v>1317</v>
      </c>
      <c r="AJ183" s="109" t="s">
        <v>1318</v>
      </c>
      <c r="AK183" s="109" t="s">
        <v>915</v>
      </c>
      <c r="AL183" s="109" t="s">
        <v>297</v>
      </c>
      <c r="AM183" s="109" t="s">
        <v>806</v>
      </c>
      <c r="AN183" s="207" t="s">
        <v>1319</v>
      </c>
      <c r="AO183" s="109">
        <v>34.3</v>
      </c>
      <c r="AP183" s="109">
        <v>0</v>
      </c>
      <c r="AQ183" s="109">
        <v>4</v>
      </c>
      <c r="AR183" s="109">
        <v>0</v>
      </c>
      <c r="AS183" s="109" t="s">
        <v>252</v>
      </c>
      <c r="AT183" s="109" t="s">
        <v>229</v>
      </c>
      <c r="AU183" s="110">
        <v>46274</v>
      </c>
      <c r="AV183" s="109">
        <v>152.89</v>
      </c>
      <c r="AW183" s="109" t="s">
        <v>230</v>
      </c>
      <c r="AX183" s="109" t="s">
        <v>230</v>
      </c>
      <c r="AY183" s="109">
        <v>5124.1</v>
      </c>
      <c r="AZ183" s="109" t="s">
        <v>232</v>
      </c>
      <c r="BA183" s="109" t="s">
        <v>557</v>
      </c>
      <c r="BB183" s="109">
        <v>153.78</v>
      </c>
      <c r="BC183" s="109">
        <v>135.33</v>
      </c>
      <c r="BD183" s="109">
        <v>153.78</v>
      </c>
      <c r="BE183" s="109">
        <v>18.45</v>
      </c>
      <c r="BF183" s="111">
        <v>0.12</v>
      </c>
      <c r="BG183" s="109">
        <v>0</v>
      </c>
      <c r="BH183" s="109">
        <v>34.3</v>
      </c>
      <c r="BI183" s="109">
        <v>74.22</v>
      </c>
      <c r="BJ183" s="109">
        <v>0</v>
      </c>
      <c r="BK183" s="109">
        <v>17</v>
      </c>
      <c r="BL183" s="109">
        <v>0</v>
      </c>
      <c r="BM183" s="109">
        <v>9.76</v>
      </c>
      <c r="BN183" s="109">
        <v>7.69</v>
      </c>
      <c r="BO183" s="109">
        <v>5.5</v>
      </c>
      <c r="BP183" s="109">
        <v>3.23</v>
      </c>
      <c r="BQ183" s="109">
        <v>0</v>
      </c>
      <c r="BR183" s="109">
        <v>0</v>
      </c>
      <c r="BS183" s="109">
        <v>0</v>
      </c>
      <c r="BT183" s="109">
        <v>0</v>
      </c>
      <c r="BU183" s="109">
        <v>0</v>
      </c>
      <c r="BV183" s="109">
        <v>0</v>
      </c>
      <c r="BW183" s="109">
        <v>0</v>
      </c>
      <c r="BX183" s="109">
        <v>0</v>
      </c>
      <c r="BY183" s="109">
        <v>0</v>
      </c>
      <c r="BZ183" s="109">
        <v>0</v>
      </c>
      <c r="CA183" s="109">
        <v>17.93</v>
      </c>
      <c r="CB183" s="109" t="s">
        <v>225</v>
      </c>
      <c r="CC183" s="109" t="s">
        <v>558</v>
      </c>
      <c r="CD183" s="109">
        <v>434.04</v>
      </c>
      <c r="CE183" s="109">
        <v>0</v>
      </c>
      <c r="CF183" s="109">
        <v>0</v>
      </c>
      <c r="CG183" s="109">
        <v>0</v>
      </c>
      <c r="CH183" s="109">
        <v>0</v>
      </c>
      <c r="CI183" s="109">
        <v>0</v>
      </c>
      <c r="CJ183" s="109">
        <v>0</v>
      </c>
      <c r="CK183" s="109">
        <v>0</v>
      </c>
      <c r="CL183" s="109"/>
      <c r="CM183" s="109"/>
      <c r="CN183" s="109">
        <v>0</v>
      </c>
      <c r="CO183" s="109">
        <v>0</v>
      </c>
      <c r="CP183" s="109">
        <v>0</v>
      </c>
      <c r="CQ183" s="109">
        <v>0</v>
      </c>
      <c r="CR183" s="109">
        <v>0</v>
      </c>
      <c r="CS183" s="109">
        <v>0</v>
      </c>
      <c r="CT183" s="109">
        <v>0</v>
      </c>
      <c r="CU183" s="109">
        <v>12</v>
      </c>
      <c r="CV183" s="109" t="s">
        <v>235</v>
      </c>
      <c r="CW183" s="109">
        <v>0</v>
      </c>
      <c r="CX183" s="109"/>
      <c r="CY183" s="109">
        <v>72.41</v>
      </c>
      <c r="CZ183" s="109" t="s">
        <v>808</v>
      </c>
      <c r="DA183" s="109">
        <v>80.78</v>
      </c>
      <c r="DB183" s="109">
        <v>326288</v>
      </c>
      <c r="DE183" s="109">
        <v>0</v>
      </c>
      <c r="DF183" s="109" t="s">
        <v>236</v>
      </c>
      <c r="DG183" s="109" t="s">
        <v>221</v>
      </c>
      <c r="DH183" s="109" t="s">
        <v>220</v>
      </c>
      <c r="DI183" s="109">
        <v>9026067267</v>
      </c>
      <c r="DJ183" s="109" t="s">
        <v>222</v>
      </c>
      <c r="DK183" s="109">
        <v>0</v>
      </c>
      <c r="DL183" s="109" t="s">
        <v>226</v>
      </c>
      <c r="DM183" s="109">
        <v>18.45</v>
      </c>
    </row>
    <row r="184" ht="13.8" hidden="1" spans="1:117">
      <c r="A184" s="109">
        <v>2</v>
      </c>
      <c r="B184" s="109" t="s">
        <v>1320</v>
      </c>
      <c r="C184" s="109" t="s">
        <v>203</v>
      </c>
      <c r="D184" s="109" t="s">
        <v>225</v>
      </c>
      <c r="E184" s="109" t="s">
        <v>226</v>
      </c>
      <c r="F184" s="110">
        <v>46262</v>
      </c>
      <c r="G184" s="109" t="s">
        <v>1048</v>
      </c>
      <c r="H184" s="109" t="s">
        <v>1321</v>
      </c>
      <c r="I184" s="109" t="s">
        <v>216</v>
      </c>
      <c r="J184" s="109" t="s">
        <v>217</v>
      </c>
      <c r="K184" s="109" t="s">
        <v>218</v>
      </c>
      <c r="L184" s="109" t="s">
        <v>219</v>
      </c>
      <c r="M184" s="207" t="s">
        <v>242</v>
      </c>
      <c r="N184" s="109" t="s">
        <v>220</v>
      </c>
      <c r="O184" s="109" t="s">
        <v>221</v>
      </c>
      <c r="P184" s="109" t="s">
        <v>243</v>
      </c>
      <c r="Q184" s="109" t="s">
        <v>216</v>
      </c>
      <c r="R184" s="109" t="s">
        <v>217</v>
      </c>
      <c r="S184" s="109" t="s">
        <v>220</v>
      </c>
      <c r="T184" s="109" t="s">
        <v>221</v>
      </c>
      <c r="U184" s="109" t="s">
        <v>216</v>
      </c>
      <c r="V184" s="109" t="s">
        <v>217</v>
      </c>
      <c r="W184" s="109" t="s">
        <v>218</v>
      </c>
      <c r="X184" s="109" t="s">
        <v>219</v>
      </c>
      <c r="Y184" s="109" t="s">
        <v>220</v>
      </c>
      <c r="Z184" s="109" t="s">
        <v>221</v>
      </c>
      <c r="AA184" s="109" t="s">
        <v>222</v>
      </c>
      <c r="AB184" s="109" t="s">
        <v>223</v>
      </c>
      <c r="AC184" s="109" t="s">
        <v>1322</v>
      </c>
      <c r="AD184" s="109" t="s">
        <v>1323</v>
      </c>
      <c r="AE184" s="109">
        <v>171</v>
      </c>
      <c r="AF184" s="109" t="s">
        <v>714</v>
      </c>
      <c r="AG184" s="109" t="s">
        <v>1324</v>
      </c>
      <c r="AH184" s="109" t="s">
        <v>297</v>
      </c>
      <c r="AI184" s="109" t="s">
        <v>1322</v>
      </c>
      <c r="AJ184" s="109" t="s">
        <v>1323</v>
      </c>
      <c r="AK184" s="109" t="s">
        <v>1324</v>
      </c>
      <c r="AL184" s="109" t="s">
        <v>297</v>
      </c>
      <c r="AM184" s="109" t="s">
        <v>607</v>
      </c>
      <c r="AN184" s="207" t="s">
        <v>1325</v>
      </c>
      <c r="AO184" s="109">
        <v>37.56</v>
      </c>
      <c r="AP184" s="109">
        <v>0</v>
      </c>
      <c r="AQ184" s="109">
        <v>4</v>
      </c>
      <c r="AR184" s="109">
        <v>0</v>
      </c>
      <c r="AS184" s="109" t="s">
        <v>252</v>
      </c>
      <c r="AT184" s="109" t="s">
        <v>229</v>
      </c>
      <c r="AU184" s="110">
        <v>46274</v>
      </c>
      <c r="AV184" s="109">
        <v>131.55</v>
      </c>
      <c r="AW184" s="109" t="s">
        <v>230</v>
      </c>
      <c r="AX184" s="109" t="s">
        <v>230</v>
      </c>
      <c r="AY184" s="109">
        <v>1276.83</v>
      </c>
      <c r="AZ184" s="109" t="s">
        <v>232</v>
      </c>
      <c r="BA184" s="109" t="s">
        <v>557</v>
      </c>
      <c r="BB184" s="109">
        <v>132.31</v>
      </c>
      <c r="BC184" s="109">
        <v>116.43</v>
      </c>
      <c r="BD184" s="109">
        <v>132.31</v>
      </c>
      <c r="BE184" s="109">
        <v>15.88</v>
      </c>
      <c r="BF184" s="111">
        <v>0.12</v>
      </c>
      <c r="BG184" s="109">
        <v>0</v>
      </c>
      <c r="BH184" s="109">
        <v>37.56</v>
      </c>
      <c r="BI184" s="109">
        <v>74.22</v>
      </c>
      <c r="BJ184" s="109">
        <v>0</v>
      </c>
      <c r="BK184" s="109">
        <v>17</v>
      </c>
      <c r="BL184" s="109">
        <v>0</v>
      </c>
      <c r="BM184" s="109">
        <v>9.76</v>
      </c>
      <c r="BN184" s="109">
        <v>2.25</v>
      </c>
      <c r="BO184" s="109">
        <v>5.5</v>
      </c>
      <c r="BP184" s="109">
        <v>3.23</v>
      </c>
      <c r="BQ184" s="109">
        <v>0</v>
      </c>
      <c r="BR184" s="109">
        <v>0</v>
      </c>
      <c r="BS184" s="109">
        <v>0</v>
      </c>
      <c r="BT184" s="109">
        <v>0</v>
      </c>
      <c r="BU184" s="109">
        <v>0</v>
      </c>
      <c r="BV184" s="109">
        <v>0</v>
      </c>
      <c r="BW184" s="109">
        <v>0</v>
      </c>
      <c r="BX184" s="109">
        <v>0</v>
      </c>
      <c r="BY184" s="109">
        <v>0</v>
      </c>
      <c r="BZ184" s="109">
        <v>0</v>
      </c>
      <c r="CA184" s="109">
        <v>4.47</v>
      </c>
      <c r="CB184" s="109" t="s">
        <v>225</v>
      </c>
      <c r="CC184" s="109" t="s">
        <v>558</v>
      </c>
      <c r="CD184" s="109">
        <v>380.53</v>
      </c>
      <c r="CE184" s="109">
        <v>0</v>
      </c>
      <c r="CF184" s="109">
        <v>0</v>
      </c>
      <c r="CG184" s="109">
        <v>0</v>
      </c>
      <c r="CH184" s="109">
        <v>0</v>
      </c>
      <c r="CI184" s="109">
        <v>0</v>
      </c>
      <c r="CJ184" s="109">
        <v>0</v>
      </c>
      <c r="CK184" s="109">
        <v>0</v>
      </c>
      <c r="CL184" s="109"/>
      <c r="CM184" s="109"/>
      <c r="CN184" s="109">
        <v>0</v>
      </c>
      <c r="CO184" s="109">
        <v>0</v>
      </c>
      <c r="CP184" s="109">
        <v>0</v>
      </c>
      <c r="CQ184" s="109">
        <v>0</v>
      </c>
      <c r="CR184" s="109">
        <v>0</v>
      </c>
      <c r="CS184" s="109">
        <v>0</v>
      </c>
      <c r="CT184" s="109">
        <v>0</v>
      </c>
      <c r="CU184" s="109">
        <v>12</v>
      </c>
      <c r="CV184" s="109" t="s">
        <v>235</v>
      </c>
      <c r="CW184" s="109">
        <v>0</v>
      </c>
      <c r="CX184" s="109"/>
      <c r="CY184" s="109">
        <v>67.3</v>
      </c>
      <c r="CZ184" s="109" t="s">
        <v>1326</v>
      </c>
      <c r="DA184" s="109">
        <v>94.43</v>
      </c>
      <c r="DB184" s="109">
        <v>161555</v>
      </c>
      <c r="DE184" s="109">
        <v>0</v>
      </c>
      <c r="DF184" s="109" t="s">
        <v>236</v>
      </c>
      <c r="DG184" s="109" t="s">
        <v>221</v>
      </c>
      <c r="DH184" s="109" t="s">
        <v>220</v>
      </c>
      <c r="DI184" s="109">
        <v>9026067267</v>
      </c>
      <c r="DJ184" s="109" t="s">
        <v>222</v>
      </c>
      <c r="DK184" s="109">
        <v>0</v>
      </c>
      <c r="DL184" s="109" t="s">
        <v>226</v>
      </c>
      <c r="DM184" s="109">
        <v>15.88</v>
      </c>
    </row>
    <row r="185" ht="13.8" hidden="1" spans="1:117">
      <c r="A185" s="109">
        <v>2</v>
      </c>
      <c r="B185" s="109" t="s">
        <v>1327</v>
      </c>
      <c r="C185" s="109" t="s">
        <v>203</v>
      </c>
      <c r="D185" s="109" t="s">
        <v>225</v>
      </c>
      <c r="E185" s="109" t="s">
        <v>226</v>
      </c>
      <c r="F185" s="110">
        <v>46262</v>
      </c>
      <c r="G185" s="109" t="s">
        <v>1048</v>
      </c>
      <c r="H185" s="109" t="s">
        <v>1328</v>
      </c>
      <c r="I185" s="109" t="s">
        <v>216</v>
      </c>
      <c r="J185" s="109" t="s">
        <v>217</v>
      </c>
      <c r="K185" s="109" t="s">
        <v>218</v>
      </c>
      <c r="L185" s="109" t="s">
        <v>219</v>
      </c>
      <c r="M185" s="207" t="s">
        <v>242</v>
      </c>
      <c r="N185" s="109" t="s">
        <v>220</v>
      </c>
      <c r="O185" s="109" t="s">
        <v>221</v>
      </c>
      <c r="P185" s="109" t="s">
        <v>243</v>
      </c>
      <c r="Q185" s="109" t="s">
        <v>216</v>
      </c>
      <c r="R185" s="109" t="s">
        <v>217</v>
      </c>
      <c r="S185" s="109" t="s">
        <v>220</v>
      </c>
      <c r="T185" s="109" t="s">
        <v>221</v>
      </c>
      <c r="U185" s="109" t="s">
        <v>216</v>
      </c>
      <c r="V185" s="109" t="s">
        <v>217</v>
      </c>
      <c r="W185" s="109" t="s">
        <v>218</v>
      </c>
      <c r="X185" s="109" t="s">
        <v>219</v>
      </c>
      <c r="Y185" s="109" t="s">
        <v>220</v>
      </c>
      <c r="Z185" s="109" t="s">
        <v>221</v>
      </c>
      <c r="AA185" s="109" t="s">
        <v>222</v>
      </c>
      <c r="AB185" s="109" t="s">
        <v>223</v>
      </c>
      <c r="AC185" s="109" t="s">
        <v>311</v>
      </c>
      <c r="AD185" s="109" t="s">
        <v>245</v>
      </c>
      <c r="AE185" s="109" t="s">
        <v>312</v>
      </c>
      <c r="AF185" s="109" t="s">
        <v>295</v>
      </c>
      <c r="AG185" s="109" t="s">
        <v>313</v>
      </c>
      <c r="AH185" s="109" t="s">
        <v>297</v>
      </c>
      <c r="AI185" s="109" t="s">
        <v>311</v>
      </c>
      <c r="AJ185" s="109" t="s">
        <v>245</v>
      </c>
      <c r="AK185" s="109" t="s">
        <v>313</v>
      </c>
      <c r="AL185" s="109" t="s">
        <v>297</v>
      </c>
      <c r="AM185" s="109" t="s">
        <v>298</v>
      </c>
      <c r="AN185" s="207" t="s">
        <v>1329</v>
      </c>
      <c r="AO185" s="109">
        <v>62.21</v>
      </c>
      <c r="AP185" s="109">
        <v>0</v>
      </c>
      <c r="AQ185" s="109">
        <v>6</v>
      </c>
      <c r="AR185" s="109">
        <v>0</v>
      </c>
      <c r="AS185" s="109" t="s">
        <v>252</v>
      </c>
      <c r="AT185" s="109" t="s">
        <v>229</v>
      </c>
      <c r="AU185" s="110">
        <v>46274</v>
      </c>
      <c r="AV185" s="109">
        <v>421.47</v>
      </c>
      <c r="AW185" s="109" t="s">
        <v>230</v>
      </c>
      <c r="AX185" s="109" t="s">
        <v>230</v>
      </c>
      <c r="AY185" s="109">
        <v>1652.08</v>
      </c>
      <c r="AZ185" s="109" t="s">
        <v>232</v>
      </c>
      <c r="BA185" s="109" t="s">
        <v>300</v>
      </c>
      <c r="BB185" s="109">
        <v>423.92</v>
      </c>
      <c r="BC185" s="109">
        <v>373.05</v>
      </c>
      <c r="BD185" s="109">
        <v>423.92</v>
      </c>
      <c r="BE185" s="109">
        <v>50.87</v>
      </c>
      <c r="BF185" s="111">
        <v>0.12</v>
      </c>
      <c r="BG185" s="109">
        <v>0</v>
      </c>
      <c r="BH185" s="109">
        <v>62.21</v>
      </c>
      <c r="BI185" s="109">
        <v>79.3</v>
      </c>
      <c r="BJ185" s="109">
        <v>0</v>
      </c>
      <c r="BK185" s="109">
        <v>17</v>
      </c>
      <c r="BL185" s="109">
        <v>0</v>
      </c>
      <c r="BM185" s="109">
        <v>9.76</v>
      </c>
      <c r="BN185" s="109">
        <v>2.48</v>
      </c>
      <c r="BO185" s="109">
        <v>5.5</v>
      </c>
      <c r="BP185" s="109">
        <v>3.23</v>
      </c>
      <c r="BQ185" s="109">
        <v>0</v>
      </c>
      <c r="BR185" s="109">
        <v>0</v>
      </c>
      <c r="BS185" s="109">
        <v>0</v>
      </c>
      <c r="BT185" s="109">
        <v>0</v>
      </c>
      <c r="BU185" s="109">
        <v>0</v>
      </c>
      <c r="BV185" s="109">
        <v>0</v>
      </c>
      <c r="BW185" s="109">
        <v>0</v>
      </c>
      <c r="BX185" s="109">
        <v>250</v>
      </c>
      <c r="BY185" s="109">
        <v>0</v>
      </c>
      <c r="BZ185" s="109">
        <v>0</v>
      </c>
      <c r="CA185" s="109">
        <v>5.78</v>
      </c>
      <c r="CB185" s="109" t="s">
        <v>225</v>
      </c>
      <c r="CC185" s="109" t="s">
        <v>295</v>
      </c>
      <c r="CD185" s="109">
        <v>384.26</v>
      </c>
      <c r="CE185" s="109">
        <v>0</v>
      </c>
      <c r="CF185" s="109">
        <v>0</v>
      </c>
      <c r="CG185" s="109">
        <v>0</v>
      </c>
      <c r="CH185" s="109">
        <v>0</v>
      </c>
      <c r="CI185" s="109">
        <v>0</v>
      </c>
      <c r="CJ185" s="109">
        <v>0</v>
      </c>
      <c r="CK185" s="109">
        <v>0</v>
      </c>
      <c r="CL185" s="109"/>
      <c r="CM185" s="109"/>
      <c r="CN185" s="109">
        <v>0</v>
      </c>
      <c r="CO185" s="109">
        <v>0</v>
      </c>
      <c r="CP185" s="109">
        <v>0</v>
      </c>
      <c r="CQ185" s="109">
        <v>0</v>
      </c>
      <c r="CR185" s="109">
        <v>0</v>
      </c>
      <c r="CS185" s="109">
        <v>0</v>
      </c>
      <c r="CT185" s="109">
        <v>0</v>
      </c>
      <c r="CU185" s="109">
        <v>12</v>
      </c>
      <c r="CV185" s="109" t="s">
        <v>235</v>
      </c>
      <c r="CW185" s="109">
        <v>0</v>
      </c>
      <c r="CX185" s="109"/>
      <c r="CY185" s="109">
        <v>18</v>
      </c>
      <c r="CZ185" s="109" t="s">
        <v>941</v>
      </c>
      <c r="DA185" s="109">
        <v>0</v>
      </c>
      <c r="DB185" s="109"/>
      <c r="DE185" s="109">
        <v>0</v>
      </c>
      <c r="DF185" s="109" t="s">
        <v>236</v>
      </c>
      <c r="DG185" s="109" t="s">
        <v>221</v>
      </c>
      <c r="DH185" s="109" t="s">
        <v>220</v>
      </c>
      <c r="DI185" s="109">
        <v>9026067267</v>
      </c>
      <c r="DJ185" s="109" t="s">
        <v>222</v>
      </c>
      <c r="DK185" s="109">
        <v>0</v>
      </c>
      <c r="DL185" s="109" t="s">
        <v>226</v>
      </c>
      <c r="DM185" s="109">
        <v>50.87</v>
      </c>
    </row>
    <row r="186" ht="13.8" spans="1:117">
      <c r="A186" s="109">
        <v>2</v>
      </c>
      <c r="B186" s="109" t="s">
        <v>1330</v>
      </c>
      <c r="C186" s="109" t="s">
        <v>203</v>
      </c>
      <c r="D186" s="109" t="s">
        <v>225</v>
      </c>
      <c r="E186" s="109" t="s">
        <v>226</v>
      </c>
      <c r="F186" s="110">
        <v>46262</v>
      </c>
      <c r="G186" s="109" t="s">
        <v>1048</v>
      </c>
      <c r="H186" s="109" t="s">
        <v>1331</v>
      </c>
      <c r="I186" s="109" t="s">
        <v>216</v>
      </c>
      <c r="J186" s="109" t="s">
        <v>217</v>
      </c>
      <c r="K186" s="109" t="s">
        <v>218</v>
      </c>
      <c r="L186" s="109" t="s">
        <v>219</v>
      </c>
      <c r="M186" s="207" t="s">
        <v>242</v>
      </c>
      <c r="N186" s="109" t="s">
        <v>220</v>
      </c>
      <c r="O186" s="109" t="s">
        <v>221</v>
      </c>
      <c r="P186" s="109" t="s">
        <v>243</v>
      </c>
      <c r="Q186" s="109" t="s">
        <v>216</v>
      </c>
      <c r="R186" s="109" t="s">
        <v>217</v>
      </c>
      <c r="S186" s="109" t="s">
        <v>220</v>
      </c>
      <c r="T186" s="109" t="s">
        <v>221</v>
      </c>
      <c r="U186" s="109" t="s">
        <v>216</v>
      </c>
      <c r="V186" s="109" t="s">
        <v>217</v>
      </c>
      <c r="W186" s="109" t="s">
        <v>218</v>
      </c>
      <c r="X186" s="109" t="s">
        <v>219</v>
      </c>
      <c r="Y186" s="109" t="s">
        <v>220</v>
      </c>
      <c r="Z186" s="109" t="s">
        <v>221</v>
      </c>
      <c r="AA186" s="109" t="s">
        <v>222</v>
      </c>
      <c r="AB186" s="109" t="s">
        <v>223</v>
      </c>
      <c r="AC186" s="109" t="s">
        <v>1332</v>
      </c>
      <c r="AD186" s="109" t="s">
        <v>1333</v>
      </c>
      <c r="AE186" s="109">
        <v>155</v>
      </c>
      <c r="AF186" s="109" t="s">
        <v>553</v>
      </c>
      <c r="AG186" s="109" t="s">
        <v>1334</v>
      </c>
      <c r="AH186" s="109" t="s">
        <v>297</v>
      </c>
      <c r="AI186" s="109" t="s">
        <v>1332</v>
      </c>
      <c r="AJ186" s="109" t="s">
        <v>1333</v>
      </c>
      <c r="AK186" s="109" t="s">
        <v>1334</v>
      </c>
      <c r="AL186" s="109" t="s">
        <v>297</v>
      </c>
      <c r="AM186" s="109" t="s">
        <v>555</v>
      </c>
      <c r="AN186" s="207" t="s">
        <v>1335</v>
      </c>
      <c r="AO186" s="109">
        <v>219.955</v>
      </c>
      <c r="AP186" s="109">
        <v>1.6856</v>
      </c>
      <c r="AQ186" s="109">
        <v>19</v>
      </c>
      <c r="AR186" s="109">
        <v>0</v>
      </c>
      <c r="AS186" s="109" t="s">
        <v>252</v>
      </c>
      <c r="AT186" s="109" t="s">
        <v>229</v>
      </c>
      <c r="AU186" s="110">
        <v>46274</v>
      </c>
      <c r="AV186" s="109">
        <v>999.15</v>
      </c>
      <c r="AW186" s="109" t="s">
        <v>230</v>
      </c>
      <c r="AX186" s="109" t="s">
        <v>230</v>
      </c>
      <c r="AY186" s="109">
        <v>8376.92</v>
      </c>
      <c r="AZ186" s="109" t="s">
        <v>232</v>
      </c>
      <c r="BA186" s="109" t="s">
        <v>557</v>
      </c>
      <c r="BB186" s="109">
        <v>1004.95</v>
      </c>
      <c r="BC186" s="109">
        <v>884.36</v>
      </c>
      <c r="BD186" s="109">
        <v>1004.95</v>
      </c>
      <c r="BE186" s="109">
        <v>120.59</v>
      </c>
      <c r="BF186" s="111">
        <v>0.12</v>
      </c>
      <c r="BG186" s="109">
        <v>0</v>
      </c>
      <c r="BH186" s="109">
        <v>505.68</v>
      </c>
      <c r="BI186" s="109">
        <v>469.68</v>
      </c>
      <c r="BJ186" s="109">
        <v>0</v>
      </c>
      <c r="BK186" s="109">
        <v>17</v>
      </c>
      <c r="BL186" s="109">
        <v>0</v>
      </c>
      <c r="BM186" s="109">
        <v>9.76</v>
      </c>
      <c r="BN186" s="109">
        <v>12.57</v>
      </c>
      <c r="BO186" s="109">
        <v>33</v>
      </c>
      <c r="BP186" s="109">
        <v>3.23</v>
      </c>
      <c r="BQ186" s="109">
        <v>59.8</v>
      </c>
      <c r="BR186" s="109">
        <v>0</v>
      </c>
      <c r="BS186" s="109">
        <v>0</v>
      </c>
      <c r="BT186" s="109">
        <v>0</v>
      </c>
      <c r="BU186" s="109">
        <v>0</v>
      </c>
      <c r="BV186" s="109">
        <v>0</v>
      </c>
      <c r="BW186" s="109">
        <v>0</v>
      </c>
      <c r="BX186" s="109">
        <v>250</v>
      </c>
      <c r="BY186" s="109">
        <v>0</v>
      </c>
      <c r="BZ186" s="109">
        <v>0</v>
      </c>
      <c r="CA186" s="109">
        <v>29.32</v>
      </c>
      <c r="CB186" s="109" t="s">
        <v>225</v>
      </c>
      <c r="CC186" s="109" t="s">
        <v>558</v>
      </c>
      <c r="CD186" s="109">
        <v>1551.09</v>
      </c>
      <c r="CE186" s="109">
        <v>0</v>
      </c>
      <c r="CF186" s="109">
        <v>0</v>
      </c>
      <c r="CG186" s="109">
        <v>0</v>
      </c>
      <c r="CH186" s="109">
        <v>0</v>
      </c>
      <c r="CI186" s="109">
        <v>0</v>
      </c>
      <c r="CJ186" s="109">
        <v>0</v>
      </c>
      <c r="CK186" s="109">
        <v>0</v>
      </c>
      <c r="CL186" s="109"/>
      <c r="CM186" s="109"/>
      <c r="CN186" s="109">
        <v>0</v>
      </c>
      <c r="CO186" s="109">
        <v>0</v>
      </c>
      <c r="CP186" s="109">
        <v>0</v>
      </c>
      <c r="CQ186" s="109">
        <v>0</v>
      </c>
      <c r="CR186" s="109">
        <v>0</v>
      </c>
      <c r="CS186" s="109">
        <v>0</v>
      </c>
      <c r="CT186" s="109">
        <v>0</v>
      </c>
      <c r="CU186" s="109">
        <v>32.99</v>
      </c>
      <c r="CV186" s="109" t="s">
        <v>235</v>
      </c>
      <c r="CW186" s="109">
        <v>0</v>
      </c>
      <c r="CX186" s="109"/>
      <c r="CY186" s="109">
        <v>569.37</v>
      </c>
      <c r="CZ186" s="109" t="s">
        <v>289</v>
      </c>
      <c r="DA186" s="113">
        <v>421.92</v>
      </c>
      <c r="DB186" s="109"/>
      <c r="DE186" s="109">
        <v>0</v>
      </c>
      <c r="DF186" s="109" t="s">
        <v>236</v>
      </c>
      <c r="DG186" s="109" t="s">
        <v>221</v>
      </c>
      <c r="DH186" s="109" t="s">
        <v>220</v>
      </c>
      <c r="DI186" s="109">
        <v>9026067267</v>
      </c>
      <c r="DJ186" s="109" t="s">
        <v>222</v>
      </c>
      <c r="DK186" s="109">
        <v>0</v>
      </c>
      <c r="DL186" s="109" t="s">
        <v>226</v>
      </c>
      <c r="DM186" s="109">
        <v>120.59</v>
      </c>
    </row>
    <row r="187" ht="13.8" hidden="1" spans="1:117">
      <c r="A187" s="109">
        <v>2</v>
      </c>
      <c r="B187" s="109" t="s">
        <v>1336</v>
      </c>
      <c r="C187" s="109" t="s">
        <v>203</v>
      </c>
      <c r="D187" s="109" t="s">
        <v>225</v>
      </c>
      <c r="E187" s="109" t="s">
        <v>226</v>
      </c>
      <c r="F187" s="110">
        <v>46262</v>
      </c>
      <c r="G187" s="109" t="s">
        <v>1048</v>
      </c>
      <c r="H187" s="109" t="s">
        <v>1337</v>
      </c>
      <c r="I187" s="109" t="s">
        <v>216</v>
      </c>
      <c r="J187" s="109" t="s">
        <v>217</v>
      </c>
      <c r="K187" s="109" t="s">
        <v>218</v>
      </c>
      <c r="L187" s="109" t="s">
        <v>219</v>
      </c>
      <c r="M187" s="207" t="s">
        <v>242</v>
      </c>
      <c r="N187" s="109" t="s">
        <v>220</v>
      </c>
      <c r="O187" s="109" t="s">
        <v>221</v>
      </c>
      <c r="P187" s="109" t="s">
        <v>243</v>
      </c>
      <c r="Q187" s="109" t="s">
        <v>216</v>
      </c>
      <c r="R187" s="109" t="s">
        <v>217</v>
      </c>
      <c r="S187" s="109" t="s">
        <v>220</v>
      </c>
      <c r="T187" s="109" t="s">
        <v>221</v>
      </c>
      <c r="U187" s="109" t="s">
        <v>216</v>
      </c>
      <c r="V187" s="109" t="s">
        <v>217</v>
      </c>
      <c r="W187" s="109" t="s">
        <v>218</v>
      </c>
      <c r="X187" s="109" t="s">
        <v>219</v>
      </c>
      <c r="Y187" s="109" t="s">
        <v>220</v>
      </c>
      <c r="Z187" s="109" t="s">
        <v>221</v>
      </c>
      <c r="AA187" s="109" t="s">
        <v>222</v>
      </c>
      <c r="AB187" s="109" t="s">
        <v>223</v>
      </c>
      <c r="AC187" s="109" t="s">
        <v>657</v>
      </c>
      <c r="AD187" s="109" t="s">
        <v>658</v>
      </c>
      <c r="AE187" s="109" t="s">
        <v>659</v>
      </c>
      <c r="AF187" s="109" t="s">
        <v>247</v>
      </c>
      <c r="AG187" s="109" t="s">
        <v>660</v>
      </c>
      <c r="AH187" s="109" t="s">
        <v>249</v>
      </c>
      <c r="AI187" s="109" t="s">
        <v>657</v>
      </c>
      <c r="AJ187" s="109" t="s">
        <v>658</v>
      </c>
      <c r="AK187" s="109" t="s">
        <v>660</v>
      </c>
      <c r="AL187" s="109" t="s">
        <v>249</v>
      </c>
      <c r="AM187" s="109" t="s">
        <v>250</v>
      </c>
      <c r="AN187" s="207" t="s">
        <v>1338</v>
      </c>
      <c r="AO187" s="109">
        <v>52.45</v>
      </c>
      <c r="AP187" s="109">
        <v>0</v>
      </c>
      <c r="AQ187" s="109">
        <v>5</v>
      </c>
      <c r="AR187" s="109">
        <v>0</v>
      </c>
      <c r="AS187" s="109" t="s">
        <v>252</v>
      </c>
      <c r="AT187" s="109" t="s">
        <v>229</v>
      </c>
      <c r="AU187" s="110">
        <v>46274</v>
      </c>
      <c r="AV187" s="109">
        <v>427.73</v>
      </c>
      <c r="AW187" s="109" t="s">
        <v>230</v>
      </c>
      <c r="AX187" s="109" t="s">
        <v>230</v>
      </c>
      <c r="AY187" s="109">
        <v>2099.03</v>
      </c>
      <c r="AZ187" s="109" t="s">
        <v>232</v>
      </c>
      <c r="BA187" s="109" t="s">
        <v>253</v>
      </c>
      <c r="BB187" s="109">
        <v>430.22</v>
      </c>
      <c r="BC187" s="109">
        <v>378.59</v>
      </c>
      <c r="BD187" s="109">
        <v>430.22</v>
      </c>
      <c r="BE187" s="109">
        <v>51.63</v>
      </c>
      <c r="BF187" s="111">
        <v>0.12</v>
      </c>
      <c r="BG187" s="109">
        <v>0</v>
      </c>
      <c r="BH187" s="109">
        <v>52.45</v>
      </c>
      <c r="BI187" s="109">
        <v>82.6</v>
      </c>
      <c r="BJ187" s="109">
        <v>0</v>
      </c>
      <c r="BK187" s="109">
        <v>17</v>
      </c>
      <c r="BL187" s="109">
        <v>0</v>
      </c>
      <c r="BM187" s="109">
        <v>9.76</v>
      </c>
      <c r="BN187" s="109">
        <v>3.15</v>
      </c>
      <c r="BO187" s="109">
        <v>5.5</v>
      </c>
      <c r="BP187" s="109">
        <v>3.23</v>
      </c>
      <c r="BQ187" s="109">
        <v>0</v>
      </c>
      <c r="BR187" s="109">
        <v>0</v>
      </c>
      <c r="BS187" s="109">
        <v>0</v>
      </c>
      <c r="BT187" s="109">
        <v>0</v>
      </c>
      <c r="BU187" s="109">
        <v>0</v>
      </c>
      <c r="BV187" s="109">
        <v>0</v>
      </c>
      <c r="BW187" s="109">
        <v>0</v>
      </c>
      <c r="BX187" s="109">
        <v>250</v>
      </c>
      <c r="BY187" s="109">
        <v>0</v>
      </c>
      <c r="BZ187" s="109">
        <v>0</v>
      </c>
      <c r="CA187" s="109">
        <v>7.35</v>
      </c>
      <c r="CB187" s="109" t="s">
        <v>225</v>
      </c>
      <c r="CC187" s="109" t="s">
        <v>247</v>
      </c>
      <c r="CD187" s="109">
        <v>390.19</v>
      </c>
      <c r="CE187" s="109">
        <v>0</v>
      </c>
      <c r="CF187" s="109">
        <v>0</v>
      </c>
      <c r="CG187" s="109">
        <v>0</v>
      </c>
      <c r="CH187" s="109">
        <v>0</v>
      </c>
      <c r="CI187" s="109">
        <v>0</v>
      </c>
      <c r="CJ187" s="109">
        <v>0</v>
      </c>
      <c r="CK187" s="109">
        <v>0</v>
      </c>
      <c r="CL187" s="109"/>
      <c r="CM187" s="109"/>
      <c r="CN187" s="109">
        <v>0</v>
      </c>
      <c r="CO187" s="109">
        <v>0</v>
      </c>
      <c r="CP187" s="109">
        <v>0</v>
      </c>
      <c r="CQ187" s="109">
        <v>0</v>
      </c>
      <c r="CR187" s="109">
        <v>0</v>
      </c>
      <c r="CS187" s="109">
        <v>0</v>
      </c>
      <c r="CT187" s="109">
        <v>0</v>
      </c>
      <c r="CU187" s="109">
        <v>12</v>
      </c>
      <c r="CV187" s="109" t="s">
        <v>235</v>
      </c>
      <c r="CW187" s="109">
        <v>0</v>
      </c>
      <c r="CX187" s="109"/>
      <c r="CY187" s="109">
        <v>18</v>
      </c>
      <c r="CZ187" s="109" t="s">
        <v>941</v>
      </c>
      <c r="DA187" s="109">
        <v>0</v>
      </c>
      <c r="DB187" s="109"/>
      <c r="DE187" s="109">
        <v>0</v>
      </c>
      <c r="DF187" s="109" t="s">
        <v>236</v>
      </c>
      <c r="DG187" s="109" t="s">
        <v>221</v>
      </c>
      <c r="DH187" s="109" t="s">
        <v>220</v>
      </c>
      <c r="DI187" s="109">
        <v>9026067267</v>
      </c>
      <c r="DJ187" s="109" t="s">
        <v>222</v>
      </c>
      <c r="DK187" s="109">
        <v>0</v>
      </c>
      <c r="DL187" s="109" t="s">
        <v>226</v>
      </c>
      <c r="DM187" s="109">
        <v>51.63</v>
      </c>
    </row>
    <row r="188" ht="13.8" hidden="1" spans="1:117">
      <c r="A188" s="109">
        <v>2</v>
      </c>
      <c r="B188" s="109" t="s">
        <v>1339</v>
      </c>
      <c r="C188" s="109" t="s">
        <v>203</v>
      </c>
      <c r="D188" s="109" t="s">
        <v>225</v>
      </c>
      <c r="E188" s="109" t="s">
        <v>226</v>
      </c>
      <c r="F188" s="110">
        <v>46265</v>
      </c>
      <c r="G188" s="109" t="s">
        <v>240</v>
      </c>
      <c r="H188" s="109" t="s">
        <v>1340</v>
      </c>
      <c r="I188" s="109" t="s">
        <v>216</v>
      </c>
      <c r="J188" s="109" t="s">
        <v>217</v>
      </c>
      <c r="K188" s="109" t="s">
        <v>218</v>
      </c>
      <c r="L188" s="109" t="s">
        <v>219</v>
      </c>
      <c r="M188" s="207" t="s">
        <v>242</v>
      </c>
      <c r="N188" s="109" t="s">
        <v>220</v>
      </c>
      <c r="O188" s="109" t="s">
        <v>221</v>
      </c>
      <c r="P188" s="109" t="s">
        <v>243</v>
      </c>
      <c r="Q188" s="109" t="s">
        <v>216</v>
      </c>
      <c r="R188" s="109" t="s">
        <v>217</v>
      </c>
      <c r="S188" s="109" t="s">
        <v>220</v>
      </c>
      <c r="T188" s="109" t="s">
        <v>221</v>
      </c>
      <c r="U188" s="109" t="s">
        <v>216</v>
      </c>
      <c r="V188" s="109" t="s">
        <v>217</v>
      </c>
      <c r="W188" s="109" t="s">
        <v>218</v>
      </c>
      <c r="X188" s="109" t="s">
        <v>219</v>
      </c>
      <c r="Y188" s="109" t="s">
        <v>220</v>
      </c>
      <c r="Z188" s="109" t="s">
        <v>221</v>
      </c>
      <c r="AA188" s="109" t="s">
        <v>222</v>
      </c>
      <c r="AB188" s="109" t="s">
        <v>223</v>
      </c>
      <c r="AC188" s="109" t="s">
        <v>1008</v>
      </c>
      <c r="AD188" s="109" t="s">
        <v>1009</v>
      </c>
      <c r="AE188" s="109">
        <v>134</v>
      </c>
      <c r="AF188" s="109" t="s">
        <v>364</v>
      </c>
      <c r="AG188" s="109" t="s">
        <v>646</v>
      </c>
      <c r="AH188" s="109" t="s">
        <v>297</v>
      </c>
      <c r="AI188" s="109" t="s">
        <v>1008</v>
      </c>
      <c r="AJ188" s="109" t="s">
        <v>1009</v>
      </c>
      <c r="AK188" s="109" t="s">
        <v>646</v>
      </c>
      <c r="AL188" s="109" t="s">
        <v>297</v>
      </c>
      <c r="AM188" s="109" t="s">
        <v>366</v>
      </c>
      <c r="AN188" s="207" t="s">
        <v>1341</v>
      </c>
      <c r="AO188" s="109">
        <v>96.665</v>
      </c>
      <c r="AP188" s="109">
        <v>0</v>
      </c>
      <c r="AQ188" s="109">
        <v>12</v>
      </c>
      <c r="AR188" s="109">
        <v>0</v>
      </c>
      <c r="AS188" s="109" t="s">
        <v>252</v>
      </c>
      <c r="AT188" s="109" t="s">
        <v>229</v>
      </c>
      <c r="AU188" s="110">
        <v>46281</v>
      </c>
      <c r="AV188" s="109">
        <v>504.42</v>
      </c>
      <c r="AW188" s="109" t="s">
        <v>230</v>
      </c>
      <c r="AX188" s="109" t="s">
        <v>230</v>
      </c>
      <c r="AY188" s="109">
        <v>4859.3</v>
      </c>
      <c r="AZ188" s="109" t="s">
        <v>232</v>
      </c>
      <c r="BA188" s="109" t="s">
        <v>557</v>
      </c>
      <c r="BB188" s="109">
        <v>504.42</v>
      </c>
      <c r="BC188" s="109">
        <v>443.89</v>
      </c>
      <c r="BD188" s="109">
        <v>504.42</v>
      </c>
      <c r="BE188" s="109">
        <v>60.53</v>
      </c>
      <c r="BF188" s="111">
        <v>0.12</v>
      </c>
      <c r="BG188" s="109">
        <v>0</v>
      </c>
      <c r="BH188" s="109">
        <v>96.665</v>
      </c>
      <c r="BI188" s="109">
        <v>134.1</v>
      </c>
      <c r="BJ188" s="109">
        <v>0</v>
      </c>
      <c r="BK188" s="109">
        <v>17</v>
      </c>
      <c r="BL188" s="109">
        <v>0</v>
      </c>
      <c r="BM188" s="109">
        <v>9.76</v>
      </c>
      <c r="BN188" s="109">
        <v>7.29</v>
      </c>
      <c r="BO188" s="109">
        <v>5.5</v>
      </c>
      <c r="BP188" s="109">
        <v>3.23</v>
      </c>
      <c r="BQ188" s="109">
        <v>0</v>
      </c>
      <c r="BR188" s="109">
        <v>0</v>
      </c>
      <c r="BS188" s="109">
        <v>0</v>
      </c>
      <c r="BT188" s="109">
        <v>0</v>
      </c>
      <c r="BU188" s="109">
        <v>0</v>
      </c>
      <c r="BV188" s="109">
        <v>0</v>
      </c>
      <c r="BW188" s="109">
        <v>0</v>
      </c>
      <c r="BX188" s="109">
        <v>250</v>
      </c>
      <c r="BY188" s="109">
        <v>0</v>
      </c>
      <c r="BZ188" s="109">
        <v>0</v>
      </c>
      <c r="CA188" s="109">
        <v>17.01</v>
      </c>
      <c r="CB188" s="109" t="s">
        <v>225</v>
      </c>
      <c r="CC188" s="109" t="s">
        <v>558</v>
      </c>
      <c r="CD188" s="109">
        <v>430.21</v>
      </c>
      <c r="CE188" s="109">
        <v>0</v>
      </c>
      <c r="CF188" s="109">
        <v>0</v>
      </c>
      <c r="CG188" s="109">
        <v>0</v>
      </c>
      <c r="CH188" s="109">
        <v>0</v>
      </c>
      <c r="CI188" s="109">
        <v>0</v>
      </c>
      <c r="CJ188" s="109">
        <v>0</v>
      </c>
      <c r="CK188" s="109">
        <v>0</v>
      </c>
      <c r="CL188" s="109"/>
      <c r="CM188" s="109"/>
      <c r="CN188" s="109">
        <v>0</v>
      </c>
      <c r="CO188" s="109">
        <v>0</v>
      </c>
      <c r="CP188" s="109">
        <v>0</v>
      </c>
      <c r="CQ188" s="109">
        <v>0</v>
      </c>
      <c r="CR188" s="109">
        <v>0</v>
      </c>
      <c r="CS188" s="109">
        <v>0</v>
      </c>
      <c r="CT188" s="109">
        <v>0</v>
      </c>
      <c r="CU188" s="109">
        <v>14.5</v>
      </c>
      <c r="CV188" s="109" t="s">
        <v>235</v>
      </c>
      <c r="CW188" s="109">
        <v>0</v>
      </c>
      <c r="CX188" s="109"/>
      <c r="CY188" s="109">
        <v>231</v>
      </c>
      <c r="CZ188" s="109" t="s">
        <v>941</v>
      </c>
      <c r="DA188" s="109">
        <f>CY188</f>
        <v>231</v>
      </c>
      <c r="DB188" s="109"/>
      <c r="DE188" s="109">
        <v>0</v>
      </c>
      <c r="DF188" s="109" t="s">
        <v>236</v>
      </c>
      <c r="DG188" s="109" t="s">
        <v>221</v>
      </c>
      <c r="DH188" s="109" t="s">
        <v>220</v>
      </c>
      <c r="DI188" s="109">
        <v>9026067267</v>
      </c>
      <c r="DJ188" s="109" t="s">
        <v>222</v>
      </c>
      <c r="DK188" s="109">
        <v>0</v>
      </c>
      <c r="DL188" s="109" t="s">
        <v>226</v>
      </c>
      <c r="DM188" s="109">
        <v>64.07</v>
      </c>
    </row>
    <row r="189" ht="13.8" hidden="1" spans="1:117">
      <c r="A189" s="109">
        <v>2</v>
      </c>
      <c r="B189" s="109" t="s">
        <v>1342</v>
      </c>
      <c r="C189" s="109" t="s">
        <v>203</v>
      </c>
      <c r="D189" s="109" t="s">
        <v>225</v>
      </c>
      <c r="E189" s="109" t="s">
        <v>226</v>
      </c>
      <c r="F189" s="110">
        <v>46262</v>
      </c>
      <c r="G189" s="109" t="s">
        <v>1048</v>
      </c>
      <c r="H189" s="109" t="s">
        <v>1343</v>
      </c>
      <c r="I189" s="109" t="s">
        <v>216</v>
      </c>
      <c r="J189" s="109" t="s">
        <v>217</v>
      </c>
      <c r="K189" s="109" t="s">
        <v>218</v>
      </c>
      <c r="L189" s="109" t="s">
        <v>219</v>
      </c>
      <c r="M189" s="207" t="s">
        <v>242</v>
      </c>
      <c r="N189" s="109" t="s">
        <v>220</v>
      </c>
      <c r="O189" s="109" t="s">
        <v>221</v>
      </c>
      <c r="P189" s="109" t="s">
        <v>243</v>
      </c>
      <c r="Q189" s="109" t="s">
        <v>216</v>
      </c>
      <c r="R189" s="109" t="s">
        <v>217</v>
      </c>
      <c r="S189" s="109" t="s">
        <v>220</v>
      </c>
      <c r="T189" s="109" t="s">
        <v>221</v>
      </c>
      <c r="U189" s="109" t="s">
        <v>216</v>
      </c>
      <c r="V189" s="109" t="s">
        <v>217</v>
      </c>
      <c r="W189" s="109" t="s">
        <v>218</v>
      </c>
      <c r="X189" s="109" t="s">
        <v>219</v>
      </c>
      <c r="Y189" s="109" t="s">
        <v>220</v>
      </c>
      <c r="Z189" s="109" t="s">
        <v>221</v>
      </c>
      <c r="AA189" s="109" t="s">
        <v>222</v>
      </c>
      <c r="AB189" s="109" t="s">
        <v>223</v>
      </c>
      <c r="AC189" s="109" t="s">
        <v>317</v>
      </c>
      <c r="AD189" s="109" t="s">
        <v>318</v>
      </c>
      <c r="AE189" s="109" t="s">
        <v>319</v>
      </c>
      <c r="AF189" s="109" t="s">
        <v>247</v>
      </c>
      <c r="AG189" s="109" t="s">
        <v>320</v>
      </c>
      <c r="AH189" s="109" t="s">
        <v>249</v>
      </c>
      <c r="AI189" s="109" t="s">
        <v>317</v>
      </c>
      <c r="AJ189" s="109" t="s">
        <v>318</v>
      </c>
      <c r="AK189" s="109" t="s">
        <v>320</v>
      </c>
      <c r="AL189" s="109" t="s">
        <v>249</v>
      </c>
      <c r="AM189" s="109" t="s">
        <v>250</v>
      </c>
      <c r="AN189" s="207" t="s">
        <v>1344</v>
      </c>
      <c r="AO189" s="109">
        <v>69</v>
      </c>
      <c r="AP189" s="109">
        <v>0</v>
      </c>
      <c r="AQ189" s="109">
        <v>6</v>
      </c>
      <c r="AR189" s="109">
        <v>0</v>
      </c>
      <c r="AS189" s="109" t="s">
        <v>252</v>
      </c>
      <c r="AT189" s="109" t="s">
        <v>229</v>
      </c>
      <c r="AU189" s="110">
        <v>46274</v>
      </c>
      <c r="AV189" s="109">
        <v>430.2</v>
      </c>
      <c r="AW189" s="109" t="s">
        <v>230</v>
      </c>
      <c r="AX189" s="109" t="s">
        <v>230</v>
      </c>
      <c r="AY189" s="109">
        <v>2536.9</v>
      </c>
      <c r="AZ189" s="109" t="s">
        <v>232</v>
      </c>
      <c r="BA189" s="109" t="s">
        <v>253</v>
      </c>
      <c r="BB189" s="109">
        <v>432.7</v>
      </c>
      <c r="BC189" s="109">
        <v>380.78</v>
      </c>
      <c r="BD189" s="109">
        <v>432.7</v>
      </c>
      <c r="BE189" s="109">
        <v>51.92</v>
      </c>
      <c r="BF189" s="111">
        <v>0.12</v>
      </c>
      <c r="BG189" s="109">
        <v>0</v>
      </c>
      <c r="BH189" s="109">
        <v>69</v>
      </c>
      <c r="BI189" s="109">
        <v>82.6</v>
      </c>
      <c r="BJ189" s="109">
        <v>0</v>
      </c>
      <c r="BK189" s="109">
        <v>17</v>
      </c>
      <c r="BL189" s="109">
        <v>0</v>
      </c>
      <c r="BM189" s="109">
        <v>9.76</v>
      </c>
      <c r="BN189" s="109">
        <v>3.81</v>
      </c>
      <c r="BO189" s="109">
        <v>5.5</v>
      </c>
      <c r="BP189" s="109">
        <v>3.23</v>
      </c>
      <c r="BQ189" s="109">
        <v>0</v>
      </c>
      <c r="BR189" s="109">
        <v>0</v>
      </c>
      <c r="BS189" s="109">
        <v>0</v>
      </c>
      <c r="BT189" s="109">
        <v>0</v>
      </c>
      <c r="BU189" s="109">
        <v>0</v>
      </c>
      <c r="BV189" s="109">
        <v>0</v>
      </c>
      <c r="BW189" s="109">
        <v>0</v>
      </c>
      <c r="BX189" s="109">
        <v>250</v>
      </c>
      <c r="BY189" s="109">
        <v>0</v>
      </c>
      <c r="BZ189" s="109">
        <v>0</v>
      </c>
      <c r="CA189" s="109">
        <v>8.88</v>
      </c>
      <c r="CB189" s="109" t="s">
        <v>225</v>
      </c>
      <c r="CC189" s="109" t="s">
        <v>247</v>
      </c>
      <c r="CD189" s="109">
        <v>396.54</v>
      </c>
      <c r="CE189" s="109">
        <v>0</v>
      </c>
      <c r="CF189" s="109">
        <v>0</v>
      </c>
      <c r="CG189" s="109">
        <v>0</v>
      </c>
      <c r="CH189" s="109">
        <v>0</v>
      </c>
      <c r="CI189" s="109">
        <v>0</v>
      </c>
      <c r="CJ189" s="109">
        <v>0</v>
      </c>
      <c r="CK189" s="109">
        <v>0</v>
      </c>
      <c r="CL189" s="109"/>
      <c r="CM189" s="109"/>
      <c r="CN189" s="109">
        <v>0</v>
      </c>
      <c r="CO189" s="109">
        <v>0</v>
      </c>
      <c r="CP189" s="109">
        <v>0</v>
      </c>
      <c r="CQ189" s="109">
        <v>0</v>
      </c>
      <c r="CR189" s="109">
        <v>0</v>
      </c>
      <c r="CS189" s="109">
        <v>0</v>
      </c>
      <c r="CT189" s="109">
        <v>0</v>
      </c>
      <c r="CU189" s="109">
        <v>12</v>
      </c>
      <c r="CV189" s="109" t="s">
        <v>235</v>
      </c>
      <c r="CW189" s="109">
        <v>0</v>
      </c>
      <c r="CX189" s="109"/>
      <c r="CY189" s="109">
        <v>18</v>
      </c>
      <c r="CZ189" s="109" t="s">
        <v>941</v>
      </c>
      <c r="DA189" s="109">
        <v>0</v>
      </c>
      <c r="DB189" s="109"/>
      <c r="DE189" s="109">
        <v>0</v>
      </c>
      <c r="DF189" s="109" t="s">
        <v>236</v>
      </c>
      <c r="DG189" s="109" t="s">
        <v>221</v>
      </c>
      <c r="DH189" s="109" t="s">
        <v>220</v>
      </c>
      <c r="DI189" s="109">
        <v>9026067267</v>
      </c>
      <c r="DJ189" s="109" t="s">
        <v>222</v>
      </c>
      <c r="DK189" s="109">
        <v>0</v>
      </c>
      <c r="DL189" s="109" t="s">
        <v>226</v>
      </c>
      <c r="DM189" s="109">
        <v>51.92</v>
      </c>
    </row>
    <row r="190" ht="13.8" hidden="1" spans="1:117">
      <c r="A190" s="109">
        <v>2</v>
      </c>
      <c r="B190" s="109" t="s">
        <v>1345</v>
      </c>
      <c r="C190" s="109" t="s">
        <v>203</v>
      </c>
      <c r="D190" s="109" t="s">
        <v>225</v>
      </c>
      <c r="E190" s="109" t="s">
        <v>226</v>
      </c>
      <c r="F190" s="110">
        <v>46265</v>
      </c>
      <c r="G190" s="109" t="s">
        <v>240</v>
      </c>
      <c r="H190" s="109" t="s">
        <v>1346</v>
      </c>
      <c r="I190" s="109" t="s">
        <v>216</v>
      </c>
      <c r="J190" s="109" t="s">
        <v>217</v>
      </c>
      <c r="K190" s="109" t="s">
        <v>218</v>
      </c>
      <c r="L190" s="109" t="s">
        <v>219</v>
      </c>
      <c r="M190" s="207" t="s">
        <v>242</v>
      </c>
      <c r="N190" s="109" t="s">
        <v>220</v>
      </c>
      <c r="O190" s="109" t="s">
        <v>221</v>
      </c>
      <c r="P190" s="109" t="s">
        <v>243</v>
      </c>
      <c r="Q190" s="109" t="s">
        <v>216</v>
      </c>
      <c r="R190" s="109" t="s">
        <v>217</v>
      </c>
      <c r="S190" s="109" t="s">
        <v>220</v>
      </c>
      <c r="T190" s="109" t="s">
        <v>221</v>
      </c>
      <c r="U190" s="109" t="s">
        <v>216</v>
      </c>
      <c r="V190" s="109" t="s">
        <v>217</v>
      </c>
      <c r="W190" s="109" t="s">
        <v>218</v>
      </c>
      <c r="X190" s="109" t="s">
        <v>219</v>
      </c>
      <c r="Y190" s="109" t="s">
        <v>220</v>
      </c>
      <c r="Z190" s="109" t="s">
        <v>221</v>
      </c>
      <c r="AA190" s="109" t="s">
        <v>222</v>
      </c>
      <c r="AB190" s="109" t="s">
        <v>223</v>
      </c>
      <c r="AC190" s="109" t="s">
        <v>1347</v>
      </c>
      <c r="AD190" s="109" t="s">
        <v>1348</v>
      </c>
      <c r="AE190" s="109">
        <v>135</v>
      </c>
      <c r="AF190" s="109" t="s">
        <v>652</v>
      </c>
      <c r="AG190" s="109" t="s">
        <v>1349</v>
      </c>
      <c r="AH190" s="109" t="s">
        <v>297</v>
      </c>
      <c r="AI190" s="109" t="s">
        <v>1347</v>
      </c>
      <c r="AJ190" s="109" t="s">
        <v>1348</v>
      </c>
      <c r="AK190" s="109" t="s">
        <v>1349</v>
      </c>
      <c r="AL190" s="109" t="s">
        <v>297</v>
      </c>
      <c r="AM190" s="109" t="s">
        <v>366</v>
      </c>
      <c r="AN190" s="207" t="s">
        <v>1350</v>
      </c>
      <c r="AO190" s="109">
        <v>93.92</v>
      </c>
      <c r="AP190" s="109">
        <v>0</v>
      </c>
      <c r="AQ190" s="109">
        <v>16</v>
      </c>
      <c r="AR190" s="109">
        <v>0</v>
      </c>
      <c r="AS190" s="109" t="s">
        <v>252</v>
      </c>
      <c r="AT190" s="109" t="s">
        <v>229</v>
      </c>
      <c r="AU190" s="110">
        <v>46281</v>
      </c>
      <c r="AV190" s="109">
        <v>603.08</v>
      </c>
      <c r="AW190" s="109" t="s">
        <v>230</v>
      </c>
      <c r="AX190" s="109" t="s">
        <v>230</v>
      </c>
      <c r="AY190" s="109">
        <v>13334.94</v>
      </c>
      <c r="AZ190" s="109" t="s">
        <v>232</v>
      </c>
      <c r="BA190" s="109" t="s">
        <v>368</v>
      </c>
      <c r="BB190" s="109">
        <v>603.08</v>
      </c>
      <c r="BC190" s="109">
        <v>530.71</v>
      </c>
      <c r="BD190" s="109">
        <v>603.08</v>
      </c>
      <c r="BE190" s="109">
        <v>72.37</v>
      </c>
      <c r="BF190" s="111">
        <v>0.12</v>
      </c>
      <c r="BG190" s="109">
        <v>0</v>
      </c>
      <c r="BH190" s="109">
        <v>93.92</v>
      </c>
      <c r="BI190" s="109">
        <v>178.55</v>
      </c>
      <c r="BJ190" s="109">
        <v>0</v>
      </c>
      <c r="BK190" s="109">
        <v>17</v>
      </c>
      <c r="BL190" s="109">
        <v>0</v>
      </c>
      <c r="BM190" s="109">
        <v>9.76</v>
      </c>
      <c r="BN190" s="109">
        <v>20</v>
      </c>
      <c r="BO190" s="109">
        <v>5.5</v>
      </c>
      <c r="BP190" s="109">
        <v>3.23</v>
      </c>
      <c r="BQ190" s="109">
        <v>0</v>
      </c>
      <c r="BR190" s="109">
        <v>0</v>
      </c>
      <c r="BS190" s="109">
        <v>0</v>
      </c>
      <c r="BT190" s="109">
        <v>0</v>
      </c>
      <c r="BU190" s="109">
        <v>0</v>
      </c>
      <c r="BV190" s="109">
        <v>0</v>
      </c>
      <c r="BW190" s="109">
        <v>0</v>
      </c>
      <c r="BX190" s="109">
        <v>250</v>
      </c>
      <c r="BY190" s="109">
        <v>0</v>
      </c>
      <c r="BZ190" s="109">
        <v>0</v>
      </c>
      <c r="CA190" s="109">
        <v>46.67</v>
      </c>
      <c r="CB190" s="109" t="s">
        <v>225</v>
      </c>
      <c r="CC190" s="109" t="s">
        <v>687</v>
      </c>
      <c r="CD190" s="109">
        <v>553.13</v>
      </c>
      <c r="CE190" s="109">
        <v>0</v>
      </c>
      <c r="CF190" s="109">
        <v>0</v>
      </c>
      <c r="CG190" s="109">
        <v>0</v>
      </c>
      <c r="CH190" s="109">
        <v>0</v>
      </c>
      <c r="CI190" s="109">
        <v>0</v>
      </c>
      <c r="CJ190" s="109">
        <v>0</v>
      </c>
      <c r="CK190" s="109">
        <v>0</v>
      </c>
      <c r="CL190" s="109"/>
      <c r="CM190" s="109"/>
      <c r="CN190" s="109">
        <v>0</v>
      </c>
      <c r="CO190" s="109">
        <v>0</v>
      </c>
      <c r="CP190" s="109">
        <v>0</v>
      </c>
      <c r="CQ190" s="109">
        <v>0</v>
      </c>
      <c r="CR190" s="109">
        <v>0</v>
      </c>
      <c r="CS190" s="109">
        <v>0</v>
      </c>
      <c r="CT190" s="109">
        <v>0</v>
      </c>
      <c r="CU190" s="109">
        <v>14.09</v>
      </c>
      <c r="CV190" s="109" t="s">
        <v>235</v>
      </c>
      <c r="CW190" s="109">
        <v>0</v>
      </c>
      <c r="CX190" s="109"/>
      <c r="CY190" s="109">
        <v>231</v>
      </c>
      <c r="CZ190" s="109" t="s">
        <v>941</v>
      </c>
      <c r="DA190" s="109">
        <f>CY190</f>
        <v>231</v>
      </c>
      <c r="DB190" s="109"/>
      <c r="DE190" s="109">
        <v>0</v>
      </c>
      <c r="DF190" s="109" t="s">
        <v>236</v>
      </c>
      <c r="DG190" s="109" t="s">
        <v>221</v>
      </c>
      <c r="DH190" s="109" t="s">
        <v>220</v>
      </c>
      <c r="DI190" s="109">
        <v>9026067267</v>
      </c>
      <c r="DJ190" s="109" t="s">
        <v>222</v>
      </c>
      <c r="DK190" s="109">
        <v>0</v>
      </c>
      <c r="DL190" s="109" t="s">
        <v>226</v>
      </c>
      <c r="DM190" s="109">
        <v>31.09</v>
      </c>
    </row>
    <row r="191" ht="13.8" hidden="1" spans="1:117">
      <c r="A191" s="109">
        <v>2</v>
      </c>
      <c r="B191" s="109" t="s">
        <v>1351</v>
      </c>
      <c r="C191" s="109" t="s">
        <v>203</v>
      </c>
      <c r="D191" s="109" t="s">
        <v>225</v>
      </c>
      <c r="E191" s="109" t="s">
        <v>226</v>
      </c>
      <c r="F191" s="110">
        <v>46262</v>
      </c>
      <c r="G191" s="109" t="s">
        <v>1048</v>
      </c>
      <c r="H191" s="109" t="s">
        <v>1352</v>
      </c>
      <c r="I191" s="109" t="s">
        <v>216</v>
      </c>
      <c r="J191" s="109" t="s">
        <v>217</v>
      </c>
      <c r="K191" s="109" t="s">
        <v>218</v>
      </c>
      <c r="L191" s="109" t="s">
        <v>219</v>
      </c>
      <c r="M191" s="207" t="s">
        <v>242</v>
      </c>
      <c r="N191" s="109" t="s">
        <v>220</v>
      </c>
      <c r="O191" s="109" t="s">
        <v>221</v>
      </c>
      <c r="P191" s="109" t="s">
        <v>243</v>
      </c>
      <c r="Q191" s="109" t="s">
        <v>216</v>
      </c>
      <c r="R191" s="109" t="s">
        <v>217</v>
      </c>
      <c r="S191" s="109" t="s">
        <v>220</v>
      </c>
      <c r="T191" s="109" t="s">
        <v>221</v>
      </c>
      <c r="U191" s="109" t="s">
        <v>216</v>
      </c>
      <c r="V191" s="109" t="s">
        <v>217</v>
      </c>
      <c r="W191" s="109" t="s">
        <v>218</v>
      </c>
      <c r="X191" s="109" t="s">
        <v>219</v>
      </c>
      <c r="Y191" s="109" t="s">
        <v>220</v>
      </c>
      <c r="Z191" s="109" t="s">
        <v>221</v>
      </c>
      <c r="AA191" s="109" t="s">
        <v>222</v>
      </c>
      <c r="AB191" s="109" t="s">
        <v>223</v>
      </c>
      <c r="AC191" s="109" t="s">
        <v>1353</v>
      </c>
      <c r="AD191" s="109" t="s">
        <v>1354</v>
      </c>
      <c r="AE191" s="109">
        <v>365</v>
      </c>
      <c r="AF191" s="109" t="s">
        <v>284</v>
      </c>
      <c r="AG191" s="109" t="s">
        <v>285</v>
      </c>
      <c r="AH191" s="109" t="s">
        <v>214</v>
      </c>
      <c r="AI191" s="109" t="s">
        <v>1353</v>
      </c>
      <c r="AJ191" s="109" t="s">
        <v>1354</v>
      </c>
      <c r="AK191" s="109" t="s">
        <v>285</v>
      </c>
      <c r="AL191" s="109" t="s">
        <v>214</v>
      </c>
      <c r="AM191" s="109" t="s">
        <v>286</v>
      </c>
      <c r="AN191" s="207" t="s">
        <v>1355</v>
      </c>
      <c r="AO191" s="109">
        <v>351.052</v>
      </c>
      <c r="AP191" s="109">
        <v>0</v>
      </c>
      <c r="AQ191" s="109">
        <v>40</v>
      </c>
      <c r="AR191" s="109">
        <v>0</v>
      </c>
      <c r="AS191" s="109" t="s">
        <v>252</v>
      </c>
      <c r="AT191" s="109" t="s">
        <v>229</v>
      </c>
      <c r="AU191" s="110">
        <v>46274</v>
      </c>
      <c r="AV191" s="109">
        <v>528.09</v>
      </c>
      <c r="AW191" s="109" t="s">
        <v>230</v>
      </c>
      <c r="AX191" s="109" t="s">
        <v>231</v>
      </c>
      <c r="AY191" s="109">
        <v>11303.26</v>
      </c>
      <c r="AZ191" s="109" t="s">
        <v>232</v>
      </c>
      <c r="BA191" s="109" t="s">
        <v>288</v>
      </c>
      <c r="BB191" s="109">
        <v>531.16</v>
      </c>
      <c r="BC191" s="109">
        <v>467.42</v>
      </c>
      <c r="BD191" s="109">
        <v>531.16</v>
      </c>
      <c r="BE191" s="109">
        <v>63.74</v>
      </c>
      <c r="BF191" s="111">
        <v>0.12</v>
      </c>
      <c r="BG191" s="109">
        <v>0</v>
      </c>
      <c r="BH191" s="109">
        <v>351.052</v>
      </c>
      <c r="BI191" s="109">
        <v>358.92</v>
      </c>
      <c r="BJ191" s="109">
        <v>0</v>
      </c>
      <c r="BK191" s="109">
        <v>17</v>
      </c>
      <c r="BL191" s="109">
        <v>0</v>
      </c>
      <c r="BM191" s="109">
        <v>9.76</v>
      </c>
      <c r="BN191" s="109">
        <v>16.95</v>
      </c>
      <c r="BO191" s="109">
        <v>22</v>
      </c>
      <c r="BP191" s="109">
        <v>3.23</v>
      </c>
      <c r="BQ191" s="109">
        <v>0</v>
      </c>
      <c r="BR191" s="109">
        <v>0</v>
      </c>
      <c r="BS191" s="109">
        <v>0</v>
      </c>
      <c r="BT191" s="109">
        <v>0</v>
      </c>
      <c r="BU191" s="109">
        <v>0</v>
      </c>
      <c r="BV191" s="109">
        <v>0</v>
      </c>
      <c r="BW191" s="109">
        <v>0</v>
      </c>
      <c r="BX191" s="109">
        <v>0</v>
      </c>
      <c r="BY191" s="109">
        <v>0</v>
      </c>
      <c r="BZ191" s="109">
        <v>0</v>
      </c>
      <c r="CA191" s="109">
        <v>39.56</v>
      </c>
      <c r="CB191" s="109" t="s">
        <v>225</v>
      </c>
      <c r="CC191" s="109" t="s">
        <v>284</v>
      </c>
      <c r="CD191" s="109">
        <v>1052.43</v>
      </c>
      <c r="CE191" s="109">
        <v>0</v>
      </c>
      <c r="CF191" s="109">
        <v>0</v>
      </c>
      <c r="CG191" s="109">
        <v>0</v>
      </c>
      <c r="CH191" s="109">
        <v>0</v>
      </c>
      <c r="CI191" s="109">
        <v>0</v>
      </c>
      <c r="CJ191" s="109">
        <v>0</v>
      </c>
      <c r="CK191" s="109">
        <v>0</v>
      </c>
      <c r="CL191" s="109"/>
      <c r="CM191" s="109"/>
      <c r="CN191" s="109">
        <v>0</v>
      </c>
      <c r="CO191" s="109">
        <v>0</v>
      </c>
      <c r="CP191" s="109">
        <v>0</v>
      </c>
      <c r="CQ191" s="109">
        <v>0</v>
      </c>
      <c r="CR191" s="109">
        <v>0</v>
      </c>
      <c r="CS191" s="109">
        <v>0</v>
      </c>
      <c r="CT191" s="109">
        <v>0</v>
      </c>
      <c r="CU191" s="109">
        <v>52.66</v>
      </c>
      <c r="CV191" s="109" t="s">
        <v>235</v>
      </c>
      <c r="CW191" s="109">
        <v>0</v>
      </c>
      <c r="CX191" s="109"/>
      <c r="CY191" s="109">
        <v>175.53</v>
      </c>
      <c r="CZ191" s="109" t="s">
        <v>289</v>
      </c>
      <c r="DA191" s="109">
        <f>CY191</f>
        <v>175.53</v>
      </c>
      <c r="DB191" s="109"/>
      <c r="DE191" s="109">
        <v>0</v>
      </c>
      <c r="DF191" s="109" t="s">
        <v>236</v>
      </c>
      <c r="DG191" s="109" t="s">
        <v>221</v>
      </c>
      <c r="DH191" s="109" t="s">
        <v>220</v>
      </c>
      <c r="DI191" s="109">
        <v>9026067267</v>
      </c>
      <c r="DJ191" s="109" t="s">
        <v>222</v>
      </c>
      <c r="DK191" s="109">
        <v>0</v>
      </c>
      <c r="DL191" s="109" t="s">
        <v>226</v>
      </c>
      <c r="DM191" s="109">
        <v>63.74</v>
      </c>
    </row>
    <row r="192" ht="13.8" hidden="1" spans="1:117">
      <c r="A192" s="109">
        <v>2</v>
      </c>
      <c r="B192" s="109" t="s">
        <v>1356</v>
      </c>
      <c r="C192" s="109" t="s">
        <v>203</v>
      </c>
      <c r="D192" s="109" t="s">
        <v>225</v>
      </c>
      <c r="E192" s="109" t="s">
        <v>226</v>
      </c>
      <c r="F192" s="110">
        <v>46262</v>
      </c>
      <c r="G192" s="109" t="s">
        <v>1048</v>
      </c>
      <c r="H192" s="109" t="s">
        <v>1357</v>
      </c>
      <c r="I192" s="109" t="s">
        <v>216</v>
      </c>
      <c r="J192" s="109" t="s">
        <v>217</v>
      </c>
      <c r="K192" s="109" t="s">
        <v>218</v>
      </c>
      <c r="L192" s="109" t="s">
        <v>219</v>
      </c>
      <c r="M192" s="207" t="s">
        <v>242</v>
      </c>
      <c r="N192" s="109" t="s">
        <v>220</v>
      </c>
      <c r="O192" s="109" t="s">
        <v>221</v>
      </c>
      <c r="P192" s="109" t="s">
        <v>243</v>
      </c>
      <c r="Q192" s="109" t="s">
        <v>216</v>
      </c>
      <c r="R192" s="109" t="s">
        <v>217</v>
      </c>
      <c r="S192" s="109" t="s">
        <v>220</v>
      </c>
      <c r="T192" s="109" t="s">
        <v>221</v>
      </c>
      <c r="U192" s="109" t="s">
        <v>216</v>
      </c>
      <c r="V192" s="109" t="s">
        <v>217</v>
      </c>
      <c r="W192" s="109" t="s">
        <v>218</v>
      </c>
      <c r="X192" s="109" t="s">
        <v>219</v>
      </c>
      <c r="Y192" s="109" t="s">
        <v>220</v>
      </c>
      <c r="Z192" s="109" t="s">
        <v>221</v>
      </c>
      <c r="AA192" s="109" t="s">
        <v>222</v>
      </c>
      <c r="AB192" s="109" t="s">
        <v>223</v>
      </c>
      <c r="AC192" s="109" t="s">
        <v>1358</v>
      </c>
      <c r="AD192" s="109" t="s">
        <v>1359</v>
      </c>
      <c r="AE192" s="109" t="s">
        <v>305</v>
      </c>
      <c r="AF192" s="109" t="s">
        <v>204</v>
      </c>
      <c r="AG192" s="109" t="s">
        <v>306</v>
      </c>
      <c r="AH192" s="109" t="s">
        <v>214</v>
      </c>
      <c r="AI192" s="109" t="s">
        <v>1358</v>
      </c>
      <c r="AJ192" s="109" t="s">
        <v>1359</v>
      </c>
      <c r="AK192" s="109" t="s">
        <v>306</v>
      </c>
      <c r="AL192" s="109" t="s">
        <v>214</v>
      </c>
      <c r="AM192" s="109" t="s">
        <v>205</v>
      </c>
      <c r="AN192" s="207" t="s">
        <v>1360</v>
      </c>
      <c r="AO192" s="109">
        <v>70</v>
      </c>
      <c r="AP192" s="109">
        <v>0</v>
      </c>
      <c r="AQ192" s="109">
        <v>7</v>
      </c>
      <c r="AR192" s="109">
        <v>0</v>
      </c>
      <c r="AS192" s="109" t="s">
        <v>252</v>
      </c>
      <c r="AT192" s="109" t="s">
        <v>229</v>
      </c>
      <c r="AU192" s="110">
        <v>46274</v>
      </c>
      <c r="AV192" s="109">
        <v>429.25</v>
      </c>
      <c r="AW192" s="109" t="s">
        <v>230</v>
      </c>
      <c r="AX192" s="109" t="s">
        <v>230</v>
      </c>
      <c r="AY192" s="109">
        <v>2715.37</v>
      </c>
      <c r="AZ192" s="109" t="s">
        <v>232</v>
      </c>
      <c r="BA192" s="109" t="s">
        <v>308</v>
      </c>
      <c r="BB192" s="109">
        <v>431.75</v>
      </c>
      <c r="BC192" s="109">
        <v>379.94</v>
      </c>
      <c r="BD192" s="109">
        <v>431.75</v>
      </c>
      <c r="BE192" s="109">
        <v>51.81</v>
      </c>
      <c r="BF192" s="111">
        <v>0.12</v>
      </c>
      <c r="BG192" s="109">
        <v>0</v>
      </c>
      <c r="BH192" s="109">
        <v>70</v>
      </c>
      <c r="BI192" s="109">
        <v>80.88</v>
      </c>
      <c r="BJ192" s="109">
        <v>0</v>
      </c>
      <c r="BK192" s="109">
        <v>17</v>
      </c>
      <c r="BL192" s="109">
        <v>0</v>
      </c>
      <c r="BM192" s="109">
        <v>9.76</v>
      </c>
      <c r="BN192" s="109">
        <v>4.07</v>
      </c>
      <c r="BO192" s="109">
        <v>5.5</v>
      </c>
      <c r="BP192" s="109">
        <v>3.23</v>
      </c>
      <c r="BQ192" s="109">
        <v>0</v>
      </c>
      <c r="BR192" s="109">
        <v>0</v>
      </c>
      <c r="BS192" s="109">
        <v>0</v>
      </c>
      <c r="BT192" s="109">
        <v>0</v>
      </c>
      <c r="BU192" s="109">
        <v>0</v>
      </c>
      <c r="BV192" s="109">
        <v>0</v>
      </c>
      <c r="BW192" s="109">
        <v>0</v>
      </c>
      <c r="BX192" s="109">
        <v>250</v>
      </c>
      <c r="BY192" s="109">
        <v>0</v>
      </c>
      <c r="BZ192" s="109">
        <v>0</v>
      </c>
      <c r="CA192" s="109">
        <v>9.5</v>
      </c>
      <c r="CB192" s="109" t="s">
        <v>225</v>
      </c>
      <c r="CC192" s="109" t="s">
        <v>204</v>
      </c>
      <c r="CD192" s="109">
        <v>399.14</v>
      </c>
      <c r="CE192" s="109">
        <v>0</v>
      </c>
      <c r="CF192" s="109">
        <v>0</v>
      </c>
      <c r="CG192" s="109">
        <v>0</v>
      </c>
      <c r="CH192" s="109">
        <v>0</v>
      </c>
      <c r="CI192" s="109">
        <v>0</v>
      </c>
      <c r="CJ192" s="109">
        <v>0</v>
      </c>
      <c r="CK192" s="109">
        <v>0</v>
      </c>
      <c r="CL192" s="109"/>
      <c r="CM192" s="109"/>
      <c r="CN192" s="109">
        <v>0</v>
      </c>
      <c r="CO192" s="109">
        <v>0</v>
      </c>
      <c r="CP192" s="109">
        <v>0</v>
      </c>
      <c r="CQ192" s="109">
        <v>0</v>
      </c>
      <c r="CR192" s="109">
        <v>0</v>
      </c>
      <c r="CS192" s="109">
        <v>0</v>
      </c>
      <c r="CT192" s="109">
        <v>0</v>
      </c>
      <c r="CU192" s="109">
        <v>12</v>
      </c>
      <c r="CV192" s="109" t="s">
        <v>235</v>
      </c>
      <c r="CW192" s="109">
        <v>0</v>
      </c>
      <c r="CX192" s="109"/>
      <c r="CY192" s="109">
        <v>15</v>
      </c>
      <c r="CZ192" s="109" t="s">
        <v>941</v>
      </c>
      <c r="DA192" s="109">
        <v>0</v>
      </c>
      <c r="DB192" s="109"/>
      <c r="DE192" s="109">
        <v>0</v>
      </c>
      <c r="DF192" s="109" t="s">
        <v>236</v>
      </c>
      <c r="DG192" s="109" t="s">
        <v>221</v>
      </c>
      <c r="DH192" s="109" t="s">
        <v>220</v>
      </c>
      <c r="DI192" s="109">
        <v>9026067267</v>
      </c>
      <c r="DJ192" s="109" t="s">
        <v>222</v>
      </c>
      <c r="DK192" s="109">
        <v>0</v>
      </c>
      <c r="DL192" s="109" t="s">
        <v>226</v>
      </c>
      <c r="DM192" s="109">
        <v>51.81</v>
      </c>
    </row>
    <row r="193" ht="13.8" hidden="1" spans="1:117">
      <c r="A193" s="109">
        <v>2</v>
      </c>
      <c r="B193" s="109" t="s">
        <v>1361</v>
      </c>
      <c r="C193" s="109" t="s">
        <v>203</v>
      </c>
      <c r="D193" s="109" t="s">
        <v>225</v>
      </c>
      <c r="E193" s="109" t="s">
        <v>226</v>
      </c>
      <c r="F193" s="110">
        <v>46265</v>
      </c>
      <c r="G193" s="109" t="s">
        <v>797</v>
      </c>
      <c r="H193" s="109" t="s">
        <v>1362</v>
      </c>
      <c r="I193" s="109" t="s">
        <v>216</v>
      </c>
      <c r="J193" s="109" t="s">
        <v>217</v>
      </c>
      <c r="K193" s="109" t="s">
        <v>218</v>
      </c>
      <c r="L193" s="109" t="s">
        <v>219</v>
      </c>
      <c r="M193" s="207" t="s">
        <v>242</v>
      </c>
      <c r="N193" s="109" t="s">
        <v>220</v>
      </c>
      <c r="O193" s="109" t="s">
        <v>221</v>
      </c>
      <c r="P193" s="109" t="s">
        <v>243</v>
      </c>
      <c r="Q193" s="109" t="s">
        <v>216</v>
      </c>
      <c r="R193" s="109" t="s">
        <v>217</v>
      </c>
      <c r="S193" s="109" t="s">
        <v>220</v>
      </c>
      <c r="T193" s="109" t="s">
        <v>221</v>
      </c>
      <c r="U193" s="109" t="s">
        <v>216</v>
      </c>
      <c r="V193" s="109" t="s">
        <v>217</v>
      </c>
      <c r="W193" s="109" t="s">
        <v>218</v>
      </c>
      <c r="X193" s="109" t="s">
        <v>219</v>
      </c>
      <c r="Y193" s="109" t="s">
        <v>220</v>
      </c>
      <c r="Z193" s="109" t="s">
        <v>221</v>
      </c>
      <c r="AA193" s="109" t="s">
        <v>222</v>
      </c>
      <c r="AB193" s="109" t="s">
        <v>223</v>
      </c>
      <c r="AC193" s="109" t="s">
        <v>1363</v>
      </c>
      <c r="AD193" s="109" t="s">
        <v>1364</v>
      </c>
      <c r="AE193" s="109">
        <v>291</v>
      </c>
      <c r="AF193" s="109" t="s">
        <v>277</v>
      </c>
      <c r="AG193" s="109" t="s">
        <v>1365</v>
      </c>
      <c r="AH193" s="109" t="s">
        <v>273</v>
      </c>
      <c r="AI193" s="109" t="s">
        <v>1363</v>
      </c>
      <c r="AJ193" s="109" t="s">
        <v>1364</v>
      </c>
      <c r="AK193" s="109" t="s">
        <v>1365</v>
      </c>
      <c r="AL193" s="109" t="s">
        <v>273</v>
      </c>
      <c r="AM193" s="109" t="s">
        <v>274</v>
      </c>
      <c r="AN193" s="207" t="s">
        <v>1366</v>
      </c>
      <c r="AO193" s="109">
        <v>122.14</v>
      </c>
      <c r="AP193" s="109">
        <v>0</v>
      </c>
      <c r="AQ193" s="109">
        <v>16</v>
      </c>
      <c r="AR193" s="109">
        <v>0</v>
      </c>
      <c r="AS193" s="109" t="s">
        <v>252</v>
      </c>
      <c r="AT193" s="109" t="s">
        <v>229</v>
      </c>
      <c r="AU193" s="110">
        <v>46281</v>
      </c>
      <c r="AV193" s="109">
        <v>205.38</v>
      </c>
      <c r="AW193" s="109" t="s">
        <v>230</v>
      </c>
      <c r="AX193" s="109" t="s">
        <v>230</v>
      </c>
      <c r="AY193" s="109">
        <v>5067.21</v>
      </c>
      <c r="AZ193" s="109" t="s">
        <v>232</v>
      </c>
      <c r="BA193" s="109" t="s">
        <v>276</v>
      </c>
      <c r="BB193" s="109">
        <v>205.38</v>
      </c>
      <c r="BC193" s="109">
        <v>191</v>
      </c>
      <c r="BD193" s="109">
        <v>205.38</v>
      </c>
      <c r="BE193" s="109">
        <v>14.38</v>
      </c>
      <c r="BF193" s="111">
        <v>0.07</v>
      </c>
      <c r="BG193" s="109">
        <v>0</v>
      </c>
      <c r="BH193" s="109">
        <v>122.14</v>
      </c>
      <c r="BI193" s="109">
        <v>124.67</v>
      </c>
      <c r="BJ193" s="109">
        <v>0</v>
      </c>
      <c r="BK193" s="109">
        <v>17</v>
      </c>
      <c r="BL193" s="109">
        <v>0</v>
      </c>
      <c r="BM193" s="109">
        <v>9.76</v>
      </c>
      <c r="BN193" s="109">
        <v>7.6</v>
      </c>
      <c r="BO193" s="109">
        <v>11</v>
      </c>
      <c r="BP193" s="109">
        <v>3.23</v>
      </c>
      <c r="BQ193" s="109">
        <v>0</v>
      </c>
      <c r="BR193" s="109">
        <v>0</v>
      </c>
      <c r="BS193" s="109">
        <v>0</v>
      </c>
      <c r="BT193" s="109">
        <v>0</v>
      </c>
      <c r="BU193" s="109">
        <v>0</v>
      </c>
      <c r="BV193" s="109">
        <v>0</v>
      </c>
      <c r="BW193" s="109">
        <v>0</v>
      </c>
      <c r="BX193" s="109">
        <v>0</v>
      </c>
      <c r="BY193" s="109">
        <v>0</v>
      </c>
      <c r="BZ193" s="109">
        <v>0</v>
      </c>
      <c r="CA193" s="109">
        <v>17.74</v>
      </c>
      <c r="CB193" s="109" t="s">
        <v>225</v>
      </c>
      <c r="CC193" s="109" t="s">
        <v>277</v>
      </c>
      <c r="CD193" s="109">
        <v>433.2</v>
      </c>
      <c r="CE193" s="109">
        <v>0</v>
      </c>
      <c r="CF193" s="109">
        <v>0</v>
      </c>
      <c r="CG193" s="109">
        <v>0</v>
      </c>
      <c r="CH193" s="109">
        <v>0</v>
      </c>
      <c r="CI193" s="109">
        <v>0</v>
      </c>
      <c r="CJ193" s="109">
        <v>0</v>
      </c>
      <c r="CK193" s="109">
        <v>0</v>
      </c>
      <c r="CL193" s="109"/>
      <c r="CM193" s="109"/>
      <c r="CN193" s="109">
        <v>0</v>
      </c>
      <c r="CO193" s="109">
        <v>0</v>
      </c>
      <c r="CP193" s="109">
        <v>0</v>
      </c>
      <c r="CQ193" s="109">
        <v>0</v>
      </c>
      <c r="CR193" s="109">
        <v>0</v>
      </c>
      <c r="CS193" s="109">
        <v>0</v>
      </c>
      <c r="CT193" s="109">
        <v>0</v>
      </c>
      <c r="CU193" s="109">
        <v>18.32</v>
      </c>
      <c r="CV193" s="109" t="s">
        <v>235</v>
      </c>
      <c r="CW193" s="109">
        <v>0</v>
      </c>
      <c r="CX193" s="109"/>
      <c r="CY193" s="109">
        <v>91.68</v>
      </c>
      <c r="CZ193" s="109" t="s">
        <v>1367</v>
      </c>
      <c r="DA193" s="109">
        <v>98.58</v>
      </c>
      <c r="DB193" s="207" t="s">
        <v>1368</v>
      </c>
      <c r="DE193" s="109">
        <v>0</v>
      </c>
      <c r="DF193" s="109" t="s">
        <v>236</v>
      </c>
      <c r="DG193" s="109" t="s">
        <v>221</v>
      </c>
      <c r="DH193" s="109" t="s">
        <v>220</v>
      </c>
      <c r="DI193" s="109">
        <v>9026067267</v>
      </c>
      <c r="DJ193" s="109" t="s">
        <v>222</v>
      </c>
      <c r="DK193" s="109">
        <v>0</v>
      </c>
      <c r="DL193" s="109" t="s">
        <v>226</v>
      </c>
      <c r="DM193" s="109">
        <v>14.38</v>
      </c>
    </row>
    <row r="194" ht="13.8" hidden="1" spans="1:117">
      <c r="A194" s="109">
        <v>2</v>
      </c>
      <c r="B194" s="109" t="s">
        <v>1369</v>
      </c>
      <c r="C194" s="109" t="s">
        <v>203</v>
      </c>
      <c r="D194" s="109" t="s">
        <v>225</v>
      </c>
      <c r="E194" s="109" t="s">
        <v>226</v>
      </c>
      <c r="F194" s="110">
        <v>46265</v>
      </c>
      <c r="G194" s="109" t="s">
        <v>240</v>
      </c>
      <c r="H194" s="109" t="s">
        <v>1370</v>
      </c>
      <c r="I194" s="109" t="s">
        <v>216</v>
      </c>
      <c r="J194" s="109" t="s">
        <v>217</v>
      </c>
      <c r="K194" s="109" t="s">
        <v>218</v>
      </c>
      <c r="L194" s="109" t="s">
        <v>219</v>
      </c>
      <c r="M194" s="207" t="s">
        <v>242</v>
      </c>
      <c r="N194" s="109" t="s">
        <v>220</v>
      </c>
      <c r="O194" s="109" t="s">
        <v>221</v>
      </c>
      <c r="P194" s="109" t="s">
        <v>243</v>
      </c>
      <c r="Q194" s="109" t="s">
        <v>216</v>
      </c>
      <c r="R194" s="109" t="s">
        <v>217</v>
      </c>
      <c r="S194" s="109" t="s">
        <v>220</v>
      </c>
      <c r="T194" s="109" t="s">
        <v>221</v>
      </c>
      <c r="U194" s="109" t="s">
        <v>216</v>
      </c>
      <c r="V194" s="109" t="s">
        <v>217</v>
      </c>
      <c r="W194" s="109" t="s">
        <v>218</v>
      </c>
      <c r="X194" s="109" t="s">
        <v>219</v>
      </c>
      <c r="Y194" s="109" t="s">
        <v>220</v>
      </c>
      <c r="Z194" s="109" t="s">
        <v>221</v>
      </c>
      <c r="AA194" s="109" t="s">
        <v>222</v>
      </c>
      <c r="AB194" s="109" t="s">
        <v>223</v>
      </c>
      <c r="AC194" s="109" t="s">
        <v>1371</v>
      </c>
      <c r="AD194" s="109" t="s">
        <v>1372</v>
      </c>
      <c r="AE194" s="109">
        <v>368</v>
      </c>
      <c r="AF194" s="109" t="s">
        <v>284</v>
      </c>
      <c r="AG194" s="109" t="s">
        <v>996</v>
      </c>
      <c r="AH194" s="109" t="s">
        <v>214</v>
      </c>
      <c r="AI194" s="109" t="s">
        <v>1371</v>
      </c>
      <c r="AJ194" s="109" t="s">
        <v>1372</v>
      </c>
      <c r="AK194" s="109" t="s">
        <v>996</v>
      </c>
      <c r="AL194" s="109" t="s">
        <v>214</v>
      </c>
      <c r="AM194" s="109" t="s">
        <v>286</v>
      </c>
      <c r="AN194" s="207" t="s">
        <v>1373</v>
      </c>
      <c r="AO194" s="109">
        <v>203.23</v>
      </c>
      <c r="AP194" s="109">
        <v>0</v>
      </c>
      <c r="AQ194" s="109">
        <v>19</v>
      </c>
      <c r="AR194" s="109">
        <v>0</v>
      </c>
      <c r="AS194" s="109" t="s">
        <v>252</v>
      </c>
      <c r="AT194" s="109" t="s">
        <v>229</v>
      </c>
      <c r="AU194" s="110">
        <v>46281</v>
      </c>
      <c r="AV194" s="109">
        <v>319.58</v>
      </c>
      <c r="AW194" s="109" t="s">
        <v>230</v>
      </c>
      <c r="AX194" s="109" t="s">
        <v>230</v>
      </c>
      <c r="AY194" s="109">
        <v>5390.39</v>
      </c>
      <c r="AZ194" s="109" t="s">
        <v>232</v>
      </c>
      <c r="BA194" s="109" t="s">
        <v>288</v>
      </c>
      <c r="BB194" s="109">
        <v>319.58</v>
      </c>
      <c r="BC194" s="109">
        <v>281.23</v>
      </c>
      <c r="BD194" s="109">
        <v>319.58</v>
      </c>
      <c r="BE194" s="109">
        <v>38.35</v>
      </c>
      <c r="BF194" s="111">
        <v>0.12</v>
      </c>
      <c r="BG194" s="109">
        <v>0</v>
      </c>
      <c r="BH194" s="109">
        <v>203.23</v>
      </c>
      <c r="BI194" s="109">
        <v>207.78</v>
      </c>
      <c r="BJ194" s="109">
        <v>0</v>
      </c>
      <c r="BK194" s="109">
        <v>17</v>
      </c>
      <c r="BL194" s="109">
        <v>0</v>
      </c>
      <c r="BM194" s="109">
        <v>9.76</v>
      </c>
      <c r="BN194" s="109">
        <v>8.09</v>
      </c>
      <c r="BO194" s="109">
        <v>16.5</v>
      </c>
      <c r="BP194" s="109">
        <v>3.23</v>
      </c>
      <c r="BQ194" s="109">
        <v>0</v>
      </c>
      <c r="BR194" s="109">
        <v>0</v>
      </c>
      <c r="BS194" s="109">
        <v>0</v>
      </c>
      <c r="BT194" s="109">
        <v>0</v>
      </c>
      <c r="BU194" s="109">
        <v>0</v>
      </c>
      <c r="BV194" s="109">
        <v>0</v>
      </c>
      <c r="BW194" s="109">
        <v>0</v>
      </c>
      <c r="BX194" s="109">
        <v>0</v>
      </c>
      <c r="BY194" s="109">
        <v>0</v>
      </c>
      <c r="BZ194" s="109">
        <v>0</v>
      </c>
      <c r="CA194" s="109">
        <v>18.87</v>
      </c>
      <c r="CB194" s="109" t="s">
        <v>225</v>
      </c>
      <c r="CC194" s="109" t="s">
        <v>284</v>
      </c>
      <c r="CD194" s="109">
        <v>449.23</v>
      </c>
      <c r="CE194" s="109">
        <v>0</v>
      </c>
      <c r="CF194" s="109">
        <v>0</v>
      </c>
      <c r="CG194" s="109">
        <v>0</v>
      </c>
      <c r="CH194" s="109">
        <v>0</v>
      </c>
      <c r="CI194" s="109">
        <v>0</v>
      </c>
      <c r="CJ194" s="109">
        <v>0</v>
      </c>
      <c r="CK194" s="109">
        <v>0</v>
      </c>
      <c r="CL194" s="109"/>
      <c r="CM194" s="109"/>
      <c r="CN194" s="109">
        <v>0</v>
      </c>
      <c r="CO194" s="109">
        <v>0</v>
      </c>
      <c r="CP194" s="109">
        <v>0</v>
      </c>
      <c r="CQ194" s="109">
        <v>0</v>
      </c>
      <c r="CR194" s="109">
        <v>0</v>
      </c>
      <c r="CS194" s="109">
        <v>0</v>
      </c>
      <c r="CT194" s="109">
        <v>0</v>
      </c>
      <c r="CU194" s="109">
        <v>30.48</v>
      </c>
      <c r="CV194" s="109" t="s">
        <v>235</v>
      </c>
      <c r="CW194" s="109">
        <v>0</v>
      </c>
      <c r="CX194" s="109"/>
      <c r="CY194" s="109">
        <v>101.62</v>
      </c>
      <c r="CZ194" s="109" t="s">
        <v>289</v>
      </c>
      <c r="DA194" s="109">
        <f>CY194</f>
        <v>101.62</v>
      </c>
      <c r="DB194" s="109"/>
      <c r="DE194" s="109">
        <v>0</v>
      </c>
      <c r="DF194" s="109" t="s">
        <v>236</v>
      </c>
      <c r="DG194" s="109" t="s">
        <v>221</v>
      </c>
      <c r="DH194" s="109" t="s">
        <v>220</v>
      </c>
      <c r="DI194" s="109">
        <v>9026067267</v>
      </c>
      <c r="DJ194" s="109" t="s">
        <v>222</v>
      </c>
      <c r="DK194" s="109">
        <v>0</v>
      </c>
      <c r="DL194" s="109" t="s">
        <v>226</v>
      </c>
      <c r="DM194" s="109">
        <v>38.35</v>
      </c>
    </row>
    <row r="195" ht="13.8" hidden="1" spans="1:117">
      <c r="A195" s="109">
        <v>2</v>
      </c>
      <c r="B195" s="109" t="s">
        <v>1374</v>
      </c>
      <c r="C195" s="109" t="s">
        <v>203</v>
      </c>
      <c r="D195" s="109" t="s">
        <v>225</v>
      </c>
      <c r="E195" s="109" t="s">
        <v>226</v>
      </c>
      <c r="F195" s="110">
        <v>46265</v>
      </c>
      <c r="G195" s="109" t="s">
        <v>240</v>
      </c>
      <c r="H195" s="109" t="s">
        <v>1375</v>
      </c>
      <c r="I195" s="109" t="s">
        <v>216</v>
      </c>
      <c r="J195" s="109" t="s">
        <v>217</v>
      </c>
      <c r="K195" s="109" t="s">
        <v>218</v>
      </c>
      <c r="L195" s="109" t="s">
        <v>219</v>
      </c>
      <c r="M195" s="207" t="s">
        <v>242</v>
      </c>
      <c r="N195" s="109" t="s">
        <v>220</v>
      </c>
      <c r="O195" s="109" t="s">
        <v>221</v>
      </c>
      <c r="P195" s="109" t="s">
        <v>243</v>
      </c>
      <c r="Q195" s="109" t="s">
        <v>216</v>
      </c>
      <c r="R195" s="109" t="s">
        <v>217</v>
      </c>
      <c r="S195" s="109" t="s">
        <v>220</v>
      </c>
      <c r="T195" s="109" t="s">
        <v>221</v>
      </c>
      <c r="U195" s="109" t="s">
        <v>216</v>
      </c>
      <c r="V195" s="109" t="s">
        <v>217</v>
      </c>
      <c r="W195" s="109" t="s">
        <v>218</v>
      </c>
      <c r="X195" s="109" t="s">
        <v>219</v>
      </c>
      <c r="Y195" s="109" t="s">
        <v>220</v>
      </c>
      <c r="Z195" s="109" t="s">
        <v>221</v>
      </c>
      <c r="AA195" s="109" t="s">
        <v>222</v>
      </c>
      <c r="AB195" s="109" t="s">
        <v>223</v>
      </c>
      <c r="AC195" s="109" t="s">
        <v>1376</v>
      </c>
      <c r="AD195" s="109" t="s">
        <v>1377</v>
      </c>
      <c r="AE195" s="109" t="s">
        <v>246</v>
      </c>
      <c r="AF195" s="109" t="s">
        <v>247</v>
      </c>
      <c r="AG195" s="109" t="s">
        <v>248</v>
      </c>
      <c r="AH195" s="109" t="s">
        <v>249</v>
      </c>
      <c r="AI195" s="109" t="s">
        <v>1376</v>
      </c>
      <c r="AJ195" s="109" t="s">
        <v>1377</v>
      </c>
      <c r="AK195" s="109" t="s">
        <v>248</v>
      </c>
      <c r="AL195" s="109" t="s">
        <v>249</v>
      </c>
      <c r="AM195" s="109" t="s">
        <v>250</v>
      </c>
      <c r="AN195" s="207" t="s">
        <v>1378</v>
      </c>
      <c r="AO195" s="109">
        <v>145.41</v>
      </c>
      <c r="AP195" s="109">
        <v>0</v>
      </c>
      <c r="AQ195" s="109">
        <v>17</v>
      </c>
      <c r="AR195" s="109">
        <v>0</v>
      </c>
      <c r="AS195" s="109" t="s">
        <v>252</v>
      </c>
      <c r="AT195" s="109" t="s">
        <v>229</v>
      </c>
      <c r="AU195" s="110">
        <v>46281</v>
      </c>
      <c r="AV195" s="109">
        <v>218.05</v>
      </c>
      <c r="AW195" s="109" t="s">
        <v>230</v>
      </c>
      <c r="AX195" s="109" t="s">
        <v>231</v>
      </c>
      <c r="AY195" s="109">
        <v>4002.27</v>
      </c>
      <c r="AZ195" s="109" t="s">
        <v>232</v>
      </c>
      <c r="BA195" s="109" t="s">
        <v>253</v>
      </c>
      <c r="BB195" s="109">
        <v>218.05</v>
      </c>
      <c r="BC195" s="109">
        <v>191.88</v>
      </c>
      <c r="BD195" s="109">
        <v>218.05</v>
      </c>
      <c r="BE195" s="109">
        <v>26.17</v>
      </c>
      <c r="BF195" s="111">
        <v>0.12</v>
      </c>
      <c r="BG195" s="109">
        <v>0</v>
      </c>
      <c r="BH195" s="109">
        <v>145.41</v>
      </c>
      <c r="BI195" s="109">
        <v>130.88</v>
      </c>
      <c r="BJ195" s="109">
        <v>0</v>
      </c>
      <c r="BK195" s="109">
        <v>17</v>
      </c>
      <c r="BL195" s="109">
        <v>0</v>
      </c>
      <c r="BM195" s="109">
        <v>9.76</v>
      </c>
      <c r="BN195" s="109">
        <v>6</v>
      </c>
      <c r="BO195" s="109">
        <v>11</v>
      </c>
      <c r="BP195" s="109">
        <v>3.23</v>
      </c>
      <c r="BQ195" s="109">
        <v>0</v>
      </c>
      <c r="BR195" s="109">
        <v>0</v>
      </c>
      <c r="BS195" s="109">
        <v>0</v>
      </c>
      <c r="BT195" s="109">
        <v>0</v>
      </c>
      <c r="BU195" s="109">
        <v>0</v>
      </c>
      <c r="BV195" s="109">
        <v>0</v>
      </c>
      <c r="BW195" s="109">
        <v>0</v>
      </c>
      <c r="BX195" s="109">
        <v>0</v>
      </c>
      <c r="BY195" s="109">
        <v>0</v>
      </c>
      <c r="BZ195" s="109">
        <v>0</v>
      </c>
      <c r="CA195" s="109">
        <v>14.01</v>
      </c>
      <c r="CB195" s="109" t="s">
        <v>225</v>
      </c>
      <c r="CC195" s="109" t="s">
        <v>247</v>
      </c>
      <c r="CD195" s="109">
        <v>417.8</v>
      </c>
      <c r="CE195" s="109">
        <v>0</v>
      </c>
      <c r="CF195" s="109">
        <v>0</v>
      </c>
      <c r="CG195" s="109">
        <v>0</v>
      </c>
      <c r="CH195" s="109">
        <v>0</v>
      </c>
      <c r="CI195" s="109">
        <v>0</v>
      </c>
      <c r="CJ195" s="109">
        <v>0</v>
      </c>
      <c r="CK195" s="109">
        <v>0</v>
      </c>
      <c r="CL195" s="109"/>
      <c r="CM195" s="109"/>
      <c r="CN195" s="109">
        <v>0</v>
      </c>
      <c r="CO195" s="109">
        <v>0</v>
      </c>
      <c r="CP195" s="109">
        <v>0</v>
      </c>
      <c r="CQ195" s="109">
        <v>0</v>
      </c>
      <c r="CR195" s="109">
        <v>0</v>
      </c>
      <c r="CS195" s="109">
        <v>0</v>
      </c>
      <c r="CT195" s="109">
        <v>0</v>
      </c>
      <c r="CU195" s="109">
        <v>21.81</v>
      </c>
      <c r="CV195" s="109" t="s">
        <v>235</v>
      </c>
      <c r="CW195" s="109">
        <v>0</v>
      </c>
      <c r="CX195" s="109"/>
      <c r="CY195" s="109">
        <v>26.17</v>
      </c>
      <c r="CZ195" s="109" t="s">
        <v>941</v>
      </c>
      <c r="DA195" s="109">
        <v>0</v>
      </c>
      <c r="DB195" s="109"/>
      <c r="DE195" s="109">
        <v>0</v>
      </c>
      <c r="DF195" s="109" t="s">
        <v>236</v>
      </c>
      <c r="DG195" s="109" t="s">
        <v>221</v>
      </c>
      <c r="DH195" s="109" t="s">
        <v>220</v>
      </c>
      <c r="DI195" s="109">
        <v>9026067267</v>
      </c>
      <c r="DJ195" s="109" t="s">
        <v>222</v>
      </c>
      <c r="DK195" s="109">
        <v>0</v>
      </c>
      <c r="DL195" s="109" t="s">
        <v>226</v>
      </c>
      <c r="DM195" s="109">
        <v>26.17</v>
      </c>
    </row>
    <row r="196" ht="13.8" hidden="1" spans="1:117">
      <c r="A196" s="109">
        <v>2</v>
      </c>
      <c r="B196" s="109" t="s">
        <v>1379</v>
      </c>
      <c r="C196" s="109" t="s">
        <v>203</v>
      </c>
      <c r="D196" s="109" t="s">
        <v>225</v>
      </c>
      <c r="E196" s="109" t="s">
        <v>226</v>
      </c>
      <c r="F196" s="110">
        <v>46265</v>
      </c>
      <c r="G196" s="109" t="s">
        <v>240</v>
      </c>
      <c r="H196" s="109" t="s">
        <v>1380</v>
      </c>
      <c r="I196" s="109" t="s">
        <v>216</v>
      </c>
      <c r="J196" s="109" t="s">
        <v>217</v>
      </c>
      <c r="K196" s="109" t="s">
        <v>218</v>
      </c>
      <c r="L196" s="109" t="s">
        <v>219</v>
      </c>
      <c r="M196" s="207" t="s">
        <v>242</v>
      </c>
      <c r="N196" s="109" t="s">
        <v>220</v>
      </c>
      <c r="O196" s="109" t="s">
        <v>221</v>
      </c>
      <c r="P196" s="109" t="s">
        <v>243</v>
      </c>
      <c r="Q196" s="109" t="s">
        <v>216</v>
      </c>
      <c r="R196" s="109" t="s">
        <v>217</v>
      </c>
      <c r="S196" s="109" t="s">
        <v>220</v>
      </c>
      <c r="T196" s="109" t="s">
        <v>221</v>
      </c>
      <c r="U196" s="109" t="s">
        <v>216</v>
      </c>
      <c r="V196" s="109" t="s">
        <v>217</v>
      </c>
      <c r="W196" s="109" t="s">
        <v>218</v>
      </c>
      <c r="X196" s="109" t="s">
        <v>219</v>
      </c>
      <c r="Y196" s="109" t="s">
        <v>220</v>
      </c>
      <c r="Z196" s="109" t="s">
        <v>221</v>
      </c>
      <c r="AA196" s="109" t="s">
        <v>222</v>
      </c>
      <c r="AB196" s="109" t="s">
        <v>223</v>
      </c>
      <c r="AC196" s="109" t="s">
        <v>1381</v>
      </c>
      <c r="AD196" s="109" t="s">
        <v>1382</v>
      </c>
      <c r="AE196" s="109">
        <v>159</v>
      </c>
      <c r="AF196" s="109" t="s">
        <v>804</v>
      </c>
      <c r="AG196" s="109" t="s">
        <v>1383</v>
      </c>
      <c r="AH196" s="109" t="s">
        <v>297</v>
      </c>
      <c r="AI196" s="109" t="s">
        <v>1381</v>
      </c>
      <c r="AJ196" s="109" t="s">
        <v>1382</v>
      </c>
      <c r="AK196" s="109" t="s">
        <v>1383</v>
      </c>
      <c r="AL196" s="109" t="s">
        <v>297</v>
      </c>
      <c r="AM196" s="109" t="s">
        <v>806</v>
      </c>
      <c r="AN196" s="207" t="s">
        <v>1384</v>
      </c>
      <c r="AO196" s="109">
        <v>89.645</v>
      </c>
      <c r="AP196" s="109">
        <v>0</v>
      </c>
      <c r="AQ196" s="109">
        <v>14</v>
      </c>
      <c r="AR196" s="109">
        <v>0</v>
      </c>
      <c r="AS196" s="109" t="s">
        <v>252</v>
      </c>
      <c r="AT196" s="109" t="s">
        <v>229</v>
      </c>
      <c r="AU196" s="110">
        <v>46281</v>
      </c>
      <c r="AV196" s="109">
        <v>268.4</v>
      </c>
      <c r="AW196" s="109" t="s">
        <v>230</v>
      </c>
      <c r="AX196" s="109" t="s">
        <v>230</v>
      </c>
      <c r="AY196" s="109">
        <v>3959.66</v>
      </c>
      <c r="AZ196" s="109" t="s">
        <v>232</v>
      </c>
      <c r="BA196" s="109" t="s">
        <v>557</v>
      </c>
      <c r="BB196" s="109">
        <v>268.4</v>
      </c>
      <c r="BC196" s="109">
        <v>236.19</v>
      </c>
      <c r="BD196" s="109">
        <v>268.4</v>
      </c>
      <c r="BE196" s="109">
        <v>32.21</v>
      </c>
      <c r="BF196" s="111">
        <v>0.12</v>
      </c>
      <c r="BG196" s="109">
        <v>0</v>
      </c>
      <c r="BH196" s="109">
        <v>89.645</v>
      </c>
      <c r="BI196" s="109">
        <v>134.1</v>
      </c>
      <c r="BJ196" s="109">
        <v>0</v>
      </c>
      <c r="BK196" s="109">
        <v>17</v>
      </c>
      <c r="BL196" s="109">
        <v>0</v>
      </c>
      <c r="BM196" s="109">
        <v>9.76</v>
      </c>
      <c r="BN196" s="109">
        <v>5.94</v>
      </c>
      <c r="BO196" s="109">
        <v>5.5</v>
      </c>
      <c r="BP196" s="109">
        <v>3.23</v>
      </c>
      <c r="BQ196" s="109">
        <v>46.8</v>
      </c>
      <c r="BR196" s="109">
        <v>0</v>
      </c>
      <c r="BS196" s="109">
        <v>0</v>
      </c>
      <c r="BT196" s="109">
        <v>0</v>
      </c>
      <c r="BU196" s="109">
        <v>0</v>
      </c>
      <c r="BV196" s="109">
        <v>0</v>
      </c>
      <c r="BW196" s="109">
        <v>0</v>
      </c>
      <c r="BX196" s="109">
        <v>0</v>
      </c>
      <c r="BY196" s="109">
        <v>0</v>
      </c>
      <c r="BZ196" s="109">
        <v>0</v>
      </c>
      <c r="CA196" s="109">
        <v>13.86</v>
      </c>
      <c r="CB196" s="109" t="s">
        <v>225</v>
      </c>
      <c r="CC196" s="109" t="s">
        <v>558</v>
      </c>
      <c r="CD196" s="109">
        <v>417.16</v>
      </c>
      <c r="CE196" s="109">
        <v>0</v>
      </c>
      <c r="CF196" s="109">
        <v>0</v>
      </c>
      <c r="CG196" s="109">
        <v>0</v>
      </c>
      <c r="CH196" s="109">
        <v>0</v>
      </c>
      <c r="CI196" s="109">
        <v>0</v>
      </c>
      <c r="CJ196" s="109">
        <v>0</v>
      </c>
      <c r="CK196" s="109">
        <v>0</v>
      </c>
      <c r="CL196" s="109"/>
      <c r="CM196" s="109"/>
      <c r="CN196" s="109">
        <v>0</v>
      </c>
      <c r="CO196" s="109">
        <v>0</v>
      </c>
      <c r="CP196" s="109">
        <v>0</v>
      </c>
      <c r="CQ196" s="109">
        <v>0</v>
      </c>
      <c r="CR196" s="109">
        <v>0</v>
      </c>
      <c r="CS196" s="109">
        <v>0</v>
      </c>
      <c r="CT196" s="109">
        <v>0</v>
      </c>
      <c r="CU196" s="109">
        <v>13.45</v>
      </c>
      <c r="CV196" s="109" t="s">
        <v>235</v>
      </c>
      <c r="CW196" s="109">
        <v>0</v>
      </c>
      <c r="CX196" s="109"/>
      <c r="CY196" s="109">
        <v>72.41</v>
      </c>
      <c r="CZ196" s="109" t="s">
        <v>1385</v>
      </c>
      <c r="DA196" s="109">
        <v>79.46</v>
      </c>
      <c r="DB196" s="109">
        <v>327985</v>
      </c>
      <c r="DE196" s="109">
        <v>0</v>
      </c>
      <c r="DF196" s="109" t="s">
        <v>236</v>
      </c>
      <c r="DG196" s="109" t="s">
        <v>221</v>
      </c>
      <c r="DH196" s="109" t="s">
        <v>220</v>
      </c>
      <c r="DI196" s="109">
        <v>9026067267</v>
      </c>
      <c r="DJ196" s="109" t="s">
        <v>222</v>
      </c>
      <c r="DK196" s="109">
        <v>0</v>
      </c>
      <c r="DL196" s="109" t="s">
        <v>226</v>
      </c>
      <c r="DM196" s="109">
        <v>32.21</v>
      </c>
    </row>
    <row r="197" ht="13.8" hidden="1" spans="1:117">
      <c r="A197" s="109">
        <v>2</v>
      </c>
      <c r="B197" s="109" t="s">
        <v>1386</v>
      </c>
      <c r="C197" s="109" t="s">
        <v>203</v>
      </c>
      <c r="D197" s="109" t="s">
        <v>225</v>
      </c>
      <c r="E197" s="109" t="s">
        <v>226</v>
      </c>
      <c r="F197" s="110">
        <v>46244</v>
      </c>
      <c r="G197" s="109" t="s">
        <v>240</v>
      </c>
      <c r="H197" s="109" t="s">
        <v>1387</v>
      </c>
      <c r="I197" s="109" t="s">
        <v>216</v>
      </c>
      <c r="J197" s="109" t="s">
        <v>217</v>
      </c>
      <c r="K197" s="109" t="s">
        <v>218</v>
      </c>
      <c r="L197" s="109" t="s">
        <v>219</v>
      </c>
      <c r="M197" s="207" t="s">
        <v>242</v>
      </c>
      <c r="N197" s="109" t="s">
        <v>220</v>
      </c>
      <c r="O197" s="109" t="s">
        <v>221</v>
      </c>
      <c r="P197" s="109" t="s">
        <v>243</v>
      </c>
      <c r="Q197" s="109" t="s">
        <v>216</v>
      </c>
      <c r="R197" s="109" t="s">
        <v>217</v>
      </c>
      <c r="S197" s="109" t="s">
        <v>220</v>
      </c>
      <c r="T197" s="109" t="s">
        <v>221</v>
      </c>
      <c r="U197" s="109" t="s">
        <v>216</v>
      </c>
      <c r="V197" s="109" t="s">
        <v>217</v>
      </c>
      <c r="W197" s="109" t="s">
        <v>218</v>
      </c>
      <c r="X197" s="109" t="s">
        <v>219</v>
      </c>
      <c r="Y197" s="109" t="s">
        <v>220</v>
      </c>
      <c r="Z197" s="109" t="s">
        <v>221</v>
      </c>
      <c r="AA197" s="109" t="s">
        <v>222</v>
      </c>
      <c r="AB197" s="109" t="s">
        <v>223</v>
      </c>
      <c r="AC197" s="109" t="s">
        <v>1388</v>
      </c>
      <c r="AD197" s="109" t="s">
        <v>1389</v>
      </c>
      <c r="AE197" s="109">
        <v>133</v>
      </c>
      <c r="AF197" s="109" t="s">
        <v>1390</v>
      </c>
      <c r="AG197" s="109" t="s">
        <v>1391</v>
      </c>
      <c r="AH197" s="109" t="s">
        <v>297</v>
      </c>
      <c r="AI197" s="109" t="s">
        <v>1388</v>
      </c>
      <c r="AJ197" s="109" t="s">
        <v>1389</v>
      </c>
      <c r="AK197" s="109" t="s">
        <v>1391</v>
      </c>
      <c r="AL197" s="109" t="s">
        <v>297</v>
      </c>
      <c r="AM197" s="109" t="s">
        <v>1392</v>
      </c>
      <c r="AN197" s="207" t="s">
        <v>1393</v>
      </c>
      <c r="AO197" s="109">
        <v>64.32</v>
      </c>
      <c r="AP197" s="109">
        <v>0</v>
      </c>
      <c r="AQ197" s="109">
        <v>5</v>
      </c>
      <c r="AR197" s="109">
        <v>0</v>
      </c>
      <c r="AS197" s="109" t="s">
        <v>252</v>
      </c>
      <c r="AT197" s="109" t="s">
        <v>229</v>
      </c>
      <c r="AU197" s="110">
        <v>46260</v>
      </c>
      <c r="AV197" s="109">
        <v>239.28</v>
      </c>
      <c r="AW197" s="109" t="s">
        <v>230</v>
      </c>
      <c r="AX197" s="109" t="s">
        <v>230</v>
      </c>
      <c r="AY197" s="109">
        <v>7868.22</v>
      </c>
      <c r="AZ197" s="109" t="s">
        <v>232</v>
      </c>
      <c r="BA197" s="109" t="s">
        <v>368</v>
      </c>
      <c r="BB197" s="109">
        <v>239.28</v>
      </c>
      <c r="BC197" s="109">
        <v>210.57</v>
      </c>
      <c r="BD197" s="109">
        <v>239.28</v>
      </c>
      <c r="BE197" s="109">
        <v>28.71</v>
      </c>
      <c r="BF197" s="111">
        <v>0.12</v>
      </c>
      <c r="BG197" s="109">
        <v>0</v>
      </c>
      <c r="BH197" s="109">
        <v>64.32</v>
      </c>
      <c r="BI197" s="109">
        <v>135.74</v>
      </c>
      <c r="BJ197" s="109">
        <v>0</v>
      </c>
      <c r="BK197" s="109">
        <v>17</v>
      </c>
      <c r="BL197" s="109">
        <v>0</v>
      </c>
      <c r="BM197" s="109">
        <v>9.76</v>
      </c>
      <c r="BN197" s="109">
        <v>11.8</v>
      </c>
      <c r="BO197" s="109">
        <v>5.5</v>
      </c>
      <c r="BP197" s="109">
        <v>3.23</v>
      </c>
      <c r="BQ197" s="109">
        <v>0</v>
      </c>
      <c r="BR197" s="109">
        <v>0</v>
      </c>
      <c r="BS197" s="109">
        <v>0</v>
      </c>
      <c r="BT197" s="109">
        <v>0</v>
      </c>
      <c r="BU197" s="109">
        <v>0</v>
      </c>
      <c r="BV197" s="109">
        <v>0</v>
      </c>
      <c r="BW197" s="109">
        <v>0</v>
      </c>
      <c r="BX197" s="109">
        <v>0</v>
      </c>
      <c r="BY197" s="109">
        <v>0</v>
      </c>
      <c r="BZ197" s="109">
        <v>0</v>
      </c>
      <c r="CA197" s="109">
        <v>27.54</v>
      </c>
      <c r="CB197" s="109" t="s">
        <v>225</v>
      </c>
      <c r="CC197" s="109" t="s">
        <v>1390</v>
      </c>
      <c r="CD197" s="109">
        <v>452.33</v>
      </c>
      <c r="CE197" s="109">
        <v>0</v>
      </c>
      <c r="CF197" s="109">
        <v>0</v>
      </c>
      <c r="CG197" s="109">
        <v>0</v>
      </c>
      <c r="CH197" s="109">
        <v>0</v>
      </c>
      <c r="CI197" s="109">
        <v>0</v>
      </c>
      <c r="CJ197" s="109">
        <v>0</v>
      </c>
      <c r="CK197" s="109">
        <v>0</v>
      </c>
      <c r="CL197" s="109"/>
      <c r="CM197" s="109"/>
      <c r="CN197" s="109">
        <v>0</v>
      </c>
      <c r="CO197" s="109">
        <v>0</v>
      </c>
      <c r="CP197" s="109">
        <v>0</v>
      </c>
      <c r="CQ197" s="109">
        <v>0</v>
      </c>
      <c r="CR197" s="109">
        <v>0</v>
      </c>
      <c r="CS197" s="109">
        <v>0</v>
      </c>
      <c r="CT197" s="109">
        <v>0</v>
      </c>
      <c r="CU197" s="109">
        <v>12</v>
      </c>
      <c r="CV197" s="109" t="s">
        <v>254</v>
      </c>
      <c r="CW197" s="109">
        <v>0</v>
      </c>
      <c r="CX197" s="109"/>
      <c r="CY197" s="109">
        <v>35.89</v>
      </c>
      <c r="CZ197" s="109" t="s">
        <v>235</v>
      </c>
      <c r="DA197" s="109">
        <f>CY197</f>
        <v>35.89</v>
      </c>
      <c r="DB197" s="109"/>
      <c r="DE197" s="109">
        <v>0</v>
      </c>
      <c r="DF197" s="109" t="s">
        <v>236</v>
      </c>
      <c r="DG197" s="109" t="s">
        <v>221</v>
      </c>
      <c r="DH197" s="109" t="s">
        <v>220</v>
      </c>
      <c r="DI197" s="109">
        <v>9026067267</v>
      </c>
      <c r="DJ197" s="109" t="s">
        <v>222</v>
      </c>
      <c r="DK197" s="109">
        <v>0</v>
      </c>
      <c r="DL197" s="109" t="s">
        <v>226</v>
      </c>
      <c r="DM197" s="109">
        <v>25.18</v>
      </c>
    </row>
    <row r="198" ht="13.8" hidden="1" spans="1:117">
      <c r="A198" s="109">
        <v>2</v>
      </c>
      <c r="B198" s="109" t="s">
        <v>1394</v>
      </c>
      <c r="C198" s="109" t="s">
        <v>203</v>
      </c>
      <c r="D198" s="109" t="s">
        <v>225</v>
      </c>
      <c r="E198" s="109" t="s">
        <v>226</v>
      </c>
      <c r="F198" s="110">
        <v>46265</v>
      </c>
      <c r="G198" s="109" t="s">
        <v>240</v>
      </c>
      <c r="H198" s="109" t="s">
        <v>1395</v>
      </c>
      <c r="I198" s="109" t="s">
        <v>216</v>
      </c>
      <c r="J198" s="109" t="s">
        <v>217</v>
      </c>
      <c r="K198" s="109" t="s">
        <v>218</v>
      </c>
      <c r="L198" s="109" t="s">
        <v>219</v>
      </c>
      <c r="M198" s="207" t="s">
        <v>242</v>
      </c>
      <c r="N198" s="109" t="s">
        <v>220</v>
      </c>
      <c r="O198" s="109" t="s">
        <v>221</v>
      </c>
      <c r="P198" s="109" t="s">
        <v>243</v>
      </c>
      <c r="Q198" s="109" t="s">
        <v>216</v>
      </c>
      <c r="R198" s="109" t="s">
        <v>217</v>
      </c>
      <c r="S198" s="109" t="s">
        <v>220</v>
      </c>
      <c r="T198" s="109" t="s">
        <v>221</v>
      </c>
      <c r="U198" s="109" t="s">
        <v>216</v>
      </c>
      <c r="V198" s="109" t="s">
        <v>217</v>
      </c>
      <c r="W198" s="109" t="s">
        <v>218</v>
      </c>
      <c r="X198" s="109" t="s">
        <v>219</v>
      </c>
      <c r="Y198" s="109" t="s">
        <v>220</v>
      </c>
      <c r="Z198" s="109" t="s">
        <v>221</v>
      </c>
      <c r="AA198" s="109" t="s">
        <v>222</v>
      </c>
      <c r="AB198" s="109" t="s">
        <v>223</v>
      </c>
      <c r="AC198" s="109" t="s">
        <v>1396</v>
      </c>
      <c r="AD198" s="109" t="s">
        <v>1397</v>
      </c>
      <c r="AE198" s="109" t="s">
        <v>1398</v>
      </c>
      <c r="AF198" s="109" t="s">
        <v>247</v>
      </c>
      <c r="AG198" s="109" t="s">
        <v>1399</v>
      </c>
      <c r="AH198" s="109" t="s">
        <v>249</v>
      </c>
      <c r="AI198" s="109" t="s">
        <v>1396</v>
      </c>
      <c r="AJ198" s="109" t="s">
        <v>1397</v>
      </c>
      <c r="AK198" s="109" t="s">
        <v>1399</v>
      </c>
      <c r="AL198" s="109" t="s">
        <v>249</v>
      </c>
      <c r="AM198" s="109" t="s">
        <v>250</v>
      </c>
      <c r="AN198" s="207" t="s">
        <v>1400</v>
      </c>
      <c r="AO198" s="109">
        <v>143.674</v>
      </c>
      <c r="AP198" s="109">
        <v>0</v>
      </c>
      <c r="AQ198" s="109">
        <v>18</v>
      </c>
      <c r="AR198" s="109">
        <v>0</v>
      </c>
      <c r="AS198" s="109" t="s">
        <v>252</v>
      </c>
      <c r="AT198" s="109" t="s">
        <v>229</v>
      </c>
      <c r="AU198" s="110">
        <v>46281</v>
      </c>
      <c r="AV198" s="109">
        <v>213.49</v>
      </c>
      <c r="AW198" s="109" t="s">
        <v>230</v>
      </c>
      <c r="AX198" s="109" t="s">
        <v>230</v>
      </c>
      <c r="AY198" s="109">
        <v>3511.3</v>
      </c>
      <c r="AZ198" s="109" t="s">
        <v>232</v>
      </c>
      <c r="BA198" s="109" t="s">
        <v>253</v>
      </c>
      <c r="BB198" s="109">
        <v>213.49</v>
      </c>
      <c r="BC198" s="109">
        <v>187.87</v>
      </c>
      <c r="BD198" s="109">
        <v>213.49</v>
      </c>
      <c r="BE198" s="109">
        <v>25.62</v>
      </c>
      <c r="BF198" s="111">
        <v>0.12</v>
      </c>
      <c r="BG198" s="109">
        <v>0</v>
      </c>
      <c r="BH198" s="109">
        <v>143.674</v>
      </c>
      <c r="BI198" s="109">
        <v>129.32</v>
      </c>
      <c r="BJ198" s="109">
        <v>0</v>
      </c>
      <c r="BK198" s="109">
        <v>17</v>
      </c>
      <c r="BL198" s="109">
        <v>0</v>
      </c>
      <c r="BM198" s="109">
        <v>9.76</v>
      </c>
      <c r="BN198" s="109">
        <v>5.27</v>
      </c>
      <c r="BO198" s="109">
        <v>11</v>
      </c>
      <c r="BP198" s="109">
        <v>3.23</v>
      </c>
      <c r="BQ198" s="109">
        <v>0</v>
      </c>
      <c r="BR198" s="109">
        <v>0</v>
      </c>
      <c r="BS198" s="109">
        <v>0</v>
      </c>
      <c r="BT198" s="109">
        <v>0</v>
      </c>
      <c r="BU198" s="109">
        <v>0</v>
      </c>
      <c r="BV198" s="109">
        <v>0</v>
      </c>
      <c r="BW198" s="109">
        <v>0</v>
      </c>
      <c r="BX198" s="109">
        <v>0</v>
      </c>
      <c r="BY198" s="109">
        <v>0</v>
      </c>
      <c r="BZ198" s="109">
        <v>0</v>
      </c>
      <c r="CA198" s="109">
        <v>12.29</v>
      </c>
      <c r="CB198" s="109" t="s">
        <v>225</v>
      </c>
      <c r="CC198" s="109" t="s">
        <v>247</v>
      </c>
      <c r="CD198" s="109">
        <v>410.64</v>
      </c>
      <c r="CE198" s="109">
        <v>0</v>
      </c>
      <c r="CF198" s="109">
        <v>0</v>
      </c>
      <c r="CG198" s="109">
        <v>0</v>
      </c>
      <c r="CH198" s="109">
        <v>0</v>
      </c>
      <c r="CI198" s="109">
        <v>0</v>
      </c>
      <c r="CJ198" s="109">
        <v>0</v>
      </c>
      <c r="CK198" s="109">
        <v>0</v>
      </c>
      <c r="CL198" s="109"/>
      <c r="CM198" s="109"/>
      <c r="CN198" s="109">
        <v>0</v>
      </c>
      <c r="CO198" s="109">
        <v>0</v>
      </c>
      <c r="CP198" s="109">
        <v>0</v>
      </c>
      <c r="CQ198" s="109">
        <v>0</v>
      </c>
      <c r="CR198" s="109">
        <v>0</v>
      </c>
      <c r="CS198" s="109">
        <v>0</v>
      </c>
      <c r="CT198" s="109">
        <v>0</v>
      </c>
      <c r="CU198" s="109">
        <v>21.55</v>
      </c>
      <c r="CV198" s="109" t="s">
        <v>235</v>
      </c>
      <c r="CW198" s="109">
        <v>0</v>
      </c>
      <c r="CX198" s="109"/>
      <c r="CY198" s="109">
        <v>25.86</v>
      </c>
      <c r="CZ198" s="109" t="s">
        <v>941</v>
      </c>
      <c r="DA198" s="109">
        <v>0</v>
      </c>
      <c r="DB198" s="109"/>
      <c r="DE198" s="109">
        <v>0</v>
      </c>
      <c r="DF198" s="109" t="s">
        <v>236</v>
      </c>
      <c r="DG198" s="109" t="s">
        <v>221</v>
      </c>
      <c r="DH198" s="109" t="s">
        <v>220</v>
      </c>
      <c r="DI198" s="109">
        <v>9026067267</v>
      </c>
      <c r="DJ198" s="109" t="s">
        <v>222</v>
      </c>
      <c r="DK198" s="109">
        <v>0</v>
      </c>
      <c r="DL198" s="109" t="s">
        <v>226</v>
      </c>
      <c r="DM198" s="109">
        <v>25.62</v>
      </c>
    </row>
    <row r="199" ht="13.8" hidden="1" spans="1:117">
      <c r="A199" s="109">
        <v>2</v>
      </c>
      <c r="B199" s="109" t="s">
        <v>1401</v>
      </c>
      <c r="C199" s="109" t="s">
        <v>203</v>
      </c>
      <c r="D199" s="109" t="s">
        <v>225</v>
      </c>
      <c r="E199" s="109" t="s">
        <v>226</v>
      </c>
      <c r="F199" s="110">
        <v>46265</v>
      </c>
      <c r="G199" s="109" t="s">
        <v>240</v>
      </c>
      <c r="H199" s="109" t="s">
        <v>1402</v>
      </c>
      <c r="I199" s="109" t="s">
        <v>216</v>
      </c>
      <c r="J199" s="109" t="s">
        <v>217</v>
      </c>
      <c r="K199" s="109" t="s">
        <v>218</v>
      </c>
      <c r="L199" s="109" t="s">
        <v>219</v>
      </c>
      <c r="M199" s="207" t="s">
        <v>242</v>
      </c>
      <c r="N199" s="109" t="s">
        <v>220</v>
      </c>
      <c r="O199" s="109" t="s">
        <v>221</v>
      </c>
      <c r="P199" s="109" t="s">
        <v>243</v>
      </c>
      <c r="Q199" s="109" t="s">
        <v>216</v>
      </c>
      <c r="R199" s="109" t="s">
        <v>217</v>
      </c>
      <c r="S199" s="109" t="s">
        <v>220</v>
      </c>
      <c r="T199" s="109" t="s">
        <v>221</v>
      </c>
      <c r="U199" s="109" t="s">
        <v>216</v>
      </c>
      <c r="V199" s="109" t="s">
        <v>217</v>
      </c>
      <c r="W199" s="109" t="s">
        <v>218</v>
      </c>
      <c r="X199" s="109" t="s">
        <v>219</v>
      </c>
      <c r="Y199" s="109" t="s">
        <v>220</v>
      </c>
      <c r="Z199" s="109" t="s">
        <v>221</v>
      </c>
      <c r="AA199" s="109" t="s">
        <v>222</v>
      </c>
      <c r="AB199" s="109" t="s">
        <v>223</v>
      </c>
      <c r="AC199" s="109" t="s">
        <v>1403</v>
      </c>
      <c r="AD199" s="109" t="s">
        <v>1404</v>
      </c>
      <c r="AE199" s="109">
        <v>394</v>
      </c>
      <c r="AF199" s="109" t="s">
        <v>342</v>
      </c>
      <c r="AG199" s="109" t="s">
        <v>614</v>
      </c>
      <c r="AH199" s="109" t="s">
        <v>214</v>
      </c>
      <c r="AI199" s="109" t="s">
        <v>1403</v>
      </c>
      <c r="AJ199" s="109" t="s">
        <v>1404</v>
      </c>
      <c r="AK199" s="109" t="s">
        <v>614</v>
      </c>
      <c r="AL199" s="109" t="s">
        <v>214</v>
      </c>
      <c r="AM199" s="109" t="s">
        <v>344</v>
      </c>
      <c r="AN199" s="207" t="s">
        <v>1405</v>
      </c>
      <c r="AO199" s="109">
        <v>164.7</v>
      </c>
      <c r="AP199" s="109">
        <v>0</v>
      </c>
      <c r="AQ199" s="109">
        <v>14</v>
      </c>
      <c r="AR199" s="109">
        <v>0</v>
      </c>
      <c r="AS199" s="109" t="s">
        <v>252</v>
      </c>
      <c r="AT199" s="109" t="s">
        <v>229</v>
      </c>
      <c r="AU199" s="110">
        <v>46281</v>
      </c>
      <c r="AV199" s="109">
        <v>299.67</v>
      </c>
      <c r="AW199" s="109" t="s">
        <v>230</v>
      </c>
      <c r="AX199" s="109" t="s">
        <v>230</v>
      </c>
      <c r="AY199" s="109">
        <v>5006.1</v>
      </c>
      <c r="AZ199" s="109" t="s">
        <v>232</v>
      </c>
      <c r="BA199" s="109" t="s">
        <v>616</v>
      </c>
      <c r="BB199" s="109">
        <v>299.67</v>
      </c>
      <c r="BC199" s="109">
        <v>263.71</v>
      </c>
      <c r="BD199" s="109">
        <v>299.67</v>
      </c>
      <c r="BE199" s="109">
        <v>35.96</v>
      </c>
      <c r="BF199" s="111">
        <v>0.12</v>
      </c>
      <c r="BG199" s="109">
        <v>0</v>
      </c>
      <c r="BH199" s="109">
        <v>164.7</v>
      </c>
      <c r="BI199" s="109">
        <v>197.69</v>
      </c>
      <c r="BJ199" s="109">
        <v>0</v>
      </c>
      <c r="BK199" s="109">
        <v>17</v>
      </c>
      <c r="BL199" s="109">
        <v>0</v>
      </c>
      <c r="BM199" s="109">
        <v>9.76</v>
      </c>
      <c r="BN199" s="109">
        <v>7.51</v>
      </c>
      <c r="BO199" s="109">
        <v>11</v>
      </c>
      <c r="BP199" s="109">
        <v>3.23</v>
      </c>
      <c r="BQ199" s="109">
        <v>0</v>
      </c>
      <c r="BR199" s="109">
        <v>0</v>
      </c>
      <c r="BS199" s="109">
        <v>0</v>
      </c>
      <c r="BT199" s="109">
        <v>0</v>
      </c>
      <c r="BU199" s="109">
        <v>0</v>
      </c>
      <c r="BV199" s="109">
        <v>0</v>
      </c>
      <c r="BW199" s="109">
        <v>0</v>
      </c>
      <c r="BX199" s="109">
        <v>0</v>
      </c>
      <c r="BY199" s="109">
        <v>0</v>
      </c>
      <c r="BZ199" s="109">
        <v>0</v>
      </c>
      <c r="CA199" s="109">
        <v>17.52</v>
      </c>
      <c r="CB199" s="109" t="s">
        <v>225</v>
      </c>
      <c r="CC199" s="109" t="s">
        <v>342</v>
      </c>
      <c r="CD199" s="109">
        <v>432.36</v>
      </c>
      <c r="CE199" s="109">
        <v>0</v>
      </c>
      <c r="CF199" s="109">
        <v>0</v>
      </c>
      <c r="CG199" s="109">
        <v>0</v>
      </c>
      <c r="CH199" s="109">
        <v>0</v>
      </c>
      <c r="CI199" s="109">
        <v>0</v>
      </c>
      <c r="CJ199" s="109">
        <v>0</v>
      </c>
      <c r="CK199" s="109">
        <v>0</v>
      </c>
      <c r="CL199" s="109"/>
      <c r="CM199" s="109"/>
      <c r="CN199" s="109">
        <v>0</v>
      </c>
      <c r="CO199" s="109">
        <v>0</v>
      </c>
      <c r="CP199" s="109">
        <v>0</v>
      </c>
      <c r="CQ199" s="109">
        <v>0</v>
      </c>
      <c r="CR199" s="109">
        <v>0</v>
      </c>
      <c r="CS199" s="109">
        <v>0</v>
      </c>
      <c r="CT199" s="109">
        <v>0</v>
      </c>
      <c r="CU199" s="109">
        <v>24.71</v>
      </c>
      <c r="CV199" s="109" t="s">
        <v>235</v>
      </c>
      <c r="CW199" s="109">
        <v>0</v>
      </c>
      <c r="CX199" s="109"/>
      <c r="CY199" s="109">
        <v>89.9</v>
      </c>
      <c r="CZ199" s="109" t="s">
        <v>289</v>
      </c>
      <c r="DA199" s="109">
        <f>CY199</f>
        <v>89.9</v>
      </c>
      <c r="DB199" s="109"/>
      <c r="DE199" s="109">
        <v>0</v>
      </c>
      <c r="DF199" s="109" t="s">
        <v>236</v>
      </c>
      <c r="DG199" s="109" t="s">
        <v>221</v>
      </c>
      <c r="DH199" s="109" t="s">
        <v>220</v>
      </c>
      <c r="DI199" s="109">
        <v>9026067267</v>
      </c>
      <c r="DJ199" s="109" t="s">
        <v>222</v>
      </c>
      <c r="DK199" s="109">
        <v>0</v>
      </c>
      <c r="DL199" s="109" t="s">
        <v>226</v>
      </c>
      <c r="DM199" s="109">
        <v>35.96</v>
      </c>
    </row>
    <row r="200" ht="13.8" hidden="1" spans="1:117">
      <c r="A200" s="109">
        <v>2</v>
      </c>
      <c r="B200" s="109" t="s">
        <v>1406</v>
      </c>
      <c r="C200" s="109" t="s">
        <v>203</v>
      </c>
      <c r="D200" s="109" t="s">
        <v>225</v>
      </c>
      <c r="E200" s="109" t="s">
        <v>226</v>
      </c>
      <c r="F200" s="110">
        <v>46247</v>
      </c>
      <c r="G200" s="109" t="s">
        <v>797</v>
      </c>
      <c r="H200" s="109" t="s">
        <v>1407</v>
      </c>
      <c r="I200" s="109" t="s">
        <v>216</v>
      </c>
      <c r="J200" s="109" t="s">
        <v>217</v>
      </c>
      <c r="K200" s="109" t="s">
        <v>218</v>
      </c>
      <c r="L200" s="109" t="s">
        <v>219</v>
      </c>
      <c r="M200" s="207" t="s">
        <v>242</v>
      </c>
      <c r="N200" s="109" t="s">
        <v>220</v>
      </c>
      <c r="O200" s="109" t="s">
        <v>221</v>
      </c>
      <c r="P200" s="109" t="s">
        <v>243</v>
      </c>
      <c r="Q200" s="109" t="s">
        <v>216</v>
      </c>
      <c r="R200" s="109" t="s">
        <v>217</v>
      </c>
      <c r="S200" s="109" t="s">
        <v>220</v>
      </c>
      <c r="T200" s="109" t="s">
        <v>221</v>
      </c>
      <c r="U200" s="109" t="s">
        <v>216</v>
      </c>
      <c r="V200" s="109" t="s">
        <v>217</v>
      </c>
      <c r="W200" s="109" t="s">
        <v>218</v>
      </c>
      <c r="X200" s="109" t="s">
        <v>219</v>
      </c>
      <c r="Y200" s="109" t="s">
        <v>220</v>
      </c>
      <c r="Z200" s="109" t="s">
        <v>221</v>
      </c>
      <c r="AA200" s="109" t="s">
        <v>222</v>
      </c>
      <c r="AB200" s="109" t="s">
        <v>223</v>
      </c>
      <c r="AC200" s="109" t="s">
        <v>1408</v>
      </c>
      <c r="AD200" s="109" t="s">
        <v>1409</v>
      </c>
      <c r="AE200" s="109">
        <v>133</v>
      </c>
      <c r="AF200" s="109" t="s">
        <v>1390</v>
      </c>
      <c r="AG200" s="109" t="s">
        <v>1391</v>
      </c>
      <c r="AH200" s="109" t="s">
        <v>297</v>
      </c>
      <c r="AI200" s="109" t="s">
        <v>1408</v>
      </c>
      <c r="AJ200" s="109" t="s">
        <v>1409</v>
      </c>
      <c r="AK200" s="109" t="s">
        <v>1391</v>
      </c>
      <c r="AL200" s="109" t="s">
        <v>297</v>
      </c>
      <c r="AM200" s="109" t="s">
        <v>1392</v>
      </c>
      <c r="AN200" s="207" t="s">
        <v>1410</v>
      </c>
      <c r="AO200" s="109">
        <v>108.6</v>
      </c>
      <c r="AP200" s="109">
        <v>0</v>
      </c>
      <c r="AQ200" s="109">
        <v>10</v>
      </c>
      <c r="AR200" s="109">
        <v>0</v>
      </c>
      <c r="AS200" s="109" t="s">
        <v>252</v>
      </c>
      <c r="AT200" s="109" t="s">
        <v>229</v>
      </c>
      <c r="AU200" s="110">
        <v>46260</v>
      </c>
      <c r="AV200" s="109">
        <v>218.66</v>
      </c>
      <c r="AW200" s="109" t="s">
        <v>230</v>
      </c>
      <c r="AX200" s="109" t="s">
        <v>230</v>
      </c>
      <c r="AY200" s="109">
        <v>4636.09</v>
      </c>
      <c r="AZ200" s="109" t="s">
        <v>232</v>
      </c>
      <c r="BA200" s="109" t="s">
        <v>368</v>
      </c>
      <c r="BB200" s="109">
        <v>218.66</v>
      </c>
      <c r="BC200" s="109">
        <v>192.42</v>
      </c>
      <c r="BD200" s="109">
        <v>218.66</v>
      </c>
      <c r="BE200" s="109">
        <v>26.24</v>
      </c>
      <c r="BF200" s="111">
        <v>0.12</v>
      </c>
      <c r="BG200" s="109">
        <v>0</v>
      </c>
      <c r="BH200" s="109">
        <v>108.6</v>
      </c>
      <c r="BI200" s="109">
        <v>128.25</v>
      </c>
      <c r="BJ200" s="109">
        <v>0</v>
      </c>
      <c r="BK200" s="109">
        <v>17</v>
      </c>
      <c r="BL200" s="109">
        <v>0</v>
      </c>
      <c r="BM200" s="109">
        <v>9.76</v>
      </c>
      <c r="BN200" s="109">
        <v>6.95</v>
      </c>
      <c r="BO200" s="109">
        <v>11</v>
      </c>
      <c r="BP200" s="109">
        <v>3.23</v>
      </c>
      <c r="BQ200" s="109">
        <v>0</v>
      </c>
      <c r="BR200" s="109">
        <v>0</v>
      </c>
      <c r="BS200" s="109">
        <v>0</v>
      </c>
      <c r="BT200" s="109">
        <v>0</v>
      </c>
      <c r="BU200" s="109">
        <v>0</v>
      </c>
      <c r="BV200" s="109">
        <v>0</v>
      </c>
      <c r="BW200" s="109">
        <v>0</v>
      </c>
      <c r="BX200" s="109">
        <v>0</v>
      </c>
      <c r="BY200" s="109">
        <v>0</v>
      </c>
      <c r="BZ200" s="109">
        <v>0</v>
      </c>
      <c r="CA200" s="109">
        <v>16.23</v>
      </c>
      <c r="CB200" s="109" t="s">
        <v>225</v>
      </c>
      <c r="CC200" s="109" t="s">
        <v>1390</v>
      </c>
      <c r="CD200" s="109">
        <v>426.99</v>
      </c>
      <c r="CE200" s="109">
        <v>0</v>
      </c>
      <c r="CF200" s="109">
        <v>0</v>
      </c>
      <c r="CG200" s="109">
        <v>0</v>
      </c>
      <c r="CH200" s="109">
        <v>0</v>
      </c>
      <c r="CI200" s="109">
        <v>0</v>
      </c>
      <c r="CJ200" s="109">
        <v>0</v>
      </c>
      <c r="CK200" s="109">
        <v>0</v>
      </c>
      <c r="CL200" s="109"/>
      <c r="CM200" s="109"/>
      <c r="CN200" s="109">
        <v>0</v>
      </c>
      <c r="CO200" s="109">
        <v>0</v>
      </c>
      <c r="CP200" s="109">
        <v>0</v>
      </c>
      <c r="CQ200" s="109">
        <v>0</v>
      </c>
      <c r="CR200" s="109">
        <v>0</v>
      </c>
      <c r="CS200" s="109">
        <v>0</v>
      </c>
      <c r="CT200" s="109">
        <v>0</v>
      </c>
      <c r="CU200" s="109">
        <v>16.29</v>
      </c>
      <c r="CV200" s="109" t="s">
        <v>254</v>
      </c>
      <c r="CW200" s="109">
        <v>0</v>
      </c>
      <c r="CX200" s="109"/>
      <c r="CY200" s="109">
        <v>32.8</v>
      </c>
      <c r="CZ200" s="109" t="s">
        <v>235</v>
      </c>
      <c r="DA200" s="109">
        <f>CY200</f>
        <v>32.8</v>
      </c>
      <c r="DB200" s="109"/>
      <c r="DE200" s="109">
        <v>0</v>
      </c>
      <c r="DF200" s="109" t="s">
        <v>236</v>
      </c>
      <c r="DG200" s="109" t="s">
        <v>221</v>
      </c>
      <c r="DH200" s="109" t="s">
        <v>220</v>
      </c>
      <c r="DI200" s="109">
        <v>9026067267</v>
      </c>
      <c r="DJ200" s="109" t="s">
        <v>222</v>
      </c>
      <c r="DK200" s="109">
        <v>0</v>
      </c>
      <c r="DL200" s="109" t="s">
        <v>226</v>
      </c>
      <c r="DM200" s="109">
        <v>60.53</v>
      </c>
    </row>
    <row r="201" ht="13.8" hidden="1" spans="1:117">
      <c r="A201" s="109">
        <v>2</v>
      </c>
      <c r="B201" s="109" t="s">
        <v>1411</v>
      </c>
      <c r="C201" s="109" t="s">
        <v>203</v>
      </c>
      <c r="D201" s="109" t="s">
        <v>225</v>
      </c>
      <c r="E201" s="109" t="s">
        <v>226</v>
      </c>
      <c r="F201" s="110">
        <v>46265</v>
      </c>
      <c r="G201" s="109" t="s">
        <v>240</v>
      </c>
      <c r="H201" s="109" t="s">
        <v>1412</v>
      </c>
      <c r="I201" s="109" t="s">
        <v>216</v>
      </c>
      <c r="J201" s="109" t="s">
        <v>217</v>
      </c>
      <c r="K201" s="109" t="s">
        <v>218</v>
      </c>
      <c r="L201" s="109" t="s">
        <v>219</v>
      </c>
      <c r="M201" s="207" t="s">
        <v>242</v>
      </c>
      <c r="N201" s="109" t="s">
        <v>220</v>
      </c>
      <c r="O201" s="109" t="s">
        <v>221</v>
      </c>
      <c r="P201" s="109" t="s">
        <v>243</v>
      </c>
      <c r="Q201" s="109" t="s">
        <v>216</v>
      </c>
      <c r="R201" s="109" t="s">
        <v>217</v>
      </c>
      <c r="S201" s="109" t="s">
        <v>220</v>
      </c>
      <c r="T201" s="109" t="s">
        <v>221</v>
      </c>
      <c r="U201" s="109" t="s">
        <v>216</v>
      </c>
      <c r="V201" s="109" t="s">
        <v>217</v>
      </c>
      <c r="W201" s="109" t="s">
        <v>218</v>
      </c>
      <c r="X201" s="109" t="s">
        <v>219</v>
      </c>
      <c r="Y201" s="109" t="s">
        <v>220</v>
      </c>
      <c r="Z201" s="109" t="s">
        <v>221</v>
      </c>
      <c r="AA201" s="109" t="s">
        <v>222</v>
      </c>
      <c r="AB201" s="109" t="s">
        <v>223</v>
      </c>
      <c r="AC201" s="109" t="s">
        <v>378</v>
      </c>
      <c r="AD201" s="109" t="s">
        <v>379</v>
      </c>
      <c r="AE201" s="109" t="s">
        <v>319</v>
      </c>
      <c r="AF201" s="109" t="s">
        <v>247</v>
      </c>
      <c r="AG201" s="109" t="s">
        <v>320</v>
      </c>
      <c r="AH201" s="109" t="s">
        <v>249</v>
      </c>
      <c r="AI201" s="109" t="s">
        <v>378</v>
      </c>
      <c r="AJ201" s="109" t="s">
        <v>379</v>
      </c>
      <c r="AK201" s="109" t="s">
        <v>320</v>
      </c>
      <c r="AL201" s="109" t="s">
        <v>249</v>
      </c>
      <c r="AM201" s="109" t="s">
        <v>250</v>
      </c>
      <c r="AN201" s="207" t="s">
        <v>1413</v>
      </c>
      <c r="AO201" s="109">
        <v>129.5</v>
      </c>
      <c r="AP201" s="109">
        <v>0</v>
      </c>
      <c r="AQ201" s="109">
        <v>14</v>
      </c>
      <c r="AR201" s="109">
        <v>0</v>
      </c>
      <c r="AS201" s="109" t="s">
        <v>252</v>
      </c>
      <c r="AT201" s="109" t="s">
        <v>229</v>
      </c>
      <c r="AU201" s="110">
        <v>46281</v>
      </c>
      <c r="AV201" s="109">
        <v>491.16</v>
      </c>
      <c r="AW201" s="109" t="s">
        <v>230</v>
      </c>
      <c r="AX201" s="109" t="s">
        <v>230</v>
      </c>
      <c r="AY201" s="109">
        <v>4934.78</v>
      </c>
      <c r="AZ201" s="109" t="s">
        <v>232</v>
      </c>
      <c r="BA201" s="109" t="s">
        <v>253</v>
      </c>
      <c r="BB201" s="109">
        <v>491.16</v>
      </c>
      <c r="BC201" s="109">
        <v>432.22</v>
      </c>
      <c r="BD201" s="109">
        <v>491.16</v>
      </c>
      <c r="BE201" s="109">
        <v>58.94</v>
      </c>
      <c r="BF201" s="111">
        <v>0.12</v>
      </c>
      <c r="BG201" s="109">
        <v>0</v>
      </c>
      <c r="BH201" s="109">
        <v>129.5</v>
      </c>
      <c r="BI201" s="109">
        <v>116.56</v>
      </c>
      <c r="BJ201" s="109">
        <v>0</v>
      </c>
      <c r="BK201" s="109">
        <v>17</v>
      </c>
      <c r="BL201" s="109">
        <v>0</v>
      </c>
      <c r="BM201" s="109">
        <v>9.76</v>
      </c>
      <c r="BN201" s="109">
        <v>7.4</v>
      </c>
      <c r="BO201" s="109">
        <v>11</v>
      </c>
      <c r="BP201" s="109">
        <v>3.23</v>
      </c>
      <c r="BQ201" s="109">
        <v>0</v>
      </c>
      <c r="BR201" s="109">
        <v>0</v>
      </c>
      <c r="BS201" s="109">
        <v>0</v>
      </c>
      <c r="BT201" s="109">
        <v>0</v>
      </c>
      <c r="BU201" s="109">
        <v>0</v>
      </c>
      <c r="BV201" s="109">
        <v>0</v>
      </c>
      <c r="BW201" s="109">
        <v>0</v>
      </c>
      <c r="BX201" s="109">
        <v>250</v>
      </c>
      <c r="BY201" s="109">
        <v>0</v>
      </c>
      <c r="BZ201" s="109">
        <v>0</v>
      </c>
      <c r="CA201" s="109">
        <v>17.27</v>
      </c>
      <c r="CB201" s="109" t="s">
        <v>225</v>
      </c>
      <c r="CC201" s="109" t="s">
        <v>247</v>
      </c>
      <c r="CD201" s="109">
        <v>431.33</v>
      </c>
      <c r="CE201" s="109">
        <v>0</v>
      </c>
      <c r="CF201" s="109">
        <v>0</v>
      </c>
      <c r="CG201" s="109">
        <v>0</v>
      </c>
      <c r="CH201" s="109">
        <v>0</v>
      </c>
      <c r="CI201" s="109">
        <v>0</v>
      </c>
      <c r="CJ201" s="109">
        <v>0</v>
      </c>
      <c r="CK201" s="109">
        <v>0</v>
      </c>
      <c r="CL201" s="109"/>
      <c r="CM201" s="109"/>
      <c r="CN201" s="109">
        <v>0</v>
      </c>
      <c r="CO201" s="109">
        <v>0</v>
      </c>
      <c r="CP201" s="109">
        <v>0</v>
      </c>
      <c r="CQ201" s="109">
        <v>0</v>
      </c>
      <c r="CR201" s="109">
        <v>0</v>
      </c>
      <c r="CS201" s="109">
        <v>0</v>
      </c>
      <c r="CT201" s="109">
        <v>0</v>
      </c>
      <c r="CU201" s="109">
        <v>19.43</v>
      </c>
      <c r="CV201" s="109" t="s">
        <v>235</v>
      </c>
      <c r="CW201" s="109">
        <v>0</v>
      </c>
      <c r="CX201" s="109"/>
      <c r="CY201" s="109">
        <v>23.31</v>
      </c>
      <c r="CZ201" s="109" t="s">
        <v>941</v>
      </c>
      <c r="DA201" s="109">
        <v>0</v>
      </c>
      <c r="DB201" s="109"/>
      <c r="DE201" s="109">
        <v>0</v>
      </c>
      <c r="DF201" s="109" t="s">
        <v>236</v>
      </c>
      <c r="DG201" s="109" t="s">
        <v>221</v>
      </c>
      <c r="DH201" s="109" t="s">
        <v>220</v>
      </c>
      <c r="DI201" s="109">
        <v>9026067267</v>
      </c>
      <c r="DJ201" s="109" t="s">
        <v>222</v>
      </c>
      <c r="DK201" s="109">
        <v>0</v>
      </c>
      <c r="DL201" s="109" t="s">
        <v>226</v>
      </c>
      <c r="DM201" s="109">
        <v>58.94</v>
      </c>
    </row>
    <row r="202" ht="13.8" hidden="1" spans="1:117">
      <c r="A202" s="109">
        <v>2</v>
      </c>
      <c r="B202" s="109" t="s">
        <v>1414</v>
      </c>
      <c r="C202" s="109" t="s">
        <v>203</v>
      </c>
      <c r="D202" s="109" t="s">
        <v>225</v>
      </c>
      <c r="E202" s="109" t="s">
        <v>226</v>
      </c>
      <c r="F202" s="110">
        <v>46265</v>
      </c>
      <c r="G202" s="109" t="s">
        <v>240</v>
      </c>
      <c r="H202" s="109" t="s">
        <v>1415</v>
      </c>
      <c r="I202" s="109" t="s">
        <v>216</v>
      </c>
      <c r="J202" s="109" t="s">
        <v>217</v>
      </c>
      <c r="K202" s="109" t="s">
        <v>218</v>
      </c>
      <c r="L202" s="109" t="s">
        <v>219</v>
      </c>
      <c r="M202" s="207" t="s">
        <v>242</v>
      </c>
      <c r="N202" s="109" t="s">
        <v>220</v>
      </c>
      <c r="O202" s="109" t="s">
        <v>221</v>
      </c>
      <c r="P202" s="109" t="s">
        <v>243</v>
      </c>
      <c r="Q202" s="109" t="s">
        <v>216</v>
      </c>
      <c r="R202" s="109" t="s">
        <v>217</v>
      </c>
      <c r="S202" s="109" t="s">
        <v>220</v>
      </c>
      <c r="T202" s="109" t="s">
        <v>221</v>
      </c>
      <c r="U202" s="109" t="s">
        <v>216</v>
      </c>
      <c r="V202" s="109" t="s">
        <v>217</v>
      </c>
      <c r="W202" s="109" t="s">
        <v>218</v>
      </c>
      <c r="X202" s="109" t="s">
        <v>219</v>
      </c>
      <c r="Y202" s="109" t="s">
        <v>220</v>
      </c>
      <c r="Z202" s="109" t="s">
        <v>221</v>
      </c>
      <c r="AA202" s="109" t="s">
        <v>222</v>
      </c>
      <c r="AB202" s="109" t="s">
        <v>223</v>
      </c>
      <c r="AC202" s="109" t="s">
        <v>244</v>
      </c>
      <c r="AD202" s="109" t="s">
        <v>245</v>
      </c>
      <c r="AE202" s="109" t="s">
        <v>246</v>
      </c>
      <c r="AF202" s="109" t="s">
        <v>247</v>
      </c>
      <c r="AG202" s="109" t="s">
        <v>248</v>
      </c>
      <c r="AH202" s="109" t="s">
        <v>249</v>
      </c>
      <c r="AI202" s="109" t="s">
        <v>244</v>
      </c>
      <c r="AJ202" s="109" t="s">
        <v>245</v>
      </c>
      <c r="AK202" s="109" t="s">
        <v>248</v>
      </c>
      <c r="AL202" s="109" t="s">
        <v>249</v>
      </c>
      <c r="AM202" s="109" t="s">
        <v>250</v>
      </c>
      <c r="AN202" s="207" t="s">
        <v>1416</v>
      </c>
      <c r="AO202" s="109">
        <v>97.34</v>
      </c>
      <c r="AP202" s="109">
        <v>0</v>
      </c>
      <c r="AQ202" s="109">
        <v>8</v>
      </c>
      <c r="AR202" s="109">
        <v>0</v>
      </c>
      <c r="AS202" s="109" t="s">
        <v>252</v>
      </c>
      <c r="AT202" s="109" t="s">
        <v>229</v>
      </c>
      <c r="AU202" s="110">
        <v>46281</v>
      </c>
      <c r="AV202" s="109">
        <v>458.01</v>
      </c>
      <c r="AW202" s="109" t="s">
        <v>230</v>
      </c>
      <c r="AX202" s="109" t="s">
        <v>230</v>
      </c>
      <c r="AY202" s="109">
        <v>3472.4</v>
      </c>
      <c r="AZ202" s="109" t="s">
        <v>232</v>
      </c>
      <c r="BA202" s="109" t="s">
        <v>253</v>
      </c>
      <c r="BB202" s="109">
        <v>458.01</v>
      </c>
      <c r="BC202" s="109">
        <v>403.05</v>
      </c>
      <c r="BD202" s="109">
        <v>458.01</v>
      </c>
      <c r="BE202" s="109">
        <v>54.96</v>
      </c>
      <c r="BF202" s="111">
        <v>0.12</v>
      </c>
      <c r="BG202" s="109">
        <v>0</v>
      </c>
      <c r="BH202" s="109">
        <v>97.34</v>
      </c>
      <c r="BI202" s="109">
        <v>100.2</v>
      </c>
      <c r="BJ202" s="109">
        <v>0</v>
      </c>
      <c r="BK202" s="109">
        <v>17</v>
      </c>
      <c r="BL202" s="109">
        <v>0</v>
      </c>
      <c r="BM202" s="109">
        <v>9.76</v>
      </c>
      <c r="BN202" s="109">
        <v>5.21</v>
      </c>
      <c r="BO202" s="109">
        <v>5.5</v>
      </c>
      <c r="BP202" s="109">
        <v>3.23</v>
      </c>
      <c r="BQ202" s="109">
        <v>0</v>
      </c>
      <c r="BR202" s="109">
        <v>0</v>
      </c>
      <c r="BS202" s="109">
        <v>0</v>
      </c>
      <c r="BT202" s="109">
        <v>0</v>
      </c>
      <c r="BU202" s="109">
        <v>0</v>
      </c>
      <c r="BV202" s="109">
        <v>0</v>
      </c>
      <c r="BW202" s="109">
        <v>0</v>
      </c>
      <c r="BX202" s="109">
        <v>250</v>
      </c>
      <c r="BY202" s="109">
        <v>0</v>
      </c>
      <c r="BZ202" s="109">
        <v>0</v>
      </c>
      <c r="CA202" s="109">
        <v>12.15</v>
      </c>
      <c r="CB202" s="109" t="s">
        <v>225</v>
      </c>
      <c r="CC202" s="109" t="s">
        <v>247</v>
      </c>
      <c r="CD202" s="109">
        <v>410.11</v>
      </c>
      <c r="CE202" s="109">
        <v>0</v>
      </c>
      <c r="CF202" s="109">
        <v>0</v>
      </c>
      <c r="CG202" s="109">
        <v>0</v>
      </c>
      <c r="CH202" s="109">
        <v>0</v>
      </c>
      <c r="CI202" s="109">
        <v>0</v>
      </c>
      <c r="CJ202" s="109">
        <v>0</v>
      </c>
      <c r="CK202" s="109">
        <v>0</v>
      </c>
      <c r="CL202" s="109"/>
      <c r="CM202" s="109"/>
      <c r="CN202" s="109">
        <v>0</v>
      </c>
      <c r="CO202" s="109">
        <v>0</v>
      </c>
      <c r="CP202" s="109">
        <v>0</v>
      </c>
      <c r="CQ202" s="109">
        <v>0</v>
      </c>
      <c r="CR202" s="109">
        <v>0</v>
      </c>
      <c r="CS202" s="109">
        <v>0</v>
      </c>
      <c r="CT202" s="109">
        <v>0</v>
      </c>
      <c r="CU202" s="109">
        <v>14.6</v>
      </c>
      <c r="CV202" s="109" t="s">
        <v>235</v>
      </c>
      <c r="CW202" s="109">
        <v>0</v>
      </c>
      <c r="CX202" s="109"/>
      <c r="CY202" s="109">
        <v>18</v>
      </c>
      <c r="CZ202" s="109" t="s">
        <v>941</v>
      </c>
      <c r="DA202" s="109">
        <v>0</v>
      </c>
      <c r="DB202" s="109"/>
      <c r="DE202" s="109">
        <v>0</v>
      </c>
      <c r="DF202" s="109" t="s">
        <v>236</v>
      </c>
      <c r="DG202" s="109" t="s">
        <v>221</v>
      </c>
      <c r="DH202" s="109" t="s">
        <v>220</v>
      </c>
      <c r="DI202" s="109">
        <v>9026067267</v>
      </c>
      <c r="DJ202" s="109" t="s">
        <v>222</v>
      </c>
      <c r="DK202" s="109">
        <v>0</v>
      </c>
      <c r="DL202" s="109" t="s">
        <v>226</v>
      </c>
      <c r="DM202" s="109">
        <v>54.96</v>
      </c>
    </row>
    <row r="203" ht="13.8" hidden="1" spans="1:117">
      <c r="A203" s="109">
        <v>2</v>
      </c>
      <c r="B203" s="109" t="s">
        <v>1417</v>
      </c>
      <c r="C203" s="109" t="s">
        <v>203</v>
      </c>
      <c r="D203" s="109" t="s">
        <v>225</v>
      </c>
      <c r="E203" s="109" t="s">
        <v>226</v>
      </c>
      <c r="F203" s="110">
        <v>46247</v>
      </c>
      <c r="G203" s="109" t="s">
        <v>797</v>
      </c>
      <c r="H203" s="109" t="s">
        <v>1418</v>
      </c>
      <c r="I203" s="109" t="s">
        <v>216</v>
      </c>
      <c r="J203" s="109" t="s">
        <v>217</v>
      </c>
      <c r="K203" s="109" t="s">
        <v>218</v>
      </c>
      <c r="L203" s="109" t="s">
        <v>219</v>
      </c>
      <c r="M203" s="207" t="s">
        <v>242</v>
      </c>
      <c r="N203" s="109" t="s">
        <v>220</v>
      </c>
      <c r="O203" s="109" t="s">
        <v>221</v>
      </c>
      <c r="P203" s="109" t="s">
        <v>243</v>
      </c>
      <c r="Q203" s="109" t="s">
        <v>216</v>
      </c>
      <c r="R203" s="109" t="s">
        <v>217</v>
      </c>
      <c r="S203" s="109" t="s">
        <v>220</v>
      </c>
      <c r="T203" s="109" t="s">
        <v>221</v>
      </c>
      <c r="U203" s="109" t="s">
        <v>216</v>
      </c>
      <c r="V203" s="109" t="s">
        <v>217</v>
      </c>
      <c r="W203" s="109" t="s">
        <v>218</v>
      </c>
      <c r="X203" s="109" t="s">
        <v>219</v>
      </c>
      <c r="Y203" s="109" t="s">
        <v>220</v>
      </c>
      <c r="Z203" s="109" t="s">
        <v>221</v>
      </c>
      <c r="AA203" s="109" t="s">
        <v>222</v>
      </c>
      <c r="AB203" s="109" t="s">
        <v>223</v>
      </c>
      <c r="AC203" s="109" t="s">
        <v>1419</v>
      </c>
      <c r="AD203" s="109" t="s">
        <v>1420</v>
      </c>
      <c r="AE203" s="109">
        <v>180</v>
      </c>
      <c r="AF203" s="109" t="s">
        <v>1390</v>
      </c>
      <c r="AG203" s="109" t="s">
        <v>1421</v>
      </c>
      <c r="AH203" s="109" t="s">
        <v>297</v>
      </c>
      <c r="AI203" s="109" t="s">
        <v>1419</v>
      </c>
      <c r="AJ203" s="109" t="s">
        <v>1420</v>
      </c>
      <c r="AK203" s="109" t="s">
        <v>1421</v>
      </c>
      <c r="AL203" s="109" t="s">
        <v>297</v>
      </c>
      <c r="AM203" s="109" t="s">
        <v>1392</v>
      </c>
      <c r="AN203" s="207" t="s">
        <v>1422</v>
      </c>
      <c r="AO203" s="109">
        <v>301</v>
      </c>
      <c r="AP203" s="109">
        <v>3.0152</v>
      </c>
      <c r="AQ203" s="109">
        <v>16</v>
      </c>
      <c r="AR203" s="109">
        <v>0</v>
      </c>
      <c r="AS203" s="109" t="s">
        <v>252</v>
      </c>
      <c r="AT203" s="109" t="s">
        <v>229</v>
      </c>
      <c r="AU203" s="110">
        <v>46260</v>
      </c>
      <c r="AV203" s="109">
        <v>1366.26</v>
      </c>
      <c r="AW203" s="109" t="s">
        <v>230</v>
      </c>
      <c r="AX203" s="109" t="s">
        <v>230</v>
      </c>
      <c r="AY203" s="109">
        <v>9827.07</v>
      </c>
      <c r="AZ203" s="109" t="s">
        <v>232</v>
      </c>
      <c r="BA203" s="109" t="s">
        <v>368</v>
      </c>
      <c r="BB203" s="109">
        <v>1366.26</v>
      </c>
      <c r="BC203" s="109">
        <v>1202.31</v>
      </c>
      <c r="BD203" s="109">
        <v>1366.26</v>
      </c>
      <c r="BE203" s="109">
        <v>163.95</v>
      </c>
      <c r="BF203" s="111">
        <v>0.12</v>
      </c>
      <c r="BG203" s="109">
        <v>0</v>
      </c>
      <c r="BH203" s="109">
        <v>904.56</v>
      </c>
      <c r="BI203" s="109">
        <v>1068.19</v>
      </c>
      <c r="BJ203" s="109">
        <v>0</v>
      </c>
      <c r="BK203" s="109">
        <v>17</v>
      </c>
      <c r="BL203" s="109">
        <v>0</v>
      </c>
      <c r="BM203" s="109">
        <v>9.76</v>
      </c>
      <c r="BN203" s="109">
        <v>14.74</v>
      </c>
      <c r="BO203" s="109">
        <v>55</v>
      </c>
      <c r="BP203" s="109">
        <v>3.23</v>
      </c>
      <c r="BQ203" s="109">
        <v>0</v>
      </c>
      <c r="BR203" s="109">
        <v>0</v>
      </c>
      <c r="BS203" s="109">
        <v>0</v>
      </c>
      <c r="BT203" s="109">
        <v>0</v>
      </c>
      <c r="BU203" s="109">
        <v>0</v>
      </c>
      <c r="BV203" s="109">
        <v>0</v>
      </c>
      <c r="BW203" s="109">
        <v>0</v>
      </c>
      <c r="BX203" s="109">
        <v>0</v>
      </c>
      <c r="BY203" s="109">
        <v>0</v>
      </c>
      <c r="BZ203" s="109">
        <v>0</v>
      </c>
      <c r="CA203" s="109">
        <v>34.39</v>
      </c>
      <c r="CB203" s="109" t="s">
        <v>225</v>
      </c>
      <c r="CC203" s="109" t="s">
        <v>1390</v>
      </c>
      <c r="CD203" s="109">
        <v>2968.19</v>
      </c>
      <c r="CE203" s="109">
        <v>0</v>
      </c>
      <c r="CF203" s="109">
        <v>0</v>
      </c>
      <c r="CG203" s="109">
        <v>0</v>
      </c>
      <c r="CH203" s="109">
        <v>0</v>
      </c>
      <c r="CI203" s="109">
        <v>0</v>
      </c>
      <c r="CJ203" s="109">
        <v>0</v>
      </c>
      <c r="CK203" s="109">
        <v>0</v>
      </c>
      <c r="CL203" s="109"/>
      <c r="CM203" s="109"/>
      <c r="CN203" s="109">
        <v>0</v>
      </c>
      <c r="CO203" s="109">
        <v>0</v>
      </c>
      <c r="CP203" s="109">
        <v>0</v>
      </c>
      <c r="CQ203" s="109">
        <v>0</v>
      </c>
      <c r="CR203" s="109">
        <v>0</v>
      </c>
      <c r="CS203" s="109">
        <v>0</v>
      </c>
      <c r="CT203" s="109">
        <v>0</v>
      </c>
      <c r="CU203" s="109">
        <v>45.15</v>
      </c>
      <c r="CV203" s="109" t="s">
        <v>254</v>
      </c>
      <c r="CW203" s="109">
        <v>0</v>
      </c>
      <c r="CX203" s="109"/>
      <c r="CY203" s="109">
        <v>204.94</v>
      </c>
      <c r="CZ203" s="109" t="s">
        <v>235</v>
      </c>
      <c r="DA203" s="109">
        <f>CY203</f>
        <v>204.94</v>
      </c>
      <c r="DB203" s="109"/>
      <c r="DE203" s="109">
        <v>0</v>
      </c>
      <c r="DF203" s="109" t="s">
        <v>236</v>
      </c>
      <c r="DG203" s="109" t="s">
        <v>221</v>
      </c>
      <c r="DH203" s="109" t="s">
        <v>220</v>
      </c>
      <c r="DI203" s="109">
        <v>9026067267</v>
      </c>
      <c r="DJ203" s="109" t="s">
        <v>222</v>
      </c>
      <c r="DK203" s="109">
        <v>0</v>
      </c>
      <c r="DL203" s="109" t="s">
        <v>226</v>
      </c>
      <c r="DM203" s="109">
        <v>72.37</v>
      </c>
    </row>
    <row r="204" ht="13.8" hidden="1" spans="1:117">
      <c r="A204" s="109">
        <v>2</v>
      </c>
      <c r="B204" s="109" t="s">
        <v>1423</v>
      </c>
      <c r="C204" s="109" t="s">
        <v>203</v>
      </c>
      <c r="D204" s="109" t="s">
        <v>225</v>
      </c>
      <c r="E204" s="109" t="s">
        <v>226</v>
      </c>
      <c r="F204" s="110">
        <v>46265</v>
      </c>
      <c r="G204" s="109" t="s">
        <v>240</v>
      </c>
      <c r="H204" s="109" t="s">
        <v>1424</v>
      </c>
      <c r="I204" s="109" t="s">
        <v>216</v>
      </c>
      <c r="J204" s="109" t="s">
        <v>217</v>
      </c>
      <c r="K204" s="109" t="s">
        <v>218</v>
      </c>
      <c r="L204" s="109" t="s">
        <v>219</v>
      </c>
      <c r="M204" s="207" t="s">
        <v>242</v>
      </c>
      <c r="N204" s="109" t="s">
        <v>220</v>
      </c>
      <c r="O204" s="109" t="s">
        <v>221</v>
      </c>
      <c r="P204" s="109" t="s">
        <v>243</v>
      </c>
      <c r="Q204" s="109" t="s">
        <v>216</v>
      </c>
      <c r="R204" s="109" t="s">
        <v>217</v>
      </c>
      <c r="S204" s="109" t="s">
        <v>220</v>
      </c>
      <c r="T204" s="109" t="s">
        <v>221</v>
      </c>
      <c r="U204" s="109" t="s">
        <v>216</v>
      </c>
      <c r="V204" s="109" t="s">
        <v>217</v>
      </c>
      <c r="W204" s="109" t="s">
        <v>218</v>
      </c>
      <c r="X204" s="109" t="s">
        <v>219</v>
      </c>
      <c r="Y204" s="109" t="s">
        <v>220</v>
      </c>
      <c r="Z204" s="109" t="s">
        <v>221</v>
      </c>
      <c r="AA204" s="109" t="s">
        <v>222</v>
      </c>
      <c r="AB204" s="109" t="s">
        <v>223</v>
      </c>
      <c r="AC204" s="109" t="s">
        <v>1425</v>
      </c>
      <c r="AD204" s="109" t="s">
        <v>1426</v>
      </c>
      <c r="AE204" s="109">
        <v>360</v>
      </c>
      <c r="AF204" s="109" t="s">
        <v>487</v>
      </c>
      <c r="AG204" s="109" t="s">
        <v>488</v>
      </c>
      <c r="AH204" s="109" t="s">
        <v>214</v>
      </c>
      <c r="AI204" s="109" t="s">
        <v>1425</v>
      </c>
      <c r="AJ204" s="109" t="s">
        <v>1426</v>
      </c>
      <c r="AK204" s="109" t="s">
        <v>488</v>
      </c>
      <c r="AL204" s="109" t="s">
        <v>214</v>
      </c>
      <c r="AM204" s="109" t="s">
        <v>286</v>
      </c>
      <c r="AN204" s="207" t="s">
        <v>1427</v>
      </c>
      <c r="AO204" s="109">
        <v>280</v>
      </c>
      <c r="AP204" s="109">
        <v>0</v>
      </c>
      <c r="AQ204" s="109">
        <v>18</v>
      </c>
      <c r="AR204" s="109">
        <v>0</v>
      </c>
      <c r="AS204" s="109" t="s">
        <v>252</v>
      </c>
      <c r="AT204" s="109" t="s">
        <v>229</v>
      </c>
      <c r="AU204" s="110">
        <v>46281</v>
      </c>
      <c r="AV204" s="109">
        <v>425.02</v>
      </c>
      <c r="AW204" s="109" t="s">
        <v>230</v>
      </c>
      <c r="AX204" s="109" t="s">
        <v>230</v>
      </c>
      <c r="AY204" s="109">
        <v>8250.19</v>
      </c>
      <c r="AZ204" s="109" t="s">
        <v>232</v>
      </c>
      <c r="BA204" s="109" t="s">
        <v>490</v>
      </c>
      <c r="BB204" s="109">
        <v>425.02</v>
      </c>
      <c r="BC204" s="109">
        <v>374.02</v>
      </c>
      <c r="BD204" s="109">
        <v>425.02</v>
      </c>
      <c r="BE204" s="109">
        <v>51</v>
      </c>
      <c r="BF204" s="111">
        <v>0.12</v>
      </c>
      <c r="BG204" s="109">
        <v>0</v>
      </c>
      <c r="BH204" s="109">
        <v>280</v>
      </c>
      <c r="BI204" s="109">
        <v>286.27</v>
      </c>
      <c r="BJ204" s="109">
        <v>0</v>
      </c>
      <c r="BK204" s="109">
        <v>17</v>
      </c>
      <c r="BL204" s="109">
        <v>0</v>
      </c>
      <c r="BM204" s="109">
        <v>9.76</v>
      </c>
      <c r="BN204" s="109">
        <v>12.38</v>
      </c>
      <c r="BO204" s="109">
        <v>16.5</v>
      </c>
      <c r="BP204" s="109">
        <v>3.23</v>
      </c>
      <c r="BQ204" s="109">
        <v>0</v>
      </c>
      <c r="BR204" s="109">
        <v>0</v>
      </c>
      <c r="BS204" s="109">
        <v>0</v>
      </c>
      <c r="BT204" s="109">
        <v>0</v>
      </c>
      <c r="BU204" s="109">
        <v>0</v>
      </c>
      <c r="BV204" s="109">
        <v>0</v>
      </c>
      <c r="BW204" s="109">
        <v>0</v>
      </c>
      <c r="BX204" s="109">
        <v>0</v>
      </c>
      <c r="BY204" s="109">
        <v>0</v>
      </c>
      <c r="BZ204" s="109">
        <v>0</v>
      </c>
      <c r="CA204" s="109">
        <v>28.88</v>
      </c>
      <c r="CB204" s="109" t="s">
        <v>225</v>
      </c>
      <c r="CC204" s="109" t="s">
        <v>491</v>
      </c>
      <c r="CD204" s="109">
        <v>759.37</v>
      </c>
      <c r="CE204" s="109">
        <v>0</v>
      </c>
      <c r="CF204" s="109">
        <v>0</v>
      </c>
      <c r="CG204" s="109">
        <v>0</v>
      </c>
      <c r="CH204" s="109">
        <v>0</v>
      </c>
      <c r="CI204" s="109">
        <v>0</v>
      </c>
      <c r="CJ204" s="109">
        <v>0</v>
      </c>
      <c r="CK204" s="109">
        <v>0</v>
      </c>
      <c r="CL204" s="109"/>
      <c r="CM204" s="109"/>
      <c r="CN204" s="109">
        <v>0</v>
      </c>
      <c r="CO204" s="109">
        <v>0</v>
      </c>
      <c r="CP204" s="109">
        <v>0</v>
      </c>
      <c r="CQ204" s="109">
        <v>0</v>
      </c>
      <c r="CR204" s="109">
        <v>0</v>
      </c>
      <c r="CS204" s="109">
        <v>0</v>
      </c>
      <c r="CT204" s="109">
        <v>0</v>
      </c>
      <c r="CU204" s="109">
        <v>42</v>
      </c>
      <c r="CV204" s="109" t="s">
        <v>235</v>
      </c>
      <c r="CW204" s="109">
        <v>0</v>
      </c>
      <c r="CX204" s="109"/>
      <c r="CY204" s="109">
        <v>114.8</v>
      </c>
      <c r="CZ204" s="109" t="s">
        <v>289</v>
      </c>
      <c r="DA204" s="109">
        <f>CY204</f>
        <v>114.8</v>
      </c>
      <c r="DB204" s="109"/>
      <c r="DE204" s="109">
        <v>0</v>
      </c>
      <c r="DF204" s="109" t="s">
        <v>236</v>
      </c>
      <c r="DG204" s="109" t="s">
        <v>221</v>
      </c>
      <c r="DH204" s="109" t="s">
        <v>220</v>
      </c>
      <c r="DI204" s="109">
        <v>9026067267</v>
      </c>
      <c r="DJ204" s="109" t="s">
        <v>222</v>
      </c>
      <c r="DK204" s="109">
        <v>0</v>
      </c>
      <c r="DL204" s="109" t="s">
        <v>226</v>
      </c>
      <c r="DM204" s="109">
        <v>51</v>
      </c>
    </row>
    <row r="205" ht="13.8" hidden="1" spans="1:117">
      <c r="A205" s="109">
        <v>2</v>
      </c>
      <c r="B205" s="109" t="s">
        <v>1428</v>
      </c>
      <c r="C205" s="109" t="s">
        <v>203</v>
      </c>
      <c r="D205" s="109" t="s">
        <v>225</v>
      </c>
      <c r="E205" s="109" t="s">
        <v>226</v>
      </c>
      <c r="F205" s="110">
        <v>46265</v>
      </c>
      <c r="G205" s="109" t="s">
        <v>240</v>
      </c>
      <c r="H205" s="109" t="s">
        <v>1429</v>
      </c>
      <c r="I205" s="109" t="s">
        <v>216</v>
      </c>
      <c r="J205" s="109" t="s">
        <v>217</v>
      </c>
      <c r="K205" s="109" t="s">
        <v>218</v>
      </c>
      <c r="L205" s="109" t="s">
        <v>219</v>
      </c>
      <c r="M205" s="207" t="s">
        <v>242</v>
      </c>
      <c r="N205" s="109" t="s">
        <v>220</v>
      </c>
      <c r="O205" s="109" t="s">
        <v>221</v>
      </c>
      <c r="P205" s="109" t="s">
        <v>243</v>
      </c>
      <c r="Q205" s="109" t="s">
        <v>216</v>
      </c>
      <c r="R205" s="109" t="s">
        <v>217</v>
      </c>
      <c r="S205" s="109" t="s">
        <v>220</v>
      </c>
      <c r="T205" s="109" t="s">
        <v>221</v>
      </c>
      <c r="U205" s="109" t="s">
        <v>216</v>
      </c>
      <c r="V205" s="109" t="s">
        <v>217</v>
      </c>
      <c r="W205" s="109" t="s">
        <v>218</v>
      </c>
      <c r="X205" s="109" t="s">
        <v>219</v>
      </c>
      <c r="Y205" s="109" t="s">
        <v>220</v>
      </c>
      <c r="Z205" s="109" t="s">
        <v>221</v>
      </c>
      <c r="AA205" s="109" t="s">
        <v>222</v>
      </c>
      <c r="AB205" s="109" t="s">
        <v>223</v>
      </c>
      <c r="AC205" s="109" t="s">
        <v>1430</v>
      </c>
      <c r="AD205" s="109" t="s">
        <v>1431</v>
      </c>
      <c r="AE205" s="109" t="s">
        <v>305</v>
      </c>
      <c r="AF205" s="109" t="s">
        <v>204</v>
      </c>
      <c r="AG205" s="109" t="s">
        <v>306</v>
      </c>
      <c r="AH205" s="109" t="s">
        <v>214</v>
      </c>
      <c r="AI205" s="109" t="s">
        <v>1430</v>
      </c>
      <c r="AJ205" s="109" t="s">
        <v>1431</v>
      </c>
      <c r="AK205" s="109" t="s">
        <v>306</v>
      </c>
      <c r="AL205" s="109" t="s">
        <v>214</v>
      </c>
      <c r="AM205" s="109" t="s">
        <v>205</v>
      </c>
      <c r="AN205" s="207" t="s">
        <v>1432</v>
      </c>
      <c r="AO205" s="109">
        <v>119.35</v>
      </c>
      <c r="AP205" s="109">
        <v>0</v>
      </c>
      <c r="AQ205" s="109">
        <v>10</v>
      </c>
      <c r="AR205" s="109">
        <v>0</v>
      </c>
      <c r="AS205" s="109" t="s">
        <v>252</v>
      </c>
      <c r="AT205" s="109" t="s">
        <v>229</v>
      </c>
      <c r="AU205" s="110">
        <v>46281</v>
      </c>
      <c r="AV205" s="109">
        <v>468.07</v>
      </c>
      <c r="AW205" s="109" t="s">
        <v>230</v>
      </c>
      <c r="AX205" s="109" t="s">
        <v>231</v>
      </c>
      <c r="AY205" s="109">
        <v>3155.31</v>
      </c>
      <c r="AZ205" s="109" t="s">
        <v>232</v>
      </c>
      <c r="BA205" s="109" t="s">
        <v>308</v>
      </c>
      <c r="BB205" s="109">
        <v>468.07</v>
      </c>
      <c r="BC205" s="109">
        <v>411.9</v>
      </c>
      <c r="BD205" s="109">
        <v>468.07</v>
      </c>
      <c r="BE205" s="109">
        <v>56.17</v>
      </c>
      <c r="BF205" s="111">
        <v>0.12</v>
      </c>
      <c r="BG205" s="109">
        <v>0</v>
      </c>
      <c r="BH205" s="109">
        <v>119.35</v>
      </c>
      <c r="BI205" s="109">
        <v>105.14</v>
      </c>
      <c r="BJ205" s="109">
        <v>0</v>
      </c>
      <c r="BK205" s="109">
        <v>17</v>
      </c>
      <c r="BL205" s="109">
        <v>0</v>
      </c>
      <c r="BM205" s="109">
        <v>9.76</v>
      </c>
      <c r="BN205" s="109">
        <v>4.73</v>
      </c>
      <c r="BO205" s="109">
        <v>11</v>
      </c>
      <c r="BP205" s="109">
        <v>3.23</v>
      </c>
      <c r="BQ205" s="109">
        <v>0</v>
      </c>
      <c r="BR205" s="109">
        <v>0</v>
      </c>
      <c r="BS205" s="109">
        <v>0</v>
      </c>
      <c r="BT205" s="109">
        <v>0</v>
      </c>
      <c r="BU205" s="109">
        <v>0</v>
      </c>
      <c r="BV205" s="109">
        <v>0</v>
      </c>
      <c r="BW205" s="109">
        <v>0</v>
      </c>
      <c r="BX205" s="109">
        <v>250</v>
      </c>
      <c r="BY205" s="109">
        <v>0</v>
      </c>
      <c r="BZ205" s="109">
        <v>0</v>
      </c>
      <c r="CA205" s="109">
        <v>11.04</v>
      </c>
      <c r="CB205" s="109" t="s">
        <v>225</v>
      </c>
      <c r="CC205" s="109" t="s">
        <v>204</v>
      </c>
      <c r="CD205" s="109">
        <v>405.5</v>
      </c>
      <c r="CE205" s="109">
        <v>0</v>
      </c>
      <c r="CF205" s="109">
        <v>0</v>
      </c>
      <c r="CG205" s="109">
        <v>0</v>
      </c>
      <c r="CH205" s="109">
        <v>0</v>
      </c>
      <c r="CI205" s="109">
        <v>0</v>
      </c>
      <c r="CJ205" s="109">
        <v>0</v>
      </c>
      <c r="CK205" s="109">
        <v>0</v>
      </c>
      <c r="CL205" s="109"/>
      <c r="CM205" s="109"/>
      <c r="CN205" s="109">
        <v>0</v>
      </c>
      <c r="CO205" s="109">
        <v>0</v>
      </c>
      <c r="CP205" s="109">
        <v>0</v>
      </c>
      <c r="CQ205" s="109">
        <v>0</v>
      </c>
      <c r="CR205" s="109">
        <v>0</v>
      </c>
      <c r="CS205" s="109">
        <v>0</v>
      </c>
      <c r="CT205" s="109">
        <v>0</v>
      </c>
      <c r="CU205" s="109">
        <v>17.9</v>
      </c>
      <c r="CV205" s="109" t="s">
        <v>235</v>
      </c>
      <c r="CW205" s="109">
        <v>0</v>
      </c>
      <c r="CX205" s="109"/>
      <c r="CY205" s="109">
        <v>16.71</v>
      </c>
      <c r="CZ205" s="109" t="s">
        <v>289</v>
      </c>
      <c r="DA205" s="109">
        <v>0</v>
      </c>
      <c r="DB205" s="109"/>
      <c r="DE205" s="109">
        <v>0</v>
      </c>
      <c r="DF205" s="109" t="s">
        <v>236</v>
      </c>
      <c r="DG205" s="109" t="s">
        <v>221</v>
      </c>
      <c r="DH205" s="109" t="s">
        <v>220</v>
      </c>
      <c r="DI205" s="109">
        <v>9026067267</v>
      </c>
      <c r="DJ205" s="109" t="s">
        <v>222</v>
      </c>
      <c r="DK205" s="109">
        <v>0</v>
      </c>
      <c r="DL205" s="109" t="s">
        <v>226</v>
      </c>
      <c r="DM205" s="109">
        <v>56.17</v>
      </c>
    </row>
    <row r="206" ht="13.8" hidden="1" spans="1:117">
      <c r="A206" s="109">
        <v>2</v>
      </c>
      <c r="B206" s="109" t="s">
        <v>1433</v>
      </c>
      <c r="C206" s="109" t="s">
        <v>203</v>
      </c>
      <c r="D206" s="109" t="s">
        <v>225</v>
      </c>
      <c r="E206" s="109" t="s">
        <v>226</v>
      </c>
      <c r="F206" s="110">
        <v>46265</v>
      </c>
      <c r="G206" s="109" t="s">
        <v>240</v>
      </c>
      <c r="H206" s="109" t="s">
        <v>1434</v>
      </c>
      <c r="I206" s="109" t="s">
        <v>216</v>
      </c>
      <c r="J206" s="109" t="s">
        <v>217</v>
      </c>
      <c r="K206" s="109" t="s">
        <v>218</v>
      </c>
      <c r="L206" s="109" t="s">
        <v>219</v>
      </c>
      <c r="M206" s="207" t="s">
        <v>242</v>
      </c>
      <c r="N206" s="109" t="s">
        <v>220</v>
      </c>
      <c r="O206" s="109" t="s">
        <v>221</v>
      </c>
      <c r="P206" s="109" t="s">
        <v>243</v>
      </c>
      <c r="Q206" s="109" t="s">
        <v>216</v>
      </c>
      <c r="R206" s="109" t="s">
        <v>217</v>
      </c>
      <c r="S206" s="109" t="s">
        <v>220</v>
      </c>
      <c r="T206" s="109" t="s">
        <v>221</v>
      </c>
      <c r="U206" s="109" t="s">
        <v>216</v>
      </c>
      <c r="V206" s="109" t="s">
        <v>217</v>
      </c>
      <c r="W206" s="109" t="s">
        <v>218</v>
      </c>
      <c r="X206" s="109" t="s">
        <v>219</v>
      </c>
      <c r="Y206" s="109" t="s">
        <v>220</v>
      </c>
      <c r="Z206" s="109" t="s">
        <v>221</v>
      </c>
      <c r="AA206" s="109" t="s">
        <v>222</v>
      </c>
      <c r="AB206" s="109" t="s">
        <v>223</v>
      </c>
      <c r="AC206" s="109" t="s">
        <v>1435</v>
      </c>
      <c r="AD206" s="109" t="s">
        <v>1436</v>
      </c>
      <c r="AE206" s="109">
        <v>291</v>
      </c>
      <c r="AF206" s="109" t="s">
        <v>277</v>
      </c>
      <c r="AG206" s="109" t="s">
        <v>535</v>
      </c>
      <c r="AH206" s="109" t="s">
        <v>273</v>
      </c>
      <c r="AI206" s="109" t="s">
        <v>1435</v>
      </c>
      <c r="AJ206" s="109" t="s">
        <v>1436</v>
      </c>
      <c r="AK206" s="109" t="s">
        <v>535</v>
      </c>
      <c r="AL206" s="109" t="s">
        <v>273</v>
      </c>
      <c r="AM206" s="109" t="s">
        <v>274</v>
      </c>
      <c r="AN206" s="207" t="s">
        <v>1437</v>
      </c>
      <c r="AO206" s="109">
        <v>200.8</v>
      </c>
      <c r="AP206" s="109">
        <v>0</v>
      </c>
      <c r="AQ206" s="109">
        <v>15</v>
      </c>
      <c r="AR206" s="109">
        <v>0</v>
      </c>
      <c r="AS206" s="109" t="s">
        <v>252</v>
      </c>
      <c r="AT206" s="109" t="s">
        <v>229</v>
      </c>
      <c r="AU206" s="110">
        <v>46281</v>
      </c>
      <c r="AV206" s="109">
        <v>309.45</v>
      </c>
      <c r="AW206" s="109" t="s">
        <v>230</v>
      </c>
      <c r="AX206" s="109" t="s">
        <v>230</v>
      </c>
      <c r="AY206" s="109">
        <v>7267.83</v>
      </c>
      <c r="AZ206" s="109" t="s">
        <v>232</v>
      </c>
      <c r="BA206" s="109" t="s">
        <v>276</v>
      </c>
      <c r="BB206" s="109">
        <v>309.45</v>
      </c>
      <c r="BC206" s="109">
        <v>287.79</v>
      </c>
      <c r="BD206" s="109">
        <v>309.45</v>
      </c>
      <c r="BE206" s="109">
        <v>21.66</v>
      </c>
      <c r="BF206" s="111">
        <v>0.07</v>
      </c>
      <c r="BG206" s="109">
        <v>0</v>
      </c>
      <c r="BH206" s="109">
        <v>200.8</v>
      </c>
      <c r="BI206" s="109">
        <v>204.96</v>
      </c>
      <c r="BJ206" s="109">
        <v>0</v>
      </c>
      <c r="BK206" s="109">
        <v>17</v>
      </c>
      <c r="BL206" s="109">
        <v>0</v>
      </c>
      <c r="BM206" s="109">
        <v>9.76</v>
      </c>
      <c r="BN206" s="109">
        <v>10.9</v>
      </c>
      <c r="BO206" s="109">
        <v>16.5</v>
      </c>
      <c r="BP206" s="109">
        <v>3.23</v>
      </c>
      <c r="BQ206" s="109">
        <v>0</v>
      </c>
      <c r="BR206" s="109">
        <v>0</v>
      </c>
      <c r="BS206" s="109">
        <v>0</v>
      </c>
      <c r="BT206" s="109">
        <v>0</v>
      </c>
      <c r="BU206" s="109">
        <v>0</v>
      </c>
      <c r="BV206" s="109">
        <v>0</v>
      </c>
      <c r="BW206" s="109">
        <v>0</v>
      </c>
      <c r="BX206" s="109">
        <v>0</v>
      </c>
      <c r="BY206" s="109">
        <v>0</v>
      </c>
      <c r="BZ206" s="109">
        <v>0</v>
      </c>
      <c r="CA206" s="109">
        <v>25.44</v>
      </c>
      <c r="CB206" s="109" t="s">
        <v>225</v>
      </c>
      <c r="CC206" s="109" t="s">
        <v>277</v>
      </c>
      <c r="CD206" s="109">
        <v>467.94</v>
      </c>
      <c r="CE206" s="109">
        <v>0</v>
      </c>
      <c r="CF206" s="109">
        <v>0</v>
      </c>
      <c r="CG206" s="109">
        <v>0</v>
      </c>
      <c r="CH206" s="109">
        <v>0</v>
      </c>
      <c r="CI206" s="109">
        <v>0</v>
      </c>
      <c r="CJ206" s="109">
        <v>0</v>
      </c>
      <c r="CK206" s="109">
        <v>0</v>
      </c>
      <c r="CL206" s="109"/>
      <c r="CM206" s="109"/>
      <c r="CN206" s="109">
        <v>0</v>
      </c>
      <c r="CO206" s="109">
        <v>0</v>
      </c>
      <c r="CP206" s="109">
        <v>0</v>
      </c>
      <c r="CQ206" s="109">
        <v>0</v>
      </c>
      <c r="CR206" s="109">
        <v>0</v>
      </c>
      <c r="CS206" s="109">
        <v>0</v>
      </c>
      <c r="CT206" s="109">
        <v>0</v>
      </c>
      <c r="CU206" s="109">
        <v>30.12</v>
      </c>
      <c r="CV206" s="109" t="s">
        <v>235</v>
      </c>
      <c r="CW206" s="109">
        <v>0</v>
      </c>
      <c r="CX206" s="109"/>
      <c r="CY206" s="109">
        <v>138.14</v>
      </c>
      <c r="CZ206" s="109" t="s">
        <v>1367</v>
      </c>
      <c r="DA206" s="109">
        <v>148.54</v>
      </c>
      <c r="DB206" s="207" t="s">
        <v>1368</v>
      </c>
      <c r="DE206" s="109">
        <v>0</v>
      </c>
      <c r="DF206" s="109" t="s">
        <v>236</v>
      </c>
      <c r="DG206" s="109" t="s">
        <v>221</v>
      </c>
      <c r="DH206" s="109" t="s">
        <v>220</v>
      </c>
      <c r="DI206" s="109">
        <v>9026067267</v>
      </c>
      <c r="DJ206" s="109" t="s">
        <v>222</v>
      </c>
      <c r="DK206" s="109">
        <v>0</v>
      </c>
      <c r="DL206" s="109" t="s">
        <v>226</v>
      </c>
      <c r="DM206" s="109">
        <v>21.66</v>
      </c>
    </row>
    <row r="207" ht="13.8" hidden="1" spans="1:117">
      <c r="A207" s="109">
        <v>2</v>
      </c>
      <c r="B207" s="109" t="s">
        <v>1438</v>
      </c>
      <c r="C207" s="109" t="s">
        <v>203</v>
      </c>
      <c r="D207" s="109" t="s">
        <v>225</v>
      </c>
      <c r="E207" s="109" t="s">
        <v>226</v>
      </c>
      <c r="F207" s="110">
        <v>46265</v>
      </c>
      <c r="G207" s="109" t="s">
        <v>240</v>
      </c>
      <c r="H207" s="109" t="s">
        <v>1439</v>
      </c>
      <c r="I207" s="109" t="s">
        <v>216</v>
      </c>
      <c r="J207" s="109" t="s">
        <v>217</v>
      </c>
      <c r="K207" s="109" t="s">
        <v>218</v>
      </c>
      <c r="L207" s="109" t="s">
        <v>219</v>
      </c>
      <c r="M207" s="207" t="s">
        <v>242</v>
      </c>
      <c r="N207" s="109" t="s">
        <v>220</v>
      </c>
      <c r="O207" s="109" t="s">
        <v>221</v>
      </c>
      <c r="P207" s="109" t="s">
        <v>243</v>
      </c>
      <c r="Q207" s="109" t="s">
        <v>216</v>
      </c>
      <c r="R207" s="109" t="s">
        <v>217</v>
      </c>
      <c r="S207" s="109" t="s">
        <v>220</v>
      </c>
      <c r="T207" s="109" t="s">
        <v>221</v>
      </c>
      <c r="U207" s="109" t="s">
        <v>216</v>
      </c>
      <c r="V207" s="109" t="s">
        <v>217</v>
      </c>
      <c r="W207" s="109" t="s">
        <v>218</v>
      </c>
      <c r="X207" s="109" t="s">
        <v>219</v>
      </c>
      <c r="Y207" s="109" t="s">
        <v>220</v>
      </c>
      <c r="Z207" s="109" t="s">
        <v>221</v>
      </c>
      <c r="AA207" s="109" t="s">
        <v>222</v>
      </c>
      <c r="AB207" s="109" t="s">
        <v>223</v>
      </c>
      <c r="AC207" s="109" t="s">
        <v>1440</v>
      </c>
      <c r="AD207" s="109" t="s">
        <v>1441</v>
      </c>
      <c r="AE207" s="109" t="s">
        <v>312</v>
      </c>
      <c r="AF207" s="109" t="s">
        <v>295</v>
      </c>
      <c r="AG207" s="109" t="s">
        <v>727</v>
      </c>
      <c r="AH207" s="109" t="s">
        <v>297</v>
      </c>
      <c r="AI207" s="109" t="s">
        <v>1440</v>
      </c>
      <c r="AJ207" s="109" t="s">
        <v>1441</v>
      </c>
      <c r="AK207" s="109" t="s">
        <v>727</v>
      </c>
      <c r="AL207" s="109" t="s">
        <v>297</v>
      </c>
      <c r="AM207" s="109" t="s">
        <v>298</v>
      </c>
      <c r="AN207" s="207" t="s">
        <v>1442</v>
      </c>
      <c r="AO207" s="109">
        <v>9.856</v>
      </c>
      <c r="AP207" s="109">
        <v>0</v>
      </c>
      <c r="AQ207" s="109">
        <v>1</v>
      </c>
      <c r="AR207" s="109">
        <v>0</v>
      </c>
      <c r="AS207" s="109" t="s">
        <v>252</v>
      </c>
      <c r="AT207" s="109" t="s">
        <v>229</v>
      </c>
      <c r="AU207" s="110">
        <v>46281</v>
      </c>
      <c r="AV207" s="109">
        <v>90.17</v>
      </c>
      <c r="AW207" s="109" t="s">
        <v>230</v>
      </c>
      <c r="AX207" s="109" t="s">
        <v>230</v>
      </c>
      <c r="AY207" s="109">
        <v>1950.31</v>
      </c>
      <c r="AZ207" s="109" t="s">
        <v>232</v>
      </c>
      <c r="BA207" s="109" t="s">
        <v>300</v>
      </c>
      <c r="BB207" s="109">
        <v>90.17</v>
      </c>
      <c r="BC207" s="109">
        <v>79.35</v>
      </c>
      <c r="BD207" s="109">
        <v>90.17</v>
      </c>
      <c r="BE207" s="109">
        <v>10.82</v>
      </c>
      <c r="BF207" s="111">
        <v>0.12</v>
      </c>
      <c r="BG207" s="109">
        <v>0</v>
      </c>
      <c r="BH207" s="109">
        <v>9.856</v>
      </c>
      <c r="BI207" s="109">
        <v>34.1</v>
      </c>
      <c r="BJ207" s="109">
        <v>0</v>
      </c>
      <c r="BK207" s="109">
        <v>17</v>
      </c>
      <c r="BL207" s="109">
        <v>0</v>
      </c>
      <c r="BM207" s="109">
        <v>9.76</v>
      </c>
      <c r="BN207" s="109">
        <v>2.93</v>
      </c>
      <c r="BO207" s="109">
        <v>5.5</v>
      </c>
      <c r="BP207" s="109">
        <v>3.23</v>
      </c>
      <c r="BQ207" s="109">
        <v>0</v>
      </c>
      <c r="BR207" s="109">
        <v>0</v>
      </c>
      <c r="BS207" s="109">
        <v>0</v>
      </c>
      <c r="BT207" s="109">
        <v>0</v>
      </c>
      <c r="BU207" s="109">
        <v>0</v>
      </c>
      <c r="BV207" s="109">
        <v>0</v>
      </c>
      <c r="BW207" s="109">
        <v>0</v>
      </c>
      <c r="BX207" s="109">
        <v>0</v>
      </c>
      <c r="BY207" s="109">
        <v>0</v>
      </c>
      <c r="BZ207" s="109">
        <v>0</v>
      </c>
      <c r="CA207" s="109">
        <v>6.83</v>
      </c>
      <c r="CB207" s="109" t="s">
        <v>225</v>
      </c>
      <c r="CC207" s="109" t="s">
        <v>295</v>
      </c>
      <c r="CD207" s="109">
        <v>387.99</v>
      </c>
      <c r="CE207" s="109">
        <v>0</v>
      </c>
      <c r="CF207" s="109">
        <v>0</v>
      </c>
      <c r="CG207" s="109">
        <v>0</v>
      </c>
      <c r="CH207" s="109">
        <v>0</v>
      </c>
      <c r="CI207" s="109">
        <v>0</v>
      </c>
      <c r="CJ207" s="109">
        <v>0</v>
      </c>
      <c r="CK207" s="109">
        <v>0</v>
      </c>
      <c r="CL207" s="109"/>
      <c r="CM207" s="109"/>
      <c r="CN207" s="109">
        <v>0</v>
      </c>
      <c r="CO207" s="109">
        <v>0</v>
      </c>
      <c r="CP207" s="109">
        <v>0</v>
      </c>
      <c r="CQ207" s="109">
        <v>0</v>
      </c>
      <c r="CR207" s="109">
        <v>0</v>
      </c>
      <c r="CS207" s="109">
        <v>0</v>
      </c>
      <c r="CT207" s="109">
        <v>0</v>
      </c>
      <c r="CU207" s="109">
        <v>12</v>
      </c>
      <c r="CV207" s="109" t="s">
        <v>235</v>
      </c>
      <c r="CW207" s="109">
        <v>0</v>
      </c>
      <c r="CX207" s="109"/>
      <c r="CY207" s="109">
        <v>18</v>
      </c>
      <c r="CZ207" s="109" t="s">
        <v>941</v>
      </c>
      <c r="DA207" s="109">
        <v>0</v>
      </c>
      <c r="DB207" s="109"/>
      <c r="DE207" s="109">
        <v>0</v>
      </c>
      <c r="DF207" s="109" t="s">
        <v>236</v>
      </c>
      <c r="DG207" s="109" t="s">
        <v>221</v>
      </c>
      <c r="DH207" s="109" t="s">
        <v>220</v>
      </c>
      <c r="DI207" s="109">
        <v>9026067267</v>
      </c>
      <c r="DJ207" s="109" t="s">
        <v>222</v>
      </c>
      <c r="DK207" s="109">
        <v>0</v>
      </c>
      <c r="DL207" s="109" t="s">
        <v>226</v>
      </c>
      <c r="DM207" s="109">
        <v>10.82</v>
      </c>
    </row>
    <row r="208" ht="13.8" hidden="1" spans="1:117">
      <c r="A208" s="109">
        <v>2</v>
      </c>
      <c r="B208" s="109" t="s">
        <v>1443</v>
      </c>
      <c r="C208" s="109" t="s">
        <v>203</v>
      </c>
      <c r="D208" s="109" t="s">
        <v>225</v>
      </c>
      <c r="E208" s="109" t="s">
        <v>226</v>
      </c>
      <c r="F208" s="110">
        <v>46265</v>
      </c>
      <c r="G208" s="109" t="s">
        <v>240</v>
      </c>
      <c r="H208" s="109" t="s">
        <v>1444</v>
      </c>
      <c r="I208" s="109" t="s">
        <v>216</v>
      </c>
      <c r="J208" s="109" t="s">
        <v>217</v>
      </c>
      <c r="K208" s="109" t="s">
        <v>218</v>
      </c>
      <c r="L208" s="109" t="s">
        <v>219</v>
      </c>
      <c r="M208" s="207" t="s">
        <v>242</v>
      </c>
      <c r="N208" s="109" t="s">
        <v>220</v>
      </c>
      <c r="O208" s="109" t="s">
        <v>221</v>
      </c>
      <c r="P208" s="109" t="s">
        <v>243</v>
      </c>
      <c r="Q208" s="109" t="s">
        <v>216</v>
      </c>
      <c r="R208" s="109" t="s">
        <v>217</v>
      </c>
      <c r="S208" s="109" t="s">
        <v>220</v>
      </c>
      <c r="T208" s="109" t="s">
        <v>221</v>
      </c>
      <c r="U208" s="109" t="s">
        <v>216</v>
      </c>
      <c r="V208" s="109" t="s">
        <v>217</v>
      </c>
      <c r="W208" s="109" t="s">
        <v>218</v>
      </c>
      <c r="X208" s="109" t="s">
        <v>219</v>
      </c>
      <c r="Y208" s="109" t="s">
        <v>220</v>
      </c>
      <c r="Z208" s="109" t="s">
        <v>221</v>
      </c>
      <c r="AA208" s="109" t="s">
        <v>222</v>
      </c>
      <c r="AB208" s="109" t="s">
        <v>223</v>
      </c>
      <c r="AC208" s="109" t="s">
        <v>1445</v>
      </c>
      <c r="AD208" s="109" t="s">
        <v>1446</v>
      </c>
      <c r="AE208" s="109">
        <v>394</v>
      </c>
      <c r="AF208" s="109" t="s">
        <v>342</v>
      </c>
      <c r="AG208" s="109" t="s">
        <v>614</v>
      </c>
      <c r="AH208" s="109" t="s">
        <v>214</v>
      </c>
      <c r="AI208" s="109" t="s">
        <v>1445</v>
      </c>
      <c r="AJ208" s="109" t="s">
        <v>1446</v>
      </c>
      <c r="AK208" s="109" t="s">
        <v>614</v>
      </c>
      <c r="AL208" s="109" t="s">
        <v>214</v>
      </c>
      <c r="AM208" s="109" t="s">
        <v>344</v>
      </c>
      <c r="AN208" s="207" t="s">
        <v>1447</v>
      </c>
      <c r="AO208" s="109">
        <v>298.404</v>
      </c>
      <c r="AP208" s="109">
        <v>0</v>
      </c>
      <c r="AQ208" s="109">
        <v>31</v>
      </c>
      <c r="AR208" s="109">
        <v>0</v>
      </c>
      <c r="AS208" s="109" t="s">
        <v>252</v>
      </c>
      <c r="AT208" s="109" t="s">
        <v>229</v>
      </c>
      <c r="AU208" s="110">
        <v>46281</v>
      </c>
      <c r="AV208" s="109">
        <v>514.3</v>
      </c>
      <c r="AW208" s="109" t="s">
        <v>230</v>
      </c>
      <c r="AX208" s="109" t="s">
        <v>231</v>
      </c>
      <c r="AY208" s="109">
        <v>9582.78</v>
      </c>
      <c r="AZ208" s="109" t="s">
        <v>232</v>
      </c>
      <c r="BA208" s="109" t="s">
        <v>616</v>
      </c>
      <c r="BB208" s="109">
        <v>514.3</v>
      </c>
      <c r="BC208" s="109">
        <v>452.58</v>
      </c>
      <c r="BD208" s="109">
        <v>514.3</v>
      </c>
      <c r="BE208" s="109">
        <v>61.72</v>
      </c>
      <c r="BF208" s="111">
        <v>0.12</v>
      </c>
      <c r="BG208" s="109">
        <v>0</v>
      </c>
      <c r="BH208" s="109">
        <v>298.404</v>
      </c>
      <c r="BI208" s="109">
        <v>358.18</v>
      </c>
      <c r="BJ208" s="109">
        <v>0</v>
      </c>
      <c r="BK208" s="109">
        <v>17</v>
      </c>
      <c r="BL208" s="109">
        <v>0</v>
      </c>
      <c r="BM208" s="109">
        <v>9.76</v>
      </c>
      <c r="BN208" s="109">
        <v>14.37</v>
      </c>
      <c r="BO208" s="109">
        <v>16.5</v>
      </c>
      <c r="BP208" s="109">
        <v>3.23</v>
      </c>
      <c r="BQ208" s="109">
        <v>0</v>
      </c>
      <c r="BR208" s="109">
        <v>0</v>
      </c>
      <c r="BS208" s="109">
        <v>0</v>
      </c>
      <c r="BT208" s="109">
        <v>0</v>
      </c>
      <c r="BU208" s="109">
        <v>0</v>
      </c>
      <c r="BV208" s="109">
        <v>0</v>
      </c>
      <c r="BW208" s="109">
        <v>0</v>
      </c>
      <c r="BX208" s="109">
        <v>0</v>
      </c>
      <c r="BY208" s="109">
        <v>0</v>
      </c>
      <c r="BZ208" s="109">
        <v>0</v>
      </c>
      <c r="CA208" s="109">
        <v>33.54</v>
      </c>
      <c r="CB208" s="109" t="s">
        <v>225</v>
      </c>
      <c r="CC208" s="109" t="s">
        <v>342</v>
      </c>
      <c r="CD208" s="109">
        <v>843.11</v>
      </c>
      <c r="CE208" s="109">
        <v>0</v>
      </c>
      <c r="CF208" s="109">
        <v>0</v>
      </c>
      <c r="CG208" s="109">
        <v>0</v>
      </c>
      <c r="CH208" s="109">
        <v>0</v>
      </c>
      <c r="CI208" s="109">
        <v>0</v>
      </c>
      <c r="CJ208" s="109">
        <v>0</v>
      </c>
      <c r="CK208" s="109">
        <v>0</v>
      </c>
      <c r="CL208" s="109"/>
      <c r="CM208" s="109"/>
      <c r="CN208" s="109">
        <v>0</v>
      </c>
      <c r="CO208" s="109">
        <v>0</v>
      </c>
      <c r="CP208" s="109">
        <v>0</v>
      </c>
      <c r="CQ208" s="109">
        <v>0</v>
      </c>
      <c r="CR208" s="109">
        <v>0</v>
      </c>
      <c r="CS208" s="109">
        <v>0</v>
      </c>
      <c r="CT208" s="109">
        <v>0</v>
      </c>
      <c r="CU208" s="109">
        <v>44.76</v>
      </c>
      <c r="CV208" s="109" t="s">
        <v>235</v>
      </c>
      <c r="CW208" s="109">
        <v>0</v>
      </c>
      <c r="CX208" s="109"/>
      <c r="CY208" s="109">
        <v>154.29</v>
      </c>
      <c r="CZ208" s="109" t="s">
        <v>289</v>
      </c>
      <c r="DA208" s="109">
        <f>CY208</f>
        <v>154.29</v>
      </c>
      <c r="DB208" s="109"/>
      <c r="DE208" s="109">
        <v>0</v>
      </c>
      <c r="DF208" s="109" t="s">
        <v>236</v>
      </c>
      <c r="DG208" s="109" t="s">
        <v>221</v>
      </c>
      <c r="DH208" s="109" t="s">
        <v>220</v>
      </c>
      <c r="DI208" s="109">
        <v>9026067267</v>
      </c>
      <c r="DJ208" s="109" t="s">
        <v>222</v>
      </c>
      <c r="DK208" s="109">
        <v>0</v>
      </c>
      <c r="DL208" s="109" t="s">
        <v>226</v>
      </c>
      <c r="DM208" s="109">
        <v>61.72</v>
      </c>
    </row>
    <row r="209" ht="13.8" hidden="1" spans="1:117">
      <c r="A209" s="109">
        <v>2</v>
      </c>
      <c r="B209" s="109" t="s">
        <v>1448</v>
      </c>
      <c r="C209" s="109" t="s">
        <v>203</v>
      </c>
      <c r="D209" s="109" t="s">
        <v>225</v>
      </c>
      <c r="E209" s="109" t="s">
        <v>226</v>
      </c>
      <c r="F209" s="110">
        <v>46265</v>
      </c>
      <c r="G209" s="109" t="s">
        <v>240</v>
      </c>
      <c r="H209" s="109" t="s">
        <v>1449</v>
      </c>
      <c r="I209" s="109" t="s">
        <v>216</v>
      </c>
      <c r="J209" s="109" t="s">
        <v>217</v>
      </c>
      <c r="K209" s="109" t="s">
        <v>218</v>
      </c>
      <c r="L209" s="109" t="s">
        <v>219</v>
      </c>
      <c r="M209" s="207" t="s">
        <v>242</v>
      </c>
      <c r="N209" s="109" t="s">
        <v>220</v>
      </c>
      <c r="O209" s="109" t="s">
        <v>221</v>
      </c>
      <c r="P209" s="109" t="s">
        <v>243</v>
      </c>
      <c r="Q209" s="109" t="s">
        <v>216</v>
      </c>
      <c r="R209" s="109" t="s">
        <v>217</v>
      </c>
      <c r="S209" s="109" t="s">
        <v>220</v>
      </c>
      <c r="T209" s="109" t="s">
        <v>221</v>
      </c>
      <c r="U209" s="109" t="s">
        <v>216</v>
      </c>
      <c r="V209" s="109" t="s">
        <v>217</v>
      </c>
      <c r="W209" s="109" t="s">
        <v>218</v>
      </c>
      <c r="X209" s="109" t="s">
        <v>219</v>
      </c>
      <c r="Y209" s="109" t="s">
        <v>220</v>
      </c>
      <c r="Z209" s="109" t="s">
        <v>221</v>
      </c>
      <c r="AA209" s="109" t="s">
        <v>222</v>
      </c>
      <c r="AB209" s="109" t="s">
        <v>223</v>
      </c>
      <c r="AC209" s="109" t="s">
        <v>1450</v>
      </c>
      <c r="AD209" s="109" t="s">
        <v>1451</v>
      </c>
      <c r="AE209" s="109">
        <v>296</v>
      </c>
      <c r="AF209" s="109" t="s">
        <v>271</v>
      </c>
      <c r="AG209" s="109" t="s">
        <v>864</v>
      </c>
      <c r="AH209" s="109" t="s">
        <v>273</v>
      </c>
      <c r="AI209" s="109" t="s">
        <v>1450</v>
      </c>
      <c r="AJ209" s="109" t="s">
        <v>1451</v>
      </c>
      <c r="AK209" s="109" t="s">
        <v>864</v>
      </c>
      <c r="AL209" s="109" t="s">
        <v>273</v>
      </c>
      <c r="AM209" s="109" t="s">
        <v>274</v>
      </c>
      <c r="AN209" s="207" t="s">
        <v>1452</v>
      </c>
      <c r="AO209" s="109">
        <v>139.85</v>
      </c>
      <c r="AP209" s="109">
        <v>0</v>
      </c>
      <c r="AQ209" s="109">
        <v>29</v>
      </c>
      <c r="AR209" s="109">
        <v>0</v>
      </c>
      <c r="AS209" s="109" t="s">
        <v>252</v>
      </c>
      <c r="AT209" s="109" t="s">
        <v>229</v>
      </c>
      <c r="AU209" s="110">
        <v>46281</v>
      </c>
      <c r="AV209" s="109">
        <v>229.06</v>
      </c>
      <c r="AW209" s="109" t="s">
        <v>230</v>
      </c>
      <c r="AX209" s="109" t="s">
        <v>230</v>
      </c>
      <c r="AY209" s="109">
        <v>5861.09</v>
      </c>
      <c r="AZ209" s="109" t="s">
        <v>232</v>
      </c>
      <c r="BA209" s="109" t="s">
        <v>276</v>
      </c>
      <c r="BB209" s="109">
        <v>229.06</v>
      </c>
      <c r="BC209" s="109">
        <v>213.03</v>
      </c>
      <c r="BD209" s="109">
        <v>229.06</v>
      </c>
      <c r="BE209" s="109">
        <v>16.03</v>
      </c>
      <c r="BF209" s="111">
        <v>0.07</v>
      </c>
      <c r="BG209" s="109">
        <v>0</v>
      </c>
      <c r="BH209" s="109">
        <v>139.85</v>
      </c>
      <c r="BI209" s="109">
        <v>142.74</v>
      </c>
      <c r="BJ209" s="109">
        <v>0</v>
      </c>
      <c r="BK209" s="109">
        <v>17</v>
      </c>
      <c r="BL209" s="109">
        <v>0</v>
      </c>
      <c r="BM209" s="109">
        <v>9.76</v>
      </c>
      <c r="BN209" s="109">
        <v>8.79</v>
      </c>
      <c r="BO209" s="109">
        <v>11</v>
      </c>
      <c r="BP209" s="109">
        <v>3.23</v>
      </c>
      <c r="BQ209" s="109">
        <v>0</v>
      </c>
      <c r="BR209" s="109">
        <v>0</v>
      </c>
      <c r="BS209" s="109">
        <v>0</v>
      </c>
      <c r="BT209" s="109">
        <v>0</v>
      </c>
      <c r="BU209" s="109">
        <v>0</v>
      </c>
      <c r="BV209" s="109">
        <v>0</v>
      </c>
      <c r="BW209" s="109">
        <v>0</v>
      </c>
      <c r="BX209" s="109">
        <v>0</v>
      </c>
      <c r="BY209" s="109">
        <v>0</v>
      </c>
      <c r="BZ209" s="109">
        <v>0</v>
      </c>
      <c r="CA209" s="109">
        <v>20.51</v>
      </c>
      <c r="CB209" s="109" t="s">
        <v>225</v>
      </c>
      <c r="CC209" s="109" t="s">
        <v>277</v>
      </c>
      <c r="CD209" s="109">
        <v>444.78</v>
      </c>
      <c r="CE209" s="109">
        <v>0</v>
      </c>
      <c r="CF209" s="109">
        <v>0</v>
      </c>
      <c r="CG209" s="109">
        <v>0</v>
      </c>
      <c r="CH209" s="109">
        <v>0</v>
      </c>
      <c r="CI209" s="109">
        <v>0</v>
      </c>
      <c r="CJ209" s="109">
        <v>0</v>
      </c>
      <c r="CK209" s="109">
        <v>0</v>
      </c>
      <c r="CL209" s="109"/>
      <c r="CM209" s="109"/>
      <c r="CN209" s="109">
        <v>0</v>
      </c>
      <c r="CO209" s="109">
        <v>0</v>
      </c>
      <c r="CP209" s="109">
        <v>0</v>
      </c>
      <c r="CQ209" s="109">
        <v>0</v>
      </c>
      <c r="CR209" s="109">
        <v>0</v>
      </c>
      <c r="CS209" s="109">
        <v>0</v>
      </c>
      <c r="CT209" s="109">
        <v>0</v>
      </c>
      <c r="CU209" s="109">
        <v>20.98</v>
      </c>
      <c r="CV209" s="109" t="s">
        <v>235</v>
      </c>
      <c r="CW209" s="109">
        <v>0</v>
      </c>
      <c r="CX209" s="109"/>
      <c r="CY209" s="109">
        <v>102.25</v>
      </c>
      <c r="CZ209" s="109" t="s">
        <v>1367</v>
      </c>
      <c r="DA209" s="109">
        <v>109.95</v>
      </c>
      <c r="DB209" s="207" t="s">
        <v>1368</v>
      </c>
      <c r="DE209" s="109">
        <v>0</v>
      </c>
      <c r="DF209" s="109" t="s">
        <v>236</v>
      </c>
      <c r="DG209" s="109" t="s">
        <v>221</v>
      </c>
      <c r="DH209" s="109" t="s">
        <v>220</v>
      </c>
      <c r="DI209" s="109">
        <v>9026067267</v>
      </c>
      <c r="DJ209" s="109" t="s">
        <v>222</v>
      </c>
      <c r="DK209" s="109">
        <v>0</v>
      </c>
      <c r="DL209" s="109" t="s">
        <v>226</v>
      </c>
      <c r="DM209" s="109">
        <v>16.03</v>
      </c>
    </row>
    <row r="210" ht="13.8" hidden="1" spans="1:117">
      <c r="A210" s="109">
        <v>2</v>
      </c>
      <c r="B210" s="109" t="s">
        <v>1453</v>
      </c>
      <c r="C210" s="109" t="s">
        <v>1454</v>
      </c>
      <c r="D210" s="109" t="s">
        <v>364</v>
      </c>
      <c r="E210" s="109" t="s">
        <v>366</v>
      </c>
      <c r="F210" s="110">
        <v>46259</v>
      </c>
      <c r="G210" s="109" t="s">
        <v>1455</v>
      </c>
      <c r="H210" s="109" t="s">
        <v>1456</v>
      </c>
      <c r="I210" s="109" t="s">
        <v>830</v>
      </c>
      <c r="J210" s="109" t="s">
        <v>831</v>
      </c>
      <c r="K210" s="109" t="s">
        <v>1457</v>
      </c>
      <c r="L210" s="109" t="s">
        <v>1458</v>
      </c>
      <c r="M210" s="109">
        <v>131</v>
      </c>
      <c r="N210" s="109" t="s">
        <v>832</v>
      </c>
      <c r="O210" s="109" t="s">
        <v>297</v>
      </c>
      <c r="P210" s="109" t="s">
        <v>1459</v>
      </c>
      <c r="Q210" s="109" t="s">
        <v>830</v>
      </c>
      <c r="R210" s="109" t="s">
        <v>831</v>
      </c>
      <c r="S210" s="109" t="s">
        <v>832</v>
      </c>
      <c r="T210" s="109" t="s">
        <v>297</v>
      </c>
      <c r="U210" s="109" t="s">
        <v>216</v>
      </c>
      <c r="V210" s="109" t="s">
        <v>217</v>
      </c>
      <c r="W210" s="109" t="s">
        <v>218</v>
      </c>
      <c r="X210" s="109" t="s">
        <v>219</v>
      </c>
      <c r="Y210" s="109" t="s">
        <v>220</v>
      </c>
      <c r="Z210" s="109" t="s">
        <v>221</v>
      </c>
      <c r="AA210" s="109" t="s">
        <v>222</v>
      </c>
      <c r="AB210" s="109" t="s">
        <v>223</v>
      </c>
      <c r="AC210" s="109" t="s">
        <v>216</v>
      </c>
      <c r="AD210" s="109" t="s">
        <v>217</v>
      </c>
      <c r="AE210" s="109" t="s">
        <v>224</v>
      </c>
      <c r="AF210" s="109" t="s">
        <v>225</v>
      </c>
      <c r="AG210" s="109" t="s">
        <v>220</v>
      </c>
      <c r="AH210" s="109" t="s">
        <v>221</v>
      </c>
      <c r="AI210" s="109" t="s">
        <v>216</v>
      </c>
      <c r="AJ210" s="109" t="s">
        <v>217</v>
      </c>
      <c r="AK210" s="109" t="s">
        <v>220</v>
      </c>
      <c r="AL210" s="109" t="s">
        <v>221</v>
      </c>
      <c r="AM210" s="109" t="s">
        <v>226</v>
      </c>
      <c r="AN210" s="207" t="s">
        <v>833</v>
      </c>
      <c r="AO210" s="109">
        <v>52.92</v>
      </c>
      <c r="AP210" s="109">
        <v>0</v>
      </c>
      <c r="AQ210" s="109">
        <v>6</v>
      </c>
      <c r="AR210" s="109">
        <v>0</v>
      </c>
      <c r="AS210" s="109" t="s">
        <v>228</v>
      </c>
      <c r="AT210" s="109" t="s">
        <v>229</v>
      </c>
      <c r="AU210" s="110">
        <v>46274</v>
      </c>
      <c r="AV210" s="109">
        <v>204.19</v>
      </c>
      <c r="AW210" s="109" t="s">
        <v>230</v>
      </c>
      <c r="AX210" s="109" t="s">
        <v>230</v>
      </c>
      <c r="AY210" s="109">
        <v>1690.24</v>
      </c>
      <c r="AZ210" s="109" t="s">
        <v>232</v>
      </c>
      <c r="BA210" s="109" t="s">
        <v>368</v>
      </c>
      <c r="BB210" s="109">
        <v>204.19</v>
      </c>
      <c r="BC210" s="109">
        <v>179.69</v>
      </c>
      <c r="BD210" s="109">
        <v>204.19</v>
      </c>
      <c r="BE210" s="109">
        <v>24.5</v>
      </c>
      <c r="BF210" s="111">
        <v>0.12</v>
      </c>
      <c r="BG210" s="109">
        <v>0</v>
      </c>
      <c r="BH210" s="109">
        <v>52.92</v>
      </c>
      <c r="BI210" s="109">
        <v>135.74</v>
      </c>
      <c r="BJ210" s="109">
        <v>0</v>
      </c>
      <c r="BK210" s="109">
        <v>17</v>
      </c>
      <c r="BL210" s="109">
        <v>0</v>
      </c>
      <c r="BM210" s="109">
        <v>9.76</v>
      </c>
      <c r="BN210" s="109">
        <v>2.54</v>
      </c>
      <c r="BO210" s="109">
        <v>5.5</v>
      </c>
      <c r="BP210" s="109">
        <v>3.23</v>
      </c>
      <c r="BQ210" s="109">
        <v>0</v>
      </c>
      <c r="BR210" s="109">
        <v>0</v>
      </c>
      <c r="BS210" s="109">
        <v>0</v>
      </c>
      <c r="BT210" s="109">
        <v>0</v>
      </c>
      <c r="BU210" s="109">
        <v>0</v>
      </c>
      <c r="BV210" s="109">
        <v>0</v>
      </c>
      <c r="BW210" s="109">
        <v>0</v>
      </c>
      <c r="BX210" s="109">
        <v>0</v>
      </c>
      <c r="BY210" s="109">
        <v>0</v>
      </c>
      <c r="BZ210" s="109">
        <v>0</v>
      </c>
      <c r="CA210" s="109">
        <v>5.92</v>
      </c>
      <c r="CB210" s="109" t="s">
        <v>369</v>
      </c>
      <c r="CC210" s="109" t="s">
        <v>225</v>
      </c>
      <c r="CD210" s="109">
        <v>384.68</v>
      </c>
      <c r="CE210" s="109">
        <v>0</v>
      </c>
      <c r="CF210" s="109">
        <v>0</v>
      </c>
      <c r="CG210" s="109">
        <v>0</v>
      </c>
      <c r="CH210" s="109">
        <v>0</v>
      </c>
      <c r="CI210" s="109">
        <v>0</v>
      </c>
      <c r="CJ210" s="109">
        <v>0</v>
      </c>
      <c r="CK210" s="109">
        <v>0</v>
      </c>
      <c r="CL210" s="109"/>
      <c r="CM210" s="109"/>
      <c r="CN210" s="109">
        <v>0</v>
      </c>
      <c r="CO210" s="109">
        <v>0</v>
      </c>
      <c r="CP210" s="109">
        <v>0</v>
      </c>
      <c r="CQ210" s="109">
        <v>0</v>
      </c>
      <c r="CR210" s="109">
        <v>0</v>
      </c>
      <c r="CS210" s="109">
        <v>0</v>
      </c>
      <c r="CT210" s="109">
        <v>0</v>
      </c>
      <c r="CU210" s="109">
        <v>60.5</v>
      </c>
      <c r="CV210" s="109" t="s">
        <v>289</v>
      </c>
      <c r="CW210" s="109">
        <v>0</v>
      </c>
      <c r="CX210" s="109"/>
      <c r="CY210" s="109">
        <v>0.01</v>
      </c>
      <c r="CZ210" s="109" t="s">
        <v>289</v>
      </c>
      <c r="DA210" s="109">
        <v>0</v>
      </c>
      <c r="DB210" s="109"/>
      <c r="DE210" s="109">
        <v>0</v>
      </c>
      <c r="DF210" s="109" t="s">
        <v>236</v>
      </c>
      <c r="DG210" s="109" t="s">
        <v>297</v>
      </c>
      <c r="DH210" s="109" t="s">
        <v>1460</v>
      </c>
      <c r="DI210" s="207" t="s">
        <v>1461</v>
      </c>
      <c r="DJ210" s="109" t="s">
        <v>1462</v>
      </c>
      <c r="DK210" s="109">
        <v>0</v>
      </c>
      <c r="DL210" s="109" t="s">
        <v>226</v>
      </c>
      <c r="DM210" s="109">
        <v>24.5</v>
      </c>
    </row>
    <row r="211" ht="13.8" hidden="1" spans="1:117">
      <c r="A211" s="109">
        <v>2</v>
      </c>
      <c r="B211" s="109" t="s">
        <v>1463</v>
      </c>
      <c r="C211" s="109" t="s">
        <v>203</v>
      </c>
      <c r="D211" s="109" t="s">
        <v>1390</v>
      </c>
      <c r="E211" s="109" t="s">
        <v>1392</v>
      </c>
      <c r="F211" s="110">
        <v>46260</v>
      </c>
      <c r="G211" s="109" t="s">
        <v>1455</v>
      </c>
      <c r="H211" s="109" t="s">
        <v>1464</v>
      </c>
      <c r="I211" s="109" t="s">
        <v>1465</v>
      </c>
      <c r="J211" s="109" t="s">
        <v>1466</v>
      </c>
      <c r="K211" s="109" t="s">
        <v>1467</v>
      </c>
      <c r="L211" s="109" t="s">
        <v>1468</v>
      </c>
      <c r="M211" s="109">
        <v>180</v>
      </c>
      <c r="N211" s="109" t="s">
        <v>1421</v>
      </c>
      <c r="O211" s="109" t="s">
        <v>297</v>
      </c>
      <c r="P211" s="109" t="s">
        <v>1469</v>
      </c>
      <c r="Q211" s="109" t="s">
        <v>1465</v>
      </c>
      <c r="R211" s="109" t="s">
        <v>1466</v>
      </c>
      <c r="S211" s="109" t="s">
        <v>1421</v>
      </c>
      <c r="T211" s="109" t="s">
        <v>297</v>
      </c>
      <c r="U211" s="109" t="s">
        <v>216</v>
      </c>
      <c r="V211" s="109" t="s">
        <v>217</v>
      </c>
      <c r="W211" s="109" t="s">
        <v>218</v>
      </c>
      <c r="X211" s="109" t="s">
        <v>219</v>
      </c>
      <c r="Y211" s="109" t="s">
        <v>220</v>
      </c>
      <c r="Z211" s="109" t="s">
        <v>221</v>
      </c>
      <c r="AA211" s="109" t="s">
        <v>222</v>
      </c>
      <c r="AB211" s="109" t="s">
        <v>223</v>
      </c>
      <c r="AC211" s="109" t="s">
        <v>216</v>
      </c>
      <c r="AD211" s="109" t="s">
        <v>217</v>
      </c>
      <c r="AE211" s="109" t="s">
        <v>224</v>
      </c>
      <c r="AF211" s="109" t="s">
        <v>225</v>
      </c>
      <c r="AG211" s="109" t="s">
        <v>220</v>
      </c>
      <c r="AH211" s="109" t="s">
        <v>221</v>
      </c>
      <c r="AI211" s="109" t="s">
        <v>216</v>
      </c>
      <c r="AJ211" s="109" t="s">
        <v>217</v>
      </c>
      <c r="AK211" s="109" t="s">
        <v>220</v>
      </c>
      <c r="AL211" s="109" t="s">
        <v>221</v>
      </c>
      <c r="AM211" s="109" t="s">
        <v>226</v>
      </c>
      <c r="AN211" s="207" t="s">
        <v>1470</v>
      </c>
      <c r="AO211" s="109">
        <v>250</v>
      </c>
      <c r="AP211" s="109">
        <v>2.4</v>
      </c>
      <c r="AQ211" s="109">
        <v>2</v>
      </c>
      <c r="AR211" s="109">
        <v>0</v>
      </c>
      <c r="AS211" s="109" t="s">
        <v>228</v>
      </c>
      <c r="AT211" s="109" t="s">
        <v>229</v>
      </c>
      <c r="AU211" s="110">
        <v>46274</v>
      </c>
      <c r="AV211" s="109">
        <v>1148.86</v>
      </c>
      <c r="AW211" s="109" t="s">
        <v>230</v>
      </c>
      <c r="AX211" s="109" t="s">
        <v>230</v>
      </c>
      <c r="AY211" s="109">
        <v>17351.75</v>
      </c>
      <c r="AZ211" s="109" t="s">
        <v>232</v>
      </c>
      <c r="BA211" s="109" t="s">
        <v>368</v>
      </c>
      <c r="BB211" s="109">
        <v>1148.86</v>
      </c>
      <c r="BC211" s="109">
        <v>1011</v>
      </c>
      <c r="BD211" s="109">
        <v>1148.86</v>
      </c>
      <c r="BE211" s="109">
        <v>137.86</v>
      </c>
      <c r="BF211" s="111">
        <v>0.12</v>
      </c>
      <c r="BG211" s="109">
        <v>0</v>
      </c>
      <c r="BH211" s="109">
        <v>720</v>
      </c>
      <c r="BI211" s="109">
        <v>850.25</v>
      </c>
      <c r="BJ211" s="109">
        <v>0</v>
      </c>
      <c r="BK211" s="109">
        <v>17</v>
      </c>
      <c r="BL211" s="109">
        <v>0</v>
      </c>
      <c r="BM211" s="109">
        <v>9.76</v>
      </c>
      <c r="BN211" s="109">
        <v>26.03</v>
      </c>
      <c r="BO211" s="109">
        <v>44</v>
      </c>
      <c r="BP211" s="109">
        <v>3.23</v>
      </c>
      <c r="BQ211" s="109">
        <v>0</v>
      </c>
      <c r="BR211" s="109">
        <v>0</v>
      </c>
      <c r="BS211" s="109">
        <v>0</v>
      </c>
      <c r="BT211" s="109">
        <v>0</v>
      </c>
      <c r="BU211" s="109">
        <v>0</v>
      </c>
      <c r="BV211" s="109">
        <v>0</v>
      </c>
      <c r="BW211" s="109">
        <v>0</v>
      </c>
      <c r="BX211" s="109">
        <v>0</v>
      </c>
      <c r="BY211" s="109">
        <v>0</v>
      </c>
      <c r="BZ211" s="109">
        <v>0</v>
      </c>
      <c r="CA211" s="109">
        <v>60.73</v>
      </c>
      <c r="CB211" s="109" t="s">
        <v>1390</v>
      </c>
      <c r="CC211" s="109" t="s">
        <v>225</v>
      </c>
      <c r="CD211" s="109">
        <v>2431.45</v>
      </c>
      <c r="CE211" s="109">
        <v>0</v>
      </c>
      <c r="CF211" s="109">
        <v>0</v>
      </c>
      <c r="CG211" s="109">
        <v>0</v>
      </c>
      <c r="CH211" s="109">
        <v>0</v>
      </c>
      <c r="CI211" s="109">
        <v>0</v>
      </c>
      <c r="CJ211" s="109">
        <v>0</v>
      </c>
      <c r="CK211" s="109">
        <v>0</v>
      </c>
      <c r="CL211" s="109"/>
      <c r="CM211" s="109"/>
      <c r="CN211" s="109">
        <v>0</v>
      </c>
      <c r="CO211" s="109">
        <v>0</v>
      </c>
      <c r="CP211" s="109">
        <v>0</v>
      </c>
      <c r="CQ211" s="109">
        <v>0</v>
      </c>
      <c r="CR211" s="109">
        <v>0</v>
      </c>
      <c r="CS211" s="109">
        <v>0</v>
      </c>
      <c r="CT211" s="109">
        <v>0</v>
      </c>
      <c r="CU211" s="109">
        <v>172.33</v>
      </c>
      <c r="CV211" s="109" t="s">
        <v>235</v>
      </c>
      <c r="CW211" s="109">
        <v>0</v>
      </c>
      <c r="CX211" s="109"/>
      <c r="CY211" s="109">
        <v>37.5</v>
      </c>
      <c r="CZ211" s="109" t="s">
        <v>941</v>
      </c>
      <c r="DA211" s="109">
        <v>0</v>
      </c>
      <c r="DB211" s="109"/>
      <c r="DE211" s="109">
        <v>0</v>
      </c>
      <c r="DF211" s="109" t="s">
        <v>236</v>
      </c>
      <c r="DG211" s="109" t="s">
        <v>297</v>
      </c>
      <c r="DH211" s="109" t="s">
        <v>1421</v>
      </c>
      <c r="DI211" s="207" t="s">
        <v>1471</v>
      </c>
      <c r="DJ211" s="109" t="s">
        <v>1472</v>
      </c>
      <c r="DK211" s="109">
        <v>0</v>
      </c>
      <c r="DL211" s="109" t="s">
        <v>226</v>
      </c>
      <c r="DM211" s="109">
        <v>137.86</v>
      </c>
    </row>
    <row r="212" ht="13.8" hidden="1" spans="1:117">
      <c r="A212" s="109">
        <v>2</v>
      </c>
      <c r="B212" s="109" t="s">
        <v>1473</v>
      </c>
      <c r="C212" s="109" t="s">
        <v>203</v>
      </c>
      <c r="D212" s="109" t="s">
        <v>295</v>
      </c>
      <c r="E212" s="109" t="s">
        <v>298</v>
      </c>
      <c r="F212" s="110">
        <v>46251</v>
      </c>
      <c r="G212" s="109" t="s">
        <v>1474</v>
      </c>
      <c r="H212" s="109" t="s">
        <v>1475</v>
      </c>
      <c r="I212" s="109" t="s">
        <v>372</v>
      </c>
      <c r="J212" s="109" t="s">
        <v>373</v>
      </c>
      <c r="K212" s="109" t="s">
        <v>1476</v>
      </c>
      <c r="L212" s="109" t="s">
        <v>1477</v>
      </c>
      <c r="M212" s="207" t="s">
        <v>1478</v>
      </c>
      <c r="N212" s="109" t="s">
        <v>296</v>
      </c>
      <c r="O212" s="109" t="s">
        <v>297</v>
      </c>
      <c r="P212" s="109" t="s">
        <v>1479</v>
      </c>
      <c r="Q212" s="109" t="s">
        <v>372</v>
      </c>
      <c r="R212" s="109" t="s">
        <v>373</v>
      </c>
      <c r="S212" s="109" t="s">
        <v>296</v>
      </c>
      <c r="T212" s="109" t="s">
        <v>297</v>
      </c>
      <c r="U212" s="109" t="s">
        <v>216</v>
      </c>
      <c r="V212" s="109" t="s">
        <v>217</v>
      </c>
      <c r="W212" s="109" t="s">
        <v>218</v>
      </c>
      <c r="X212" s="109" t="s">
        <v>219</v>
      </c>
      <c r="Y212" s="109" t="s">
        <v>220</v>
      </c>
      <c r="Z212" s="109" t="s">
        <v>221</v>
      </c>
      <c r="AA212" s="109" t="s">
        <v>222</v>
      </c>
      <c r="AB212" s="109" t="s">
        <v>223</v>
      </c>
      <c r="AC212" s="109" t="s">
        <v>216</v>
      </c>
      <c r="AD212" s="109" t="s">
        <v>217</v>
      </c>
      <c r="AE212" s="109" t="s">
        <v>224</v>
      </c>
      <c r="AF212" s="109" t="s">
        <v>225</v>
      </c>
      <c r="AG212" s="109" t="s">
        <v>220</v>
      </c>
      <c r="AH212" s="109" t="s">
        <v>221</v>
      </c>
      <c r="AI212" s="109" t="s">
        <v>216</v>
      </c>
      <c r="AJ212" s="109" t="s">
        <v>217</v>
      </c>
      <c r="AK212" s="109" t="s">
        <v>220</v>
      </c>
      <c r="AL212" s="109" t="s">
        <v>221</v>
      </c>
      <c r="AM212" s="109" t="s">
        <v>226</v>
      </c>
      <c r="AN212" s="207" t="s">
        <v>1480</v>
      </c>
      <c r="AO212" s="109">
        <v>14</v>
      </c>
      <c r="AP212" s="109">
        <v>0</v>
      </c>
      <c r="AQ212" s="109">
        <v>1</v>
      </c>
      <c r="AR212" s="109">
        <v>0</v>
      </c>
      <c r="AS212" s="109" t="s">
        <v>228</v>
      </c>
      <c r="AT212" s="109" t="s">
        <v>229</v>
      </c>
      <c r="AU212" s="110">
        <v>46267</v>
      </c>
      <c r="AV212" s="109">
        <v>88.5</v>
      </c>
      <c r="AW212" s="109" t="s">
        <v>230</v>
      </c>
      <c r="AX212" s="109" t="s">
        <v>230</v>
      </c>
      <c r="AY212" s="109">
        <v>126.25</v>
      </c>
      <c r="AZ212" s="109" t="s">
        <v>232</v>
      </c>
      <c r="BA212" s="109" t="s">
        <v>300</v>
      </c>
      <c r="BB212" s="109">
        <v>88.5</v>
      </c>
      <c r="BC212" s="109">
        <v>77.88</v>
      </c>
      <c r="BD212" s="109">
        <v>88.5</v>
      </c>
      <c r="BE212" s="109">
        <v>10.62</v>
      </c>
      <c r="BF212" s="111">
        <v>0.12</v>
      </c>
      <c r="BG212" s="109">
        <v>0</v>
      </c>
      <c r="BH212" s="109">
        <v>14</v>
      </c>
      <c r="BI212" s="109">
        <v>39.7</v>
      </c>
      <c r="BJ212" s="109">
        <v>0</v>
      </c>
      <c r="BK212" s="109">
        <v>17</v>
      </c>
      <c r="BL212" s="109">
        <v>0</v>
      </c>
      <c r="BM212" s="109">
        <v>9.76</v>
      </c>
      <c r="BN212" s="109">
        <v>2.25</v>
      </c>
      <c r="BO212" s="109">
        <v>5.5</v>
      </c>
      <c r="BP212" s="109">
        <v>3.23</v>
      </c>
      <c r="BQ212" s="109">
        <v>0</v>
      </c>
      <c r="BR212" s="109">
        <v>0</v>
      </c>
      <c r="BS212" s="109">
        <v>0</v>
      </c>
      <c r="BT212" s="109">
        <v>0</v>
      </c>
      <c r="BU212" s="109">
        <v>0</v>
      </c>
      <c r="BV212" s="109">
        <v>0</v>
      </c>
      <c r="BW212" s="109">
        <v>0</v>
      </c>
      <c r="BX212" s="109">
        <v>0</v>
      </c>
      <c r="BY212" s="109">
        <v>0</v>
      </c>
      <c r="BZ212" s="109">
        <v>0</v>
      </c>
      <c r="CA212" s="109">
        <v>0.44</v>
      </c>
      <c r="CB212" s="109" t="s">
        <v>295</v>
      </c>
      <c r="CC212" s="109" t="s">
        <v>225</v>
      </c>
      <c r="CD212" s="109">
        <v>369.06</v>
      </c>
      <c r="CE212" s="109">
        <v>0</v>
      </c>
      <c r="CF212" s="109">
        <v>0</v>
      </c>
      <c r="CG212" s="109">
        <v>0</v>
      </c>
      <c r="CH212" s="109">
        <v>0</v>
      </c>
      <c r="CI212" s="109">
        <v>0</v>
      </c>
      <c r="CJ212" s="109">
        <v>0</v>
      </c>
      <c r="CK212" s="109">
        <v>0</v>
      </c>
      <c r="CL212" s="109"/>
      <c r="CM212" s="109"/>
      <c r="CN212" s="109">
        <v>0</v>
      </c>
      <c r="CO212" s="109">
        <v>0</v>
      </c>
      <c r="CP212" s="109">
        <v>0</v>
      </c>
      <c r="CQ212" s="109">
        <v>0</v>
      </c>
      <c r="CR212" s="109">
        <v>0</v>
      </c>
      <c r="CS212" s="109">
        <v>0</v>
      </c>
      <c r="CT212" s="109">
        <v>0</v>
      </c>
      <c r="CU212" s="109">
        <v>18</v>
      </c>
      <c r="CV212" s="109" t="s">
        <v>235</v>
      </c>
      <c r="CW212" s="109">
        <v>0</v>
      </c>
      <c r="CX212" s="109"/>
      <c r="CY212" s="109">
        <v>12</v>
      </c>
      <c r="CZ212" s="109" t="s">
        <v>235</v>
      </c>
      <c r="DA212" s="109">
        <v>0</v>
      </c>
      <c r="DB212" s="109"/>
      <c r="DE212" s="109">
        <v>0</v>
      </c>
      <c r="DF212" s="109" t="s">
        <v>236</v>
      </c>
      <c r="DG212" s="109" t="s">
        <v>297</v>
      </c>
      <c r="DH212" s="109" t="s">
        <v>296</v>
      </c>
      <c r="DI212" s="207" t="s">
        <v>1481</v>
      </c>
      <c r="DJ212" s="109" t="s">
        <v>1482</v>
      </c>
      <c r="DK212" s="109">
        <v>0</v>
      </c>
      <c r="DL212" s="109" t="s">
        <v>226</v>
      </c>
      <c r="DM212" s="109">
        <v>10.62</v>
      </c>
    </row>
    <row r="213" ht="13.8" spans="1:117">
      <c r="A213" s="109"/>
      <c r="B213" s="109"/>
      <c r="C213" s="109"/>
      <c r="D213" s="109"/>
      <c r="E213" s="109"/>
      <c r="F213" s="110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  <c r="AO213" s="109"/>
      <c r="AP213" s="109"/>
      <c r="AQ213" s="109"/>
      <c r="AR213" s="109"/>
      <c r="AS213" s="109"/>
      <c r="AT213" s="109"/>
      <c r="AU213" s="110"/>
      <c r="AV213" s="109"/>
      <c r="AW213" s="109"/>
      <c r="AX213" s="109"/>
      <c r="AY213" s="109"/>
      <c r="AZ213" s="109"/>
      <c r="BA213" s="109"/>
      <c r="BB213" s="109"/>
      <c r="BC213" s="109"/>
      <c r="BD213" s="109"/>
      <c r="BE213" s="109"/>
      <c r="BF213" s="111"/>
      <c r="BG213" s="109"/>
      <c r="BH213" s="109"/>
      <c r="BI213" s="109"/>
      <c r="BJ213" s="109"/>
      <c r="BK213" s="109"/>
      <c r="BL213" s="109"/>
      <c r="BM213" s="109"/>
      <c r="BN213" s="109"/>
      <c r="BO213" s="109"/>
      <c r="BP213" s="109"/>
      <c r="BQ213" s="109"/>
      <c r="BR213" s="109"/>
      <c r="BS213" s="109"/>
      <c r="BT213" s="109"/>
      <c r="BU213" s="109"/>
      <c r="BV213" s="109"/>
      <c r="BW213" s="109"/>
      <c r="BX213" s="109"/>
      <c r="BY213" s="109"/>
      <c r="BZ213" s="109"/>
      <c r="CA213" s="109"/>
      <c r="CK213" s="109"/>
      <c r="CL213" s="109"/>
      <c r="CM213" s="109"/>
      <c r="CN213" s="109"/>
      <c r="CO213" s="109"/>
      <c r="CP213" s="109"/>
      <c r="CQ213" s="109"/>
      <c r="CR213" s="109"/>
      <c r="CS213" s="109"/>
      <c r="CT213" s="109"/>
      <c r="CU213" s="109"/>
      <c r="CV213" s="109"/>
      <c r="CW213" s="109"/>
      <c r="CX213" s="109"/>
      <c r="CY213" s="109"/>
      <c r="CZ213" s="109"/>
      <c r="DA213" s="109"/>
      <c r="DB213" s="109"/>
      <c r="DC213" s="109"/>
    </row>
    <row r="214" ht="13.8" spans="1:117">
      <c r="A214" s="109"/>
      <c r="B214" s="109"/>
      <c r="C214" s="109"/>
      <c r="D214" s="109"/>
      <c r="E214" s="109"/>
      <c r="F214" s="110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  <c r="AO214" s="109"/>
      <c r="AP214" s="109"/>
      <c r="AQ214" s="109"/>
      <c r="AR214" s="109"/>
      <c r="AS214" s="109"/>
      <c r="AT214" s="109"/>
      <c r="AU214" s="110"/>
      <c r="AV214" s="109"/>
      <c r="AW214" s="109"/>
      <c r="AX214" s="109"/>
      <c r="AY214" s="109"/>
      <c r="AZ214" s="109"/>
      <c r="BA214" s="109"/>
      <c r="BB214" s="109"/>
      <c r="BC214" s="109"/>
      <c r="BD214" s="109"/>
      <c r="BE214" s="109"/>
      <c r="BF214" s="111"/>
      <c r="BG214" s="109"/>
      <c r="BH214" s="109"/>
      <c r="BI214" s="109"/>
      <c r="BJ214" s="109"/>
      <c r="BK214" s="109"/>
      <c r="BL214" s="109"/>
      <c r="BM214" s="109"/>
      <c r="BN214" s="109"/>
      <c r="BO214" s="109"/>
      <c r="BP214" s="109"/>
      <c r="BQ214" s="109"/>
      <c r="BR214" s="109"/>
      <c r="BS214" s="109"/>
      <c r="BT214" s="109"/>
      <c r="BU214" s="109"/>
      <c r="BV214" s="109"/>
      <c r="BW214" s="109"/>
      <c r="BX214" s="109"/>
      <c r="BY214" s="109"/>
      <c r="BZ214" s="109"/>
      <c r="CA214" s="109"/>
      <c r="CK214" s="109"/>
      <c r="CL214" s="109"/>
      <c r="CM214" s="109"/>
      <c r="CN214" s="109"/>
      <c r="CO214" s="109"/>
      <c r="CP214" s="109"/>
      <c r="CQ214" s="109"/>
      <c r="CR214" s="109"/>
      <c r="CS214" s="109"/>
      <c r="CT214" s="109"/>
      <c r="CU214" s="109"/>
      <c r="CV214" s="109"/>
      <c r="CW214" s="109"/>
      <c r="CX214" s="109"/>
      <c r="CY214" s="109"/>
      <c r="CZ214" s="109"/>
      <c r="DA214" s="109"/>
      <c r="DB214" s="109"/>
      <c r="DC214" s="109"/>
    </row>
    <row r="215" ht="13.8" spans="1:117">
      <c r="A215" s="109"/>
      <c r="B215" s="109"/>
      <c r="C215" s="109"/>
      <c r="D215" s="109"/>
      <c r="E215" s="109"/>
      <c r="F215" s="110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  <c r="AO215" s="109"/>
      <c r="AP215" s="109"/>
      <c r="AQ215" s="109"/>
      <c r="AR215" s="109"/>
      <c r="AS215" s="109"/>
      <c r="AT215" s="109"/>
      <c r="AU215" s="110"/>
      <c r="AV215" s="109"/>
      <c r="AW215" s="109"/>
      <c r="AX215" s="109"/>
      <c r="AY215" s="109"/>
      <c r="AZ215" s="109"/>
      <c r="BA215" s="109"/>
      <c r="BB215" s="109"/>
      <c r="BC215" s="109"/>
      <c r="BD215" s="109"/>
      <c r="BE215" s="109"/>
      <c r="BF215" s="111"/>
      <c r="BG215" s="109"/>
      <c r="BH215" s="109"/>
      <c r="BI215" s="109"/>
      <c r="BJ215" s="109"/>
      <c r="BK215" s="109"/>
      <c r="BL215" s="109"/>
      <c r="BM215" s="109"/>
      <c r="BN215" s="109"/>
      <c r="BO215" s="109"/>
      <c r="BP215" s="109"/>
      <c r="BQ215" s="109"/>
      <c r="BR215" s="109"/>
      <c r="BS215" s="109"/>
      <c r="BT215" s="109"/>
      <c r="BU215" s="109"/>
      <c r="BV215" s="109"/>
      <c r="BW215" s="109"/>
      <c r="BX215" s="109"/>
      <c r="BY215" s="109"/>
      <c r="BZ215" s="109"/>
      <c r="CA215" s="109"/>
      <c r="CK215" s="109"/>
      <c r="CL215" s="109"/>
      <c r="CM215" s="109"/>
      <c r="CN215" s="109"/>
      <c r="CO215" s="109"/>
      <c r="CP215" s="109"/>
      <c r="CQ215" s="109"/>
      <c r="CR215" s="109"/>
      <c r="CS215" s="109"/>
      <c r="CT215" s="109"/>
      <c r="CU215" s="109"/>
      <c r="CV215" s="109"/>
      <c r="CW215" s="109"/>
      <c r="CX215" s="109"/>
      <c r="CY215" s="109"/>
      <c r="CZ215" s="109"/>
      <c r="DA215" s="109"/>
      <c r="DB215" s="109"/>
      <c r="DC215" s="109"/>
    </row>
    <row r="216" ht="13.8" spans="1:117">
      <c r="A216" s="109"/>
      <c r="B216" s="109"/>
      <c r="C216" s="109"/>
      <c r="D216" s="109"/>
      <c r="E216" s="109"/>
      <c r="F216" s="110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  <c r="AO216" s="109"/>
      <c r="AP216" s="109"/>
      <c r="AQ216" s="109"/>
      <c r="AR216" s="109"/>
      <c r="AS216" s="109"/>
      <c r="AT216" s="109"/>
      <c r="AU216" s="110"/>
      <c r="AV216" s="109"/>
      <c r="AW216" s="109"/>
      <c r="AX216" s="109"/>
      <c r="AY216" s="109"/>
      <c r="AZ216" s="109"/>
      <c r="BA216" s="109"/>
      <c r="BB216" s="109"/>
      <c r="BC216" s="109"/>
      <c r="BD216" s="109"/>
      <c r="BE216" s="109"/>
      <c r="BF216" s="111"/>
      <c r="BG216" s="109"/>
      <c r="BH216" s="109"/>
      <c r="BI216" s="109"/>
      <c r="BJ216" s="109"/>
      <c r="BK216" s="109"/>
      <c r="BL216" s="109"/>
      <c r="BM216" s="109"/>
      <c r="BN216" s="109"/>
      <c r="BO216" s="109"/>
      <c r="BP216" s="109"/>
      <c r="BQ216" s="109"/>
      <c r="BR216" s="109"/>
      <c r="BS216" s="109"/>
      <c r="BT216" s="109"/>
      <c r="BU216" s="109"/>
      <c r="BV216" s="109"/>
      <c r="BW216" s="109"/>
      <c r="BX216" s="109"/>
      <c r="BY216" s="109"/>
      <c r="BZ216" s="109"/>
      <c r="CA216" s="109"/>
      <c r="CK216" s="109"/>
      <c r="CL216" s="109"/>
      <c r="CM216" s="109"/>
      <c r="CN216" s="109"/>
      <c r="CO216" s="109"/>
      <c r="CP216" s="109"/>
      <c r="CQ216" s="109"/>
      <c r="CR216" s="109"/>
      <c r="CS216" s="109"/>
      <c r="CT216" s="109"/>
      <c r="CU216" s="109"/>
      <c r="CV216" s="109"/>
      <c r="CW216" s="109"/>
      <c r="CX216" s="109"/>
      <c r="CY216" s="109"/>
      <c r="CZ216" s="109"/>
      <c r="DA216" s="109"/>
      <c r="DB216" s="109"/>
      <c r="DC216" s="109"/>
    </row>
    <row r="217" ht="13.8" spans="1:117">
      <c r="A217" s="109"/>
      <c r="B217" s="109"/>
      <c r="C217" s="109"/>
      <c r="D217" s="109"/>
      <c r="E217" s="109"/>
      <c r="F217" s="110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  <c r="AO217" s="109"/>
      <c r="AP217" s="109"/>
      <c r="AQ217" s="109"/>
      <c r="AR217" s="109"/>
      <c r="AS217" s="109"/>
      <c r="AT217" s="109"/>
      <c r="AU217" s="110"/>
      <c r="AV217" s="109"/>
      <c r="AW217" s="109"/>
      <c r="AX217" s="109"/>
      <c r="AY217" s="109"/>
      <c r="AZ217" s="109"/>
      <c r="BA217" s="109"/>
      <c r="BB217" s="109"/>
      <c r="BC217" s="109"/>
      <c r="BD217" s="109"/>
      <c r="BE217" s="109"/>
      <c r="BF217" s="111"/>
      <c r="BG217" s="109"/>
      <c r="BH217" s="109"/>
      <c r="BI217" s="109"/>
      <c r="BJ217" s="109"/>
      <c r="BK217" s="109"/>
      <c r="BL217" s="109"/>
      <c r="BM217" s="109"/>
      <c r="BN217" s="109"/>
      <c r="BO217" s="109"/>
      <c r="BP217" s="109"/>
      <c r="BQ217" s="109"/>
      <c r="BR217" s="109"/>
      <c r="BS217" s="109"/>
      <c r="BT217" s="109"/>
      <c r="BU217" s="109"/>
      <c r="BV217" s="109"/>
      <c r="BW217" s="109"/>
      <c r="BX217" s="109"/>
      <c r="BY217" s="109"/>
      <c r="BZ217" s="109"/>
      <c r="CA217" s="109"/>
      <c r="CK217" s="109"/>
      <c r="CL217" s="109"/>
      <c r="CM217" s="109"/>
      <c r="CN217" s="109"/>
      <c r="CO217" s="109"/>
      <c r="CP217" s="109"/>
      <c r="CQ217" s="109"/>
      <c r="CR217" s="109"/>
      <c r="CS217" s="109"/>
      <c r="CT217" s="109"/>
      <c r="CU217" s="109"/>
      <c r="CV217" s="109"/>
      <c r="CW217" s="109"/>
      <c r="CX217" s="109"/>
      <c r="CY217" s="109"/>
      <c r="CZ217" s="109"/>
      <c r="DA217" s="109"/>
      <c r="DB217" s="109"/>
      <c r="DC217" s="109"/>
    </row>
    <row r="218" ht="13.8" spans="1:117">
      <c r="A218" s="109"/>
      <c r="B218" s="109"/>
      <c r="C218" s="109"/>
      <c r="D218" s="109"/>
      <c r="E218" s="109"/>
      <c r="F218" s="110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  <c r="AO218" s="109"/>
      <c r="AP218" s="109"/>
      <c r="AQ218" s="109"/>
      <c r="AR218" s="109"/>
      <c r="AS218" s="109"/>
      <c r="AT218" s="109"/>
      <c r="AU218" s="110"/>
      <c r="AV218" s="109"/>
      <c r="AW218" s="109"/>
      <c r="AX218" s="109"/>
      <c r="AY218" s="109"/>
      <c r="AZ218" s="109"/>
      <c r="BA218" s="109"/>
      <c r="BB218" s="109"/>
      <c r="BC218" s="109"/>
      <c r="BD218" s="109"/>
      <c r="BE218" s="109"/>
      <c r="BF218" s="111"/>
      <c r="BG218" s="109"/>
      <c r="BH218" s="109"/>
      <c r="BI218" s="109"/>
      <c r="BJ218" s="109"/>
      <c r="BK218" s="109"/>
      <c r="BL218" s="109"/>
      <c r="BM218" s="109"/>
      <c r="BN218" s="109"/>
      <c r="BO218" s="109"/>
      <c r="BP218" s="109"/>
      <c r="BQ218" s="109"/>
      <c r="BR218" s="109"/>
      <c r="BS218" s="109"/>
      <c r="BT218" s="109"/>
      <c r="BU218" s="109"/>
      <c r="BV218" s="109"/>
      <c r="BW218" s="109"/>
      <c r="BX218" s="109"/>
      <c r="BY218" s="109"/>
      <c r="BZ218" s="109"/>
      <c r="CA218" s="109"/>
      <c r="CK218" s="109"/>
      <c r="CL218" s="109"/>
      <c r="CM218" s="109"/>
      <c r="CN218" s="109"/>
      <c r="CO218" s="109"/>
      <c r="CP218" s="109"/>
      <c r="CQ218" s="109"/>
      <c r="CR218" s="109"/>
      <c r="CS218" s="109"/>
      <c r="CT218" s="109"/>
      <c r="CU218" s="109"/>
      <c r="CV218" s="109"/>
      <c r="CW218" s="109"/>
      <c r="CX218" s="109"/>
      <c r="CY218" s="109"/>
      <c r="CZ218" s="109"/>
      <c r="DA218" s="109"/>
      <c r="DB218" s="109"/>
      <c r="DC218" s="109"/>
    </row>
    <row r="219" ht="13.8" spans="1:117">
      <c r="A219" s="109"/>
      <c r="B219" s="109"/>
      <c r="C219" s="109"/>
      <c r="D219" s="109"/>
      <c r="E219" s="109"/>
      <c r="F219" s="110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  <c r="AO219" s="109"/>
      <c r="AP219" s="109"/>
      <c r="AQ219" s="109"/>
      <c r="AR219" s="109"/>
      <c r="AS219" s="109"/>
      <c r="AT219" s="109"/>
      <c r="AU219" s="110"/>
      <c r="AV219" s="109"/>
      <c r="AW219" s="109"/>
      <c r="AX219" s="109"/>
      <c r="AY219" s="109"/>
      <c r="AZ219" s="109"/>
      <c r="BA219" s="109"/>
      <c r="BB219" s="109"/>
      <c r="BC219" s="109"/>
      <c r="BD219" s="109"/>
      <c r="BE219" s="109"/>
      <c r="BF219" s="111"/>
      <c r="BG219" s="109"/>
      <c r="BH219" s="109"/>
      <c r="BI219" s="109"/>
      <c r="BJ219" s="109"/>
      <c r="BK219" s="109"/>
      <c r="BL219" s="109"/>
      <c r="BM219" s="109"/>
      <c r="BN219" s="109"/>
      <c r="BO219" s="109"/>
      <c r="BP219" s="109"/>
      <c r="BQ219" s="109"/>
      <c r="BR219" s="109"/>
      <c r="BS219" s="109"/>
      <c r="BT219" s="109"/>
      <c r="BU219" s="109"/>
      <c r="BV219" s="109"/>
      <c r="BW219" s="109"/>
      <c r="BX219" s="109"/>
      <c r="BY219" s="109"/>
      <c r="BZ219" s="109"/>
      <c r="CA219" s="109"/>
      <c r="CK219" s="109"/>
      <c r="CL219" s="109"/>
      <c r="CM219" s="109"/>
      <c r="CN219" s="109"/>
      <c r="CO219" s="109"/>
      <c r="CP219" s="109"/>
      <c r="CQ219" s="109"/>
      <c r="CR219" s="109"/>
      <c r="CS219" s="109"/>
      <c r="CT219" s="109"/>
      <c r="CU219" s="109"/>
      <c r="CV219" s="109"/>
      <c r="CW219" s="109"/>
      <c r="CX219" s="109"/>
      <c r="CY219" s="109"/>
      <c r="CZ219" s="109"/>
      <c r="DA219" s="109"/>
      <c r="DB219" s="109"/>
      <c r="DC219" s="109"/>
    </row>
    <row r="220" ht="13.8" spans="1:117">
      <c r="A220" s="109"/>
      <c r="B220" s="109"/>
      <c r="C220" s="109"/>
      <c r="D220" s="109"/>
      <c r="E220" s="109"/>
      <c r="F220" s="110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  <c r="AO220" s="109"/>
      <c r="AP220" s="109"/>
      <c r="AQ220" s="109"/>
      <c r="AR220" s="109"/>
      <c r="AS220" s="109"/>
      <c r="AT220" s="109"/>
      <c r="AU220" s="110"/>
      <c r="AV220" s="109"/>
      <c r="AW220" s="109"/>
      <c r="AX220" s="109"/>
      <c r="AY220" s="109"/>
      <c r="AZ220" s="109"/>
      <c r="BA220" s="109"/>
      <c r="BB220" s="109"/>
      <c r="BC220" s="109"/>
      <c r="BD220" s="109"/>
      <c r="BE220" s="109"/>
      <c r="BF220" s="111"/>
      <c r="BG220" s="109"/>
      <c r="BH220" s="109"/>
      <c r="BI220" s="109"/>
      <c r="BJ220" s="109"/>
      <c r="BK220" s="109"/>
      <c r="BL220" s="109"/>
      <c r="BM220" s="109"/>
      <c r="BN220" s="109"/>
      <c r="BO220" s="109"/>
      <c r="BP220" s="109"/>
      <c r="BQ220" s="109"/>
      <c r="BR220" s="109"/>
      <c r="BS220" s="109"/>
      <c r="BT220" s="109"/>
      <c r="BU220" s="109"/>
      <c r="BV220" s="109"/>
      <c r="BW220" s="109"/>
      <c r="BX220" s="109"/>
      <c r="BY220" s="109"/>
      <c r="BZ220" s="109"/>
      <c r="CA220" s="109"/>
      <c r="CK220" s="109"/>
      <c r="CL220" s="109"/>
      <c r="CM220" s="109"/>
      <c r="CN220" s="109"/>
      <c r="CO220" s="109"/>
      <c r="CP220" s="109"/>
      <c r="CQ220" s="109"/>
      <c r="CR220" s="109"/>
      <c r="CS220" s="109"/>
      <c r="CT220" s="109"/>
      <c r="CU220" s="109"/>
      <c r="CV220" s="109"/>
      <c r="CW220" s="109"/>
      <c r="CX220" s="109"/>
      <c r="CY220" s="109"/>
      <c r="CZ220" s="109"/>
      <c r="DA220" s="109"/>
      <c r="DB220" s="109"/>
      <c r="DC220" s="109"/>
    </row>
    <row r="221" ht="13.8" spans="1:117">
      <c r="A221" s="109"/>
      <c r="B221" s="109"/>
      <c r="C221" s="109"/>
      <c r="D221" s="109"/>
      <c r="E221" s="109"/>
      <c r="F221" s="110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  <c r="AO221" s="109"/>
      <c r="AP221" s="109"/>
      <c r="AQ221" s="109"/>
      <c r="AR221" s="109"/>
      <c r="AS221" s="109"/>
      <c r="AT221" s="109"/>
      <c r="AU221" s="110"/>
      <c r="AV221" s="109"/>
      <c r="AW221" s="109"/>
      <c r="AX221" s="109"/>
      <c r="AY221" s="109"/>
      <c r="AZ221" s="109"/>
      <c r="BA221" s="109"/>
      <c r="BB221" s="109"/>
      <c r="BC221" s="109"/>
      <c r="BD221" s="109"/>
      <c r="BE221" s="109"/>
      <c r="BF221" s="111"/>
      <c r="BG221" s="109"/>
      <c r="BH221" s="109"/>
      <c r="BI221" s="109"/>
      <c r="BJ221" s="109"/>
      <c r="BK221" s="109"/>
      <c r="BL221" s="109"/>
      <c r="BM221" s="109"/>
      <c r="BN221" s="109"/>
      <c r="BO221" s="109"/>
      <c r="BP221" s="109"/>
      <c r="BQ221" s="109"/>
      <c r="BR221" s="109"/>
      <c r="BS221" s="109"/>
      <c r="BT221" s="109"/>
      <c r="BU221" s="109"/>
      <c r="BV221" s="109"/>
      <c r="BW221" s="109"/>
      <c r="BX221" s="109"/>
      <c r="BY221" s="109"/>
      <c r="BZ221" s="109"/>
      <c r="CA221" s="109"/>
      <c r="CK221" s="109"/>
      <c r="CL221" s="109"/>
      <c r="CM221" s="109"/>
      <c r="CN221" s="109"/>
      <c r="CO221" s="109"/>
      <c r="CP221" s="109"/>
      <c r="CQ221" s="109"/>
      <c r="CR221" s="109"/>
      <c r="CS221" s="109"/>
      <c r="CT221" s="109"/>
      <c r="CU221" s="109"/>
      <c r="CV221" s="109"/>
      <c r="CW221" s="109"/>
      <c r="CX221" s="109"/>
      <c r="CY221" s="109"/>
      <c r="CZ221" s="109"/>
      <c r="DA221" s="109"/>
      <c r="DB221" s="109"/>
      <c r="DC221" s="109"/>
    </row>
    <row r="222" ht="13.8" spans="1:117">
      <c r="A222" s="109"/>
      <c r="B222" s="109"/>
      <c r="C222" s="109"/>
      <c r="D222" s="109"/>
      <c r="E222" s="109"/>
      <c r="F222" s="110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  <c r="AO222" s="109"/>
      <c r="AP222" s="109"/>
      <c r="AQ222" s="109"/>
      <c r="AR222" s="109"/>
      <c r="AS222" s="109"/>
      <c r="AT222" s="109"/>
      <c r="AU222" s="110"/>
      <c r="AV222" s="109"/>
      <c r="AW222" s="109"/>
      <c r="AX222" s="109"/>
      <c r="AY222" s="109"/>
      <c r="AZ222" s="109"/>
      <c r="BA222" s="109"/>
      <c r="BB222" s="109"/>
      <c r="BC222" s="109"/>
      <c r="BD222" s="109"/>
      <c r="BE222" s="109"/>
      <c r="BF222" s="111"/>
      <c r="BG222" s="109"/>
      <c r="BH222" s="109"/>
      <c r="BI222" s="109"/>
      <c r="BJ222" s="109"/>
      <c r="BK222" s="109"/>
      <c r="BL222" s="109"/>
      <c r="BM222" s="109"/>
      <c r="BN222" s="109"/>
      <c r="BO222" s="109"/>
      <c r="BP222" s="109"/>
      <c r="BQ222" s="109"/>
      <c r="BR222" s="109"/>
      <c r="BS222" s="109"/>
      <c r="BT222" s="109"/>
      <c r="BU222" s="109"/>
      <c r="BV222" s="109"/>
      <c r="BW222" s="109"/>
      <c r="BX222" s="109"/>
      <c r="BY222" s="109"/>
      <c r="BZ222" s="109"/>
      <c r="CA222" s="109"/>
      <c r="CK222" s="109"/>
      <c r="CL222" s="109"/>
      <c r="CM222" s="109"/>
      <c r="CN222" s="109"/>
      <c r="CO222" s="109"/>
      <c r="CP222" s="109"/>
      <c r="CQ222" s="109"/>
      <c r="CR222" s="109"/>
      <c r="CS222" s="109"/>
      <c r="CT222" s="109"/>
      <c r="CU222" s="109"/>
      <c r="CV222" s="109"/>
      <c r="CW222" s="109"/>
      <c r="CX222" s="109"/>
      <c r="CY222" s="109"/>
      <c r="CZ222" s="109"/>
      <c r="DA222" s="109"/>
      <c r="DB222" s="109"/>
      <c r="DC222" s="109"/>
    </row>
  </sheetData>
  <autoFilter xmlns:etc="http://www.wps.cn/officeDocument/2017/etCustomData" ref="A1:DB212" etc:filterBottomFollowUsedRange="0">
    <filterColumn colId="38">
      <filters>
        <filter val="RSO"/>
      </filters>
    </filterColumn>
    <sortState ref="A2:DB212">
      <sortCondition ref="AM1"/>
    </sortState>
    <extLst/>
  </autoFilter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0"/>
  <sheetViews>
    <sheetView showGridLines="0" zoomScale="70" zoomScaleNormal="70" workbookViewId="0">
      <selection activeCell="AS11" sqref="AS11"/>
    </sheetView>
  </sheetViews>
  <sheetFormatPr defaultColWidth="9.66666666666667" defaultRowHeight="14.4"/>
  <cols>
    <col min="1" max="1" width="3.80555555555556" customWidth="1"/>
    <col min="3" max="3" width="9.77777777777778" hidden="1" customWidth="1"/>
    <col min="4" max="4" width="14.6666666666667" hidden="1" customWidth="1"/>
    <col min="6" max="6" width="9.66666666666667" hidden="1" customWidth="1"/>
    <col min="7" max="7" width="14.6666666666667" hidden="1" customWidth="1"/>
    <col min="9" max="9" width="9.77777777777778" hidden="1" customWidth="1"/>
    <col min="10" max="10" width="14.6666666666667" hidden="1" customWidth="1"/>
    <col min="12" max="12" width="9.66666666666667" hidden="1" customWidth="1"/>
    <col min="13" max="13" width="13.5555555555556" hidden="1" customWidth="1"/>
    <col min="15" max="15" width="9.66666666666667" hidden="1" customWidth="1"/>
    <col min="16" max="16" width="14.6666666666667" hidden="1" customWidth="1"/>
    <col min="18" max="21" width="9.66666666666667" hidden="1" customWidth="1"/>
    <col min="22" max="22" width="14.6666666666667" hidden="1" customWidth="1"/>
    <col min="24" max="24" width="9.66666666666667" hidden="1" customWidth="1"/>
    <col min="25" max="25" width="13.5555555555556" hidden="1" customWidth="1"/>
    <col min="27" max="27" width="9.66666666666667" hidden="1" customWidth="1"/>
    <col min="28" max="28" width="14.6666666666667" hidden="1" customWidth="1"/>
    <col min="30" max="30" width="9.66666666666667" hidden="1" customWidth="1"/>
    <col min="31" max="31" width="14.6666666666667" hidden="1" customWidth="1"/>
    <col min="33" max="33" width="9.66666666666667" hidden="1" customWidth="1"/>
    <col min="34" max="34" width="13.5555555555556" hidden="1" customWidth="1"/>
    <col min="35" max="35" width="9.66666666666667" customWidth="1"/>
    <col min="36" max="37" width="9.66666666666667" hidden="1" customWidth="1"/>
    <col min="38" max="38" width="9.66666666666667" customWidth="1"/>
    <col min="39" max="39" width="9.66666666666667" hidden="1" customWidth="1"/>
    <col min="40" max="40" width="14.6666666666667" hidden="1" customWidth="1"/>
    <col min="41" max="41" width="9.66666666666667" hidden="1" customWidth="1"/>
    <col min="42" max="42" width="9.66666666666667" customWidth="1"/>
  </cols>
  <sheetData>
    <row r="1" customFormat="1" spans="1:48">
      <c r="F1" s="68" t="s">
        <v>1483</v>
      </c>
      <c r="G1" s="68"/>
      <c r="H1" s="68"/>
      <c r="I1" s="68"/>
      <c r="J1" s="68"/>
      <c r="K1" s="68"/>
      <c r="L1" s="68"/>
      <c r="M1" s="68"/>
      <c r="N1" s="68"/>
      <c r="O1" s="68"/>
    </row>
    <row r="2" customFormat="1" spans="1:48">
      <c r="F2" s="68"/>
      <c r="G2" s="68"/>
      <c r="H2" s="68"/>
      <c r="I2" s="68"/>
      <c r="J2" s="68"/>
      <c r="K2" s="68"/>
      <c r="L2" s="68"/>
      <c r="M2" s="68"/>
      <c r="N2" s="68"/>
      <c r="O2" s="68"/>
      <c r="AQ2" s="69" t="s">
        <v>1484</v>
      </c>
      <c r="AR2" s="70"/>
      <c r="AS2" s="71"/>
      <c r="AT2" s="71"/>
      <c r="AU2" s="71"/>
      <c r="AV2" s="71"/>
    </row>
    <row r="3" customFormat="1" ht="23.4" spans="1:48">
      <c r="C3" s="72" t="s">
        <v>298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 t="s">
        <v>205</v>
      </c>
      <c r="P3" s="73"/>
      <c r="Q3" s="73"/>
      <c r="R3" s="73"/>
      <c r="S3" s="73"/>
      <c r="T3" s="73"/>
      <c r="U3" s="73"/>
      <c r="V3" s="73"/>
      <c r="W3" s="73"/>
      <c r="X3" s="72" t="s">
        <v>250</v>
      </c>
      <c r="Y3" s="72"/>
      <c r="Z3" s="72"/>
      <c r="AA3" s="72"/>
      <c r="AB3" s="72"/>
      <c r="AC3" s="72"/>
      <c r="AD3" s="73" t="s">
        <v>1485</v>
      </c>
      <c r="AE3" s="73"/>
      <c r="AF3" s="73"/>
      <c r="AG3" s="72" t="s">
        <v>226</v>
      </c>
      <c r="AH3" s="72"/>
      <c r="AI3" s="72"/>
      <c r="AJ3" s="72"/>
      <c r="AK3" s="72"/>
      <c r="AL3" s="72"/>
      <c r="AM3" s="73" t="s">
        <v>1486</v>
      </c>
      <c r="AN3" s="73"/>
      <c r="AO3" s="73"/>
      <c r="AQ3" s="74" t="s">
        <v>1487</v>
      </c>
      <c r="AR3" s="74" t="s">
        <v>298</v>
      </c>
      <c r="AS3" s="74" t="s">
        <v>205</v>
      </c>
      <c r="AT3" s="74" t="s">
        <v>1485</v>
      </c>
      <c r="AU3" s="74" t="s">
        <v>250</v>
      </c>
      <c r="AV3" s="74" t="s">
        <v>226</v>
      </c>
    </row>
    <row r="4" customFormat="1" ht="15.6" spans="1:48">
      <c r="B4" s="75" t="s">
        <v>1488</v>
      </c>
      <c r="C4" s="76" t="s">
        <v>1489</v>
      </c>
      <c r="D4" s="76"/>
      <c r="E4" s="76"/>
      <c r="F4" s="77" t="s">
        <v>1490</v>
      </c>
      <c r="G4" s="78"/>
      <c r="H4" s="79"/>
      <c r="I4" s="76" t="s">
        <v>1491</v>
      </c>
      <c r="J4" s="76"/>
      <c r="K4" s="76"/>
      <c r="L4" s="77" t="s">
        <v>1492</v>
      </c>
      <c r="M4" s="78"/>
      <c r="N4" s="79"/>
      <c r="O4" s="76" t="s">
        <v>1493</v>
      </c>
      <c r="P4" s="76"/>
      <c r="Q4" s="76"/>
      <c r="R4" s="80" t="s">
        <v>1494</v>
      </c>
      <c r="S4" s="80"/>
      <c r="T4" s="80"/>
      <c r="U4" s="76" t="s">
        <v>1495</v>
      </c>
      <c r="V4" s="76"/>
      <c r="W4" s="76"/>
      <c r="X4" s="80" t="s">
        <v>1496</v>
      </c>
      <c r="Y4" s="80"/>
      <c r="Z4" s="80"/>
      <c r="AA4" s="76" t="s">
        <v>1497</v>
      </c>
      <c r="AB4" s="76"/>
      <c r="AC4" s="76"/>
      <c r="AD4" s="80" t="s">
        <v>1498</v>
      </c>
      <c r="AE4" s="80"/>
      <c r="AF4" s="80"/>
      <c r="AG4" s="76" t="s">
        <v>1499</v>
      </c>
      <c r="AH4" s="76"/>
      <c r="AI4" s="76"/>
      <c r="AJ4" s="81" t="s">
        <v>1500</v>
      </c>
      <c r="AK4" s="81"/>
      <c r="AL4" s="81"/>
      <c r="AM4" s="80" t="s">
        <v>1501</v>
      </c>
      <c r="AN4" s="80"/>
      <c r="AO4" s="80"/>
      <c r="AQ4" s="82" t="s">
        <v>1502</v>
      </c>
      <c r="AR4" s="83">
        <v>0.17</v>
      </c>
      <c r="AS4" s="83">
        <v>0.11</v>
      </c>
      <c r="AT4" s="83">
        <v>0.055</v>
      </c>
      <c r="AU4" s="83">
        <v>0.2</v>
      </c>
      <c r="AV4" s="83">
        <v>0.09</v>
      </c>
    </row>
    <row r="5" spans="1:48">
      <c r="A5" s="84"/>
      <c r="B5" s="85" t="s">
        <v>1487</v>
      </c>
      <c r="C5" s="86" t="s">
        <v>1503</v>
      </c>
      <c r="D5" s="86" t="s">
        <v>1504</v>
      </c>
      <c r="E5" s="86" t="s">
        <v>1505</v>
      </c>
      <c r="F5" s="87" t="s">
        <v>1503</v>
      </c>
      <c r="G5" s="87" t="s">
        <v>1504</v>
      </c>
      <c r="H5" s="87" t="s">
        <v>1505</v>
      </c>
      <c r="I5" s="86" t="s">
        <v>1503</v>
      </c>
      <c r="J5" s="86" t="s">
        <v>1504</v>
      </c>
      <c r="K5" s="86" t="s">
        <v>1505</v>
      </c>
      <c r="L5" s="87" t="s">
        <v>1503</v>
      </c>
      <c r="M5" s="87" t="s">
        <v>1504</v>
      </c>
      <c r="N5" s="87" t="s">
        <v>1505</v>
      </c>
      <c r="O5" s="86" t="s">
        <v>1503</v>
      </c>
      <c r="P5" s="86" t="s">
        <v>1504</v>
      </c>
      <c r="Q5" s="86" t="s">
        <v>1505</v>
      </c>
      <c r="R5" s="87" t="s">
        <v>1503</v>
      </c>
      <c r="S5" s="87" t="s">
        <v>1504</v>
      </c>
      <c r="T5" s="87" t="s">
        <v>1505</v>
      </c>
      <c r="U5" s="86" t="s">
        <v>1503</v>
      </c>
      <c r="V5" s="86" t="s">
        <v>1504</v>
      </c>
      <c r="W5" s="86" t="s">
        <v>1505</v>
      </c>
      <c r="X5" s="87" t="s">
        <v>1503</v>
      </c>
      <c r="Y5" s="87" t="s">
        <v>1504</v>
      </c>
      <c r="Z5" s="87" t="s">
        <v>1505</v>
      </c>
      <c r="AA5" s="86" t="s">
        <v>1503</v>
      </c>
      <c r="AB5" s="86" t="s">
        <v>1504</v>
      </c>
      <c r="AC5" s="86" t="s">
        <v>1505</v>
      </c>
      <c r="AD5" s="87" t="s">
        <v>1503</v>
      </c>
      <c r="AE5" s="87" t="s">
        <v>1504</v>
      </c>
      <c r="AF5" s="87" t="s">
        <v>1505</v>
      </c>
      <c r="AG5" s="86" t="s">
        <v>1503</v>
      </c>
      <c r="AH5" s="86" t="s">
        <v>1504</v>
      </c>
      <c r="AI5" s="86" t="s">
        <v>1505</v>
      </c>
      <c r="AJ5" s="88" t="s">
        <v>1503</v>
      </c>
      <c r="AK5" s="88" t="s">
        <v>1504</v>
      </c>
      <c r="AL5" s="88" t="s">
        <v>1505</v>
      </c>
      <c r="AM5" s="87" t="s">
        <v>1503</v>
      </c>
      <c r="AN5" s="87" t="s">
        <v>1504</v>
      </c>
      <c r="AO5" s="87" t="s">
        <v>1505</v>
      </c>
      <c r="AP5" s="84"/>
      <c r="AQ5" s="82" t="s">
        <v>1506</v>
      </c>
      <c r="AR5" s="83">
        <v>0.16</v>
      </c>
      <c r="AS5" s="83">
        <v>0.14</v>
      </c>
      <c r="AT5" s="83">
        <v>0.055</v>
      </c>
      <c r="AU5" s="83">
        <v>0.23</v>
      </c>
      <c r="AV5" s="83">
        <v>0.08</v>
      </c>
    </row>
    <row r="6" customFormat="1" spans="1:48">
      <c r="B6" s="89" t="s">
        <v>1502</v>
      </c>
      <c r="C6" s="90">
        <v>943041.57</v>
      </c>
      <c r="D6" s="91">
        <v>165597.64</v>
      </c>
      <c r="E6" s="92">
        <f t="shared" ref="E6:E18" si="0">IF(C6="","",D6/C6)</f>
        <v>0.175599512543228</v>
      </c>
      <c r="F6" s="90">
        <v>260795.93</v>
      </c>
      <c r="G6" s="91">
        <v>49443.62</v>
      </c>
      <c r="H6" s="92">
        <f t="shared" ref="H6:H18" si="1">IF(F6="","",G6/F6)</f>
        <v>0.189587391183597</v>
      </c>
      <c r="I6" s="90">
        <v>904113.01</v>
      </c>
      <c r="J6" s="91">
        <v>152229.76</v>
      </c>
      <c r="K6" s="92">
        <f t="shared" ref="K6:K18" si="2">IF(I6="","",J6/I6)</f>
        <v>0.168374703511898</v>
      </c>
      <c r="L6" s="90">
        <v>121714.08</v>
      </c>
      <c r="M6" s="91">
        <v>32829.5</v>
      </c>
      <c r="N6" s="92">
        <f t="shared" ref="N6:N18" si="3">IF(L6="","",M6/L6)</f>
        <v>0.269726394842733</v>
      </c>
      <c r="O6" s="90">
        <v>256231.97</v>
      </c>
      <c r="P6" s="91">
        <v>61074.06</v>
      </c>
      <c r="Q6" s="92">
        <v>0.2</v>
      </c>
      <c r="R6" s="90"/>
      <c r="S6" s="91"/>
      <c r="T6" s="92" t="str">
        <f>IF(R6="","",S6/R6)</f>
        <v/>
      </c>
      <c r="U6" s="90">
        <v>315160.69</v>
      </c>
      <c r="V6" s="91">
        <v>55389.65</v>
      </c>
      <c r="W6" s="92">
        <v>0.2</v>
      </c>
      <c r="X6" s="90">
        <v>90195.27</v>
      </c>
      <c r="Y6" s="91">
        <v>28889.88</v>
      </c>
      <c r="Z6" s="92">
        <f t="shared" ref="Z6:Z18" si="4">IF(X6="","",Y6/X6)</f>
        <v>0.320303714374379</v>
      </c>
      <c r="AA6" s="90">
        <v>269194.81</v>
      </c>
      <c r="AB6" s="91">
        <v>67310.36</v>
      </c>
      <c r="AC6" s="92">
        <f t="shared" ref="AC6:AC18" si="5">IF(AA6="","",AB6/AA6)</f>
        <v>0.250043305069663</v>
      </c>
      <c r="AD6" s="90">
        <v>239413.79</v>
      </c>
      <c r="AE6" s="91">
        <v>60648.36</v>
      </c>
      <c r="AF6" s="92">
        <f t="shared" ref="AF6:AF18" si="6">IF(AD6="","",AE6/AD6)</f>
        <v>0.253320245254043</v>
      </c>
      <c r="AG6" s="90">
        <v>323868</v>
      </c>
      <c r="AH6" s="91">
        <v>48990.32</v>
      </c>
      <c r="AI6" s="92">
        <f t="shared" ref="AI6:AI18" si="7">IF(AG6="","",AH6/AG6)</f>
        <v>0.151266318376623</v>
      </c>
      <c r="AJ6" s="90">
        <v>0</v>
      </c>
      <c r="AK6" s="91">
        <v>0</v>
      </c>
      <c r="AL6" s="92" t="e">
        <f>IF(AJ6="","",AK6/AJ6)</f>
        <v>#DIV/0!</v>
      </c>
      <c r="AM6" s="90">
        <v>351216</v>
      </c>
      <c r="AN6" s="91">
        <v>100603</v>
      </c>
      <c r="AO6" s="92">
        <f>IF(AM6="","",AN6/AM6)</f>
        <v>0.286441961641839</v>
      </c>
      <c r="AQ6" s="82" t="s">
        <v>1507</v>
      </c>
      <c r="AR6" s="83">
        <v>0.19</v>
      </c>
      <c r="AS6" s="83">
        <v>0.13</v>
      </c>
      <c r="AT6" s="83">
        <v>0.06</v>
      </c>
      <c r="AU6" s="83">
        <v>0.23</v>
      </c>
      <c r="AV6" s="83">
        <v>0.09</v>
      </c>
    </row>
    <row r="7" customFormat="1" spans="1:48">
      <c r="B7" s="89" t="s">
        <v>1506</v>
      </c>
      <c r="C7" s="90">
        <v>958064.79</v>
      </c>
      <c r="D7" s="91">
        <v>185546.49</v>
      </c>
      <c r="E7" s="92">
        <f t="shared" si="0"/>
        <v>0.193667998173693</v>
      </c>
      <c r="F7" s="90">
        <v>401190.58</v>
      </c>
      <c r="G7" s="91">
        <v>71129.59</v>
      </c>
      <c r="H7" s="92">
        <f t="shared" si="1"/>
        <v>0.177296261542332</v>
      </c>
      <c r="I7" s="90">
        <v>973715.19</v>
      </c>
      <c r="J7" s="91">
        <v>153837.17</v>
      </c>
      <c r="K7" s="92">
        <f t="shared" si="2"/>
        <v>0.157989904624986</v>
      </c>
      <c r="L7" s="90">
        <v>97902.15</v>
      </c>
      <c r="M7" s="91">
        <v>28065.2</v>
      </c>
      <c r="N7" s="92">
        <f t="shared" si="3"/>
        <v>0.286665818881404</v>
      </c>
      <c r="O7" s="90">
        <v>223433</v>
      </c>
      <c r="P7" s="91">
        <v>41479.91</v>
      </c>
      <c r="Q7" s="92">
        <v>0.18</v>
      </c>
      <c r="R7" s="90"/>
      <c r="S7" s="91"/>
      <c r="T7" s="92" t="str">
        <f>IF(R7="","",S7/R7)</f>
        <v/>
      </c>
      <c r="U7" s="90">
        <v>262321</v>
      </c>
      <c r="V7" s="91">
        <v>48135.61</v>
      </c>
      <c r="W7" s="92">
        <f>IF(U7="","",V7/U7)</f>
        <v>0.183498881141807</v>
      </c>
      <c r="X7" s="90">
        <v>74697.19</v>
      </c>
      <c r="Y7" s="91">
        <v>25496.58</v>
      </c>
      <c r="Z7" s="92">
        <f t="shared" si="4"/>
        <v>0.341332518666365</v>
      </c>
      <c r="AA7" s="90">
        <v>281103.51</v>
      </c>
      <c r="AB7" s="91">
        <v>63667.34</v>
      </c>
      <c r="AC7" s="92">
        <f t="shared" si="5"/>
        <v>0.226490732897643</v>
      </c>
      <c r="AD7" s="90">
        <v>240728.88</v>
      </c>
      <c r="AE7" s="91">
        <v>59760.59</v>
      </c>
      <c r="AF7" s="92">
        <f t="shared" si="6"/>
        <v>0.248248527555148</v>
      </c>
      <c r="AG7" s="90">
        <v>384684</v>
      </c>
      <c r="AH7" s="91">
        <v>50080.64</v>
      </c>
      <c r="AI7" s="92">
        <f t="shared" si="7"/>
        <v>0.130186438739329</v>
      </c>
      <c r="AJ7" s="90">
        <v>0</v>
      </c>
      <c r="AK7" s="91">
        <v>0</v>
      </c>
      <c r="AL7" s="92" t="e">
        <f>IF(AJ7="","",AK7/AJ7)</f>
        <v>#DIV/0!</v>
      </c>
      <c r="AM7" s="90">
        <v>268179</v>
      </c>
      <c r="AN7" s="91">
        <v>87200</v>
      </c>
      <c r="AO7" s="92">
        <f>IF(AM7="","",AN7/AM7)</f>
        <v>0.325155959266013</v>
      </c>
      <c r="AQ7" s="82" t="s">
        <v>1508</v>
      </c>
      <c r="AR7" s="83">
        <v>0.15</v>
      </c>
      <c r="AS7" s="83">
        <v>0.13</v>
      </c>
      <c r="AT7" s="83">
        <v>0.06</v>
      </c>
      <c r="AU7" s="83">
        <v>0.26</v>
      </c>
      <c r="AV7" s="83">
        <v>0</v>
      </c>
    </row>
    <row r="8" customFormat="1" spans="1:48">
      <c r="B8" s="89" t="s">
        <v>1507</v>
      </c>
      <c r="C8" s="90"/>
      <c r="D8" s="91"/>
      <c r="E8" s="92">
        <v>0.17</v>
      </c>
      <c r="F8" s="90"/>
      <c r="G8" s="91"/>
      <c r="H8" s="92">
        <v>0.19</v>
      </c>
      <c r="I8" s="90"/>
      <c r="J8" s="91"/>
      <c r="K8" s="92">
        <v>0.18</v>
      </c>
      <c r="L8" s="90"/>
      <c r="M8" s="91"/>
      <c r="N8" s="92">
        <v>0.3</v>
      </c>
      <c r="O8" s="90"/>
      <c r="P8" s="91"/>
      <c r="Q8" s="92">
        <v>0.17</v>
      </c>
      <c r="R8" s="90"/>
      <c r="S8" s="91"/>
      <c r="T8" s="92"/>
      <c r="U8" s="90"/>
      <c r="V8" s="91"/>
      <c r="W8" s="92">
        <v>0.18</v>
      </c>
      <c r="X8" s="90"/>
      <c r="Y8" s="91"/>
      <c r="Z8" s="92">
        <v>0.29</v>
      </c>
      <c r="AA8" s="90"/>
      <c r="AB8" s="91"/>
      <c r="AC8" s="92">
        <v>0.22</v>
      </c>
      <c r="AD8" s="90"/>
      <c r="AE8" s="91"/>
      <c r="AF8" s="92">
        <v>0.24</v>
      </c>
      <c r="AG8" s="90"/>
      <c r="AH8" s="91"/>
      <c r="AI8" s="92">
        <v>0</v>
      </c>
      <c r="AJ8" s="90"/>
      <c r="AK8" s="91"/>
      <c r="AL8" s="92">
        <v>0</v>
      </c>
      <c r="AM8" s="90"/>
      <c r="AN8" s="91"/>
      <c r="AO8" s="92"/>
      <c r="AQ8" s="82" t="s">
        <v>1509</v>
      </c>
      <c r="AR8" s="83">
        <v>0.2</v>
      </c>
      <c r="AS8" s="83">
        <v>0.12</v>
      </c>
      <c r="AT8" s="83">
        <v>0.05</v>
      </c>
      <c r="AU8" s="83">
        <v>0.25</v>
      </c>
      <c r="AV8" s="83">
        <v>0.11</v>
      </c>
    </row>
    <row r="9" customFormat="1" spans="1:48">
      <c r="B9" s="89" t="s">
        <v>1508</v>
      </c>
      <c r="C9" s="90"/>
      <c r="D9" s="91"/>
      <c r="E9" s="92">
        <v>0.19</v>
      </c>
      <c r="F9" s="90"/>
      <c r="G9" s="91"/>
      <c r="H9" s="92">
        <v>0.2</v>
      </c>
      <c r="I9" s="90"/>
      <c r="J9" s="91"/>
      <c r="K9" s="92">
        <v>0.18</v>
      </c>
      <c r="L9" s="90"/>
      <c r="M9" s="91"/>
      <c r="N9" s="92">
        <v>0.24</v>
      </c>
      <c r="O9" s="90"/>
      <c r="P9" s="91"/>
      <c r="Q9" s="92">
        <v>0.21</v>
      </c>
      <c r="R9" s="90"/>
      <c r="S9" s="91"/>
      <c r="T9" s="92"/>
      <c r="U9" s="90"/>
      <c r="V9" s="91"/>
      <c r="W9" s="92">
        <v>0.2</v>
      </c>
      <c r="X9" s="90"/>
      <c r="Y9" s="91"/>
      <c r="Z9" s="92">
        <v>0.29</v>
      </c>
      <c r="AA9" s="90"/>
      <c r="AB9" s="91"/>
      <c r="AC9" s="92">
        <v>0.23</v>
      </c>
      <c r="AD9" s="90"/>
      <c r="AE9" s="91"/>
      <c r="AF9" s="92">
        <v>0.25</v>
      </c>
      <c r="AG9" s="90"/>
      <c r="AH9" s="91"/>
      <c r="AI9" s="92">
        <v>0</v>
      </c>
      <c r="AJ9" s="90"/>
      <c r="AK9" s="91"/>
      <c r="AL9" s="92">
        <v>0</v>
      </c>
      <c r="AM9" s="90"/>
      <c r="AN9" s="91"/>
      <c r="AO9" s="92"/>
      <c r="AQ9" s="82" t="s">
        <v>1510</v>
      </c>
      <c r="AR9" s="83">
        <v>0</v>
      </c>
      <c r="AS9" s="83">
        <v>0.14</v>
      </c>
      <c r="AT9" s="83">
        <v>0.055</v>
      </c>
      <c r="AU9" s="83">
        <v>0.28</v>
      </c>
      <c r="AV9" s="83">
        <v>0.09</v>
      </c>
    </row>
    <row r="10" customFormat="1" spans="1:48">
      <c r="B10" s="89" t="s">
        <v>1509</v>
      </c>
      <c r="C10" s="90"/>
      <c r="D10" s="91"/>
      <c r="E10" s="92">
        <v>0.18</v>
      </c>
      <c r="F10" s="90"/>
      <c r="G10" s="91"/>
      <c r="H10" s="92">
        <v>0.18</v>
      </c>
      <c r="I10" s="90"/>
      <c r="J10" s="91"/>
      <c r="K10" s="92">
        <v>0.18</v>
      </c>
      <c r="L10" s="90"/>
      <c r="M10" s="91"/>
      <c r="N10" s="92">
        <v>0.28</v>
      </c>
      <c r="O10" s="90"/>
      <c r="P10" s="91"/>
      <c r="Q10" s="92">
        <v>0.18</v>
      </c>
      <c r="R10" s="90"/>
      <c r="S10" s="91"/>
      <c r="T10" s="92"/>
      <c r="U10" s="90"/>
      <c r="V10" s="91"/>
      <c r="W10" s="92">
        <v>0.19</v>
      </c>
      <c r="X10" s="90"/>
      <c r="Y10" s="91"/>
      <c r="Z10" s="92">
        <v>0.28</v>
      </c>
      <c r="AA10" s="90"/>
      <c r="AB10" s="91"/>
      <c r="AC10" s="92">
        <v>0.19</v>
      </c>
      <c r="AD10" s="90"/>
      <c r="AE10" s="91"/>
      <c r="AF10" s="92">
        <v>0.23</v>
      </c>
      <c r="AG10" s="90"/>
      <c r="AH10" s="91"/>
      <c r="AI10" s="92">
        <v>0</v>
      </c>
      <c r="AJ10" s="90"/>
      <c r="AK10" s="91"/>
      <c r="AL10" s="92">
        <v>0</v>
      </c>
      <c r="AM10" s="90"/>
      <c r="AN10" s="91"/>
      <c r="AO10" s="92"/>
      <c r="AQ10" s="82" t="s">
        <v>1511</v>
      </c>
      <c r="AR10" s="83">
        <v>0.19</v>
      </c>
      <c r="AS10" s="83">
        <v>0.15</v>
      </c>
      <c r="AT10" s="83">
        <v>0.06</v>
      </c>
      <c r="AU10" s="83">
        <v>0.22</v>
      </c>
      <c r="AV10" s="83">
        <v>0.09</v>
      </c>
    </row>
    <row r="11" customFormat="1" spans="1:48">
      <c r="B11" s="89" t="s">
        <v>1510</v>
      </c>
      <c r="C11" s="90"/>
      <c r="D11" s="91"/>
      <c r="E11" s="92">
        <v>0.18</v>
      </c>
      <c r="F11" s="90"/>
      <c r="G11" s="91"/>
      <c r="H11" s="92">
        <v>0.19</v>
      </c>
      <c r="I11" s="90"/>
      <c r="J11" s="91"/>
      <c r="K11" s="92">
        <v>0.18</v>
      </c>
      <c r="L11" s="90"/>
      <c r="M11" s="91"/>
      <c r="N11" s="92">
        <v>0.31</v>
      </c>
      <c r="O11" s="90"/>
      <c r="P11" s="91"/>
      <c r="Q11" s="92">
        <v>0.25</v>
      </c>
      <c r="R11" s="90"/>
      <c r="S11" s="91"/>
      <c r="T11" s="92"/>
      <c r="U11" s="90"/>
      <c r="V11" s="91"/>
      <c r="W11" s="92">
        <v>0.22</v>
      </c>
      <c r="X11" s="90"/>
      <c r="Y11" s="91"/>
      <c r="Z11" s="92">
        <v>0.21</v>
      </c>
      <c r="AA11" s="90"/>
      <c r="AB11" s="91"/>
      <c r="AC11" s="92">
        <v>0.18</v>
      </c>
      <c r="AD11" s="90"/>
      <c r="AE11" s="91"/>
      <c r="AF11" s="92">
        <v>0.25</v>
      </c>
      <c r="AG11" s="90"/>
      <c r="AH11" s="91"/>
      <c r="AI11" s="92">
        <v>0.17</v>
      </c>
      <c r="AJ11" s="90"/>
      <c r="AK11" s="91"/>
      <c r="AL11" s="92">
        <v>0</v>
      </c>
      <c r="AM11" s="90"/>
      <c r="AN11" s="91"/>
      <c r="AO11" s="92"/>
      <c r="AQ11" s="82" t="s">
        <v>1512</v>
      </c>
      <c r="AR11" s="93"/>
      <c r="AS11" s="93"/>
      <c r="AT11" s="93"/>
      <c r="AU11" s="93"/>
      <c r="AV11" s="93"/>
    </row>
    <row r="12" customFormat="1" spans="1:48">
      <c r="B12" s="89" t="s">
        <v>1511</v>
      </c>
      <c r="C12" s="90"/>
      <c r="D12" s="91"/>
      <c r="E12" s="92">
        <v>0.18</v>
      </c>
      <c r="F12" s="90"/>
      <c r="G12" s="91"/>
      <c r="H12" s="92">
        <v>0.18</v>
      </c>
      <c r="I12" s="90"/>
      <c r="J12" s="91"/>
      <c r="K12" s="92">
        <v>0.18</v>
      </c>
      <c r="L12" s="90"/>
      <c r="M12" s="91"/>
      <c r="N12" s="92">
        <v>0.34</v>
      </c>
      <c r="O12" s="90"/>
      <c r="P12" s="91"/>
      <c r="Q12" s="92">
        <v>0.22</v>
      </c>
      <c r="R12" s="90"/>
      <c r="S12" s="91"/>
      <c r="T12" s="92"/>
      <c r="U12" s="90"/>
      <c r="V12" s="91"/>
      <c r="W12" s="92">
        <v>0.21</v>
      </c>
      <c r="X12" s="90"/>
      <c r="Y12" s="91"/>
      <c r="Z12" s="92">
        <v>0.28</v>
      </c>
      <c r="AA12" s="90"/>
      <c r="AB12" s="91"/>
      <c r="AC12" s="92">
        <v>0.19</v>
      </c>
      <c r="AD12" s="90"/>
      <c r="AE12" s="91"/>
      <c r="AF12" s="92">
        <v>0.22</v>
      </c>
      <c r="AG12" s="90"/>
      <c r="AH12" s="91"/>
      <c r="AI12" s="92">
        <v>0.2</v>
      </c>
      <c r="AJ12" s="90"/>
      <c r="AK12" s="91"/>
      <c r="AL12" s="92">
        <v>0</v>
      </c>
      <c r="AM12" s="90"/>
      <c r="AN12" s="91"/>
      <c r="AO12" s="92"/>
      <c r="AQ12" s="82" t="s">
        <v>1485</v>
      </c>
      <c r="AR12" s="93"/>
      <c r="AS12" s="93"/>
      <c r="AT12" s="93"/>
      <c r="AU12" s="93"/>
      <c r="AV12" s="93"/>
    </row>
    <row r="13" customFormat="1" spans="1:48">
      <c r="B13" s="89" t="s">
        <v>1512</v>
      </c>
      <c r="C13" s="90"/>
      <c r="D13" s="91"/>
      <c r="E13" s="92" t="str">
        <f t="shared" si="0"/>
        <v/>
      </c>
      <c r="F13" s="90"/>
      <c r="G13" s="91"/>
      <c r="H13" s="92" t="str">
        <f t="shared" si="1"/>
        <v/>
      </c>
      <c r="I13" s="90"/>
      <c r="J13" s="91"/>
      <c r="K13" s="92" t="str">
        <f t="shared" si="2"/>
        <v/>
      </c>
      <c r="L13" s="90"/>
      <c r="M13" s="91"/>
      <c r="N13" s="92" t="str">
        <f t="shared" si="3"/>
        <v/>
      </c>
      <c r="O13" s="90"/>
      <c r="P13" s="91"/>
      <c r="Q13" s="92" t="str">
        <f t="shared" ref="Q11:Q18" si="8">IF(O13="","",P13/O13)</f>
        <v/>
      </c>
      <c r="R13" s="90"/>
      <c r="S13" s="91"/>
      <c r="T13" s="92" t="str">
        <f t="shared" ref="T13:T18" si="9">IF(R13="","",S13/R13)</f>
        <v/>
      </c>
      <c r="U13" s="90"/>
      <c r="V13" s="91"/>
      <c r="W13" s="92"/>
      <c r="X13" s="90"/>
      <c r="Y13" s="91"/>
      <c r="Z13" s="92" t="str">
        <f t="shared" si="4"/>
        <v/>
      </c>
      <c r="AA13" s="90"/>
      <c r="AB13" s="91"/>
      <c r="AC13" s="92" t="str">
        <f t="shared" si="5"/>
        <v/>
      </c>
      <c r="AD13" s="90"/>
      <c r="AE13" s="91"/>
      <c r="AF13" s="92" t="str">
        <f t="shared" si="6"/>
        <v/>
      </c>
      <c r="AG13" s="90"/>
      <c r="AH13" s="91"/>
      <c r="AI13" s="92" t="str">
        <f t="shared" si="7"/>
        <v/>
      </c>
      <c r="AJ13" s="90"/>
      <c r="AK13" s="91"/>
      <c r="AL13" s="92">
        <v>0</v>
      </c>
      <c r="AM13" s="90"/>
      <c r="AN13" s="91"/>
      <c r="AO13" s="92" t="str">
        <f t="shared" ref="AO13:AO18" si="10">IF(AM13="","",AN13/AM13)</f>
        <v/>
      </c>
      <c r="AQ13" s="82" t="s">
        <v>1513</v>
      </c>
      <c r="AR13" s="93"/>
      <c r="AS13" s="93"/>
      <c r="AT13" s="93"/>
      <c r="AU13" s="93"/>
      <c r="AV13" s="93"/>
    </row>
    <row r="14" customFormat="1" spans="1:48">
      <c r="B14" s="89" t="s">
        <v>1485</v>
      </c>
      <c r="C14" s="90"/>
      <c r="D14" s="91"/>
      <c r="E14" s="92" t="str">
        <f t="shared" si="0"/>
        <v/>
      </c>
      <c r="F14" s="90"/>
      <c r="G14" s="91"/>
      <c r="H14" s="92" t="str">
        <f t="shared" si="1"/>
        <v/>
      </c>
      <c r="I14" s="90"/>
      <c r="J14" s="91"/>
      <c r="K14" s="92" t="str">
        <f t="shared" si="2"/>
        <v/>
      </c>
      <c r="L14" s="90"/>
      <c r="M14" s="91"/>
      <c r="N14" s="92" t="str">
        <f t="shared" si="3"/>
        <v/>
      </c>
      <c r="O14" s="90"/>
      <c r="P14" s="91"/>
      <c r="Q14" s="92" t="str">
        <f t="shared" si="8"/>
        <v/>
      </c>
      <c r="R14" s="90"/>
      <c r="S14" s="91"/>
      <c r="T14" s="92" t="str">
        <f t="shared" si="9"/>
        <v/>
      </c>
      <c r="U14" s="90"/>
      <c r="V14" s="91"/>
      <c r="W14" s="92"/>
      <c r="X14" s="90"/>
      <c r="Y14" s="91"/>
      <c r="Z14" s="92" t="str">
        <f t="shared" si="4"/>
        <v/>
      </c>
      <c r="AA14" s="90"/>
      <c r="AB14" s="91"/>
      <c r="AC14" s="92" t="str">
        <f t="shared" si="5"/>
        <v/>
      </c>
      <c r="AD14" s="90"/>
      <c r="AE14" s="91"/>
      <c r="AF14" s="92" t="str">
        <f t="shared" si="6"/>
        <v/>
      </c>
      <c r="AG14" s="90"/>
      <c r="AH14" s="91"/>
      <c r="AI14" s="92" t="str">
        <f t="shared" si="7"/>
        <v/>
      </c>
      <c r="AJ14" s="90"/>
      <c r="AK14" s="91"/>
      <c r="AL14" s="92" t="str">
        <f t="shared" ref="AL14:AL18" si="11">IF(AJ14="","",AK14/AJ14)</f>
        <v/>
      </c>
      <c r="AM14" s="90"/>
      <c r="AN14" s="91"/>
      <c r="AO14" s="92" t="str">
        <f t="shared" si="10"/>
        <v/>
      </c>
      <c r="AQ14" s="82" t="s">
        <v>1514</v>
      </c>
      <c r="AR14" s="93"/>
      <c r="AS14" s="93"/>
      <c r="AT14" s="93"/>
      <c r="AU14" s="93"/>
      <c r="AV14" s="93"/>
    </row>
    <row r="15" customFormat="1" spans="1:48">
      <c r="B15" s="89" t="s">
        <v>1513</v>
      </c>
      <c r="C15" s="90"/>
      <c r="D15" s="91"/>
      <c r="E15" s="92" t="str">
        <f t="shared" si="0"/>
        <v/>
      </c>
      <c r="F15" s="90"/>
      <c r="G15" s="91"/>
      <c r="H15" s="92" t="str">
        <f t="shared" si="1"/>
        <v/>
      </c>
      <c r="I15" s="90"/>
      <c r="J15" s="91"/>
      <c r="K15" s="92" t="str">
        <f t="shared" si="2"/>
        <v/>
      </c>
      <c r="L15" s="90"/>
      <c r="M15" s="91"/>
      <c r="N15" s="92" t="str">
        <f t="shared" si="3"/>
        <v/>
      </c>
      <c r="O15" s="90"/>
      <c r="P15" s="91"/>
      <c r="Q15" s="92" t="str">
        <f t="shared" si="8"/>
        <v/>
      </c>
      <c r="R15" s="90"/>
      <c r="S15" s="91"/>
      <c r="T15" s="92" t="str">
        <f t="shared" si="9"/>
        <v/>
      </c>
      <c r="U15" s="90"/>
      <c r="V15" s="91"/>
      <c r="W15" s="92"/>
      <c r="X15" s="90"/>
      <c r="Y15" s="91"/>
      <c r="Z15" s="92" t="str">
        <f t="shared" si="4"/>
        <v/>
      </c>
      <c r="AA15" s="90"/>
      <c r="AB15" s="91"/>
      <c r="AC15" s="92" t="str">
        <f t="shared" si="5"/>
        <v/>
      </c>
      <c r="AD15" s="90"/>
      <c r="AE15" s="91"/>
      <c r="AF15" s="92" t="str">
        <f t="shared" si="6"/>
        <v/>
      </c>
      <c r="AG15" s="90"/>
      <c r="AH15" s="91"/>
      <c r="AI15" s="92" t="str">
        <f t="shared" si="7"/>
        <v/>
      </c>
      <c r="AJ15" s="90"/>
      <c r="AK15" s="91"/>
      <c r="AL15" s="92" t="str">
        <f t="shared" si="11"/>
        <v/>
      </c>
      <c r="AM15" s="90"/>
      <c r="AN15" s="91"/>
      <c r="AO15" s="92" t="str">
        <f t="shared" si="10"/>
        <v/>
      </c>
      <c r="AQ15" s="82" t="s">
        <v>1515</v>
      </c>
      <c r="AR15" s="93"/>
      <c r="AS15" s="93"/>
      <c r="AT15" s="93"/>
      <c r="AU15" s="93"/>
      <c r="AV15" s="93"/>
    </row>
    <row r="16" customFormat="1" spans="1:48">
      <c r="B16" s="89" t="s">
        <v>1514</v>
      </c>
      <c r="C16" s="90"/>
      <c r="D16" s="91"/>
      <c r="E16" s="92" t="str">
        <f t="shared" si="0"/>
        <v/>
      </c>
      <c r="F16" s="90"/>
      <c r="G16" s="91"/>
      <c r="H16" s="92" t="str">
        <f t="shared" si="1"/>
        <v/>
      </c>
      <c r="I16" s="90"/>
      <c r="J16" s="91"/>
      <c r="K16" s="92" t="str">
        <f t="shared" si="2"/>
        <v/>
      </c>
      <c r="L16" s="90"/>
      <c r="M16" s="91"/>
      <c r="N16" s="92" t="str">
        <f t="shared" si="3"/>
        <v/>
      </c>
      <c r="O16" s="90"/>
      <c r="P16" s="91"/>
      <c r="Q16" s="92" t="str">
        <f t="shared" si="8"/>
        <v/>
      </c>
      <c r="R16" s="90"/>
      <c r="S16" s="91"/>
      <c r="T16" s="92" t="str">
        <f t="shared" si="9"/>
        <v/>
      </c>
      <c r="U16" s="90"/>
      <c r="V16" s="91"/>
      <c r="W16" s="92" t="str">
        <f t="shared" ref="W16:W18" si="12">IF(U16="","",V16/U16)</f>
        <v/>
      </c>
      <c r="X16" s="90"/>
      <c r="Y16" s="91"/>
      <c r="Z16" s="92" t="str">
        <f t="shared" si="4"/>
        <v/>
      </c>
      <c r="AA16" s="90"/>
      <c r="AB16" s="91"/>
      <c r="AC16" s="92" t="str">
        <f t="shared" si="5"/>
        <v/>
      </c>
      <c r="AD16" s="90"/>
      <c r="AE16" s="91"/>
      <c r="AF16" s="92" t="str">
        <f t="shared" si="6"/>
        <v/>
      </c>
      <c r="AG16" s="90"/>
      <c r="AH16" s="91"/>
      <c r="AI16" s="92" t="str">
        <f t="shared" si="7"/>
        <v/>
      </c>
      <c r="AJ16" s="90"/>
      <c r="AK16" s="91"/>
      <c r="AL16" s="92" t="str">
        <f t="shared" si="11"/>
        <v/>
      </c>
      <c r="AM16" s="90"/>
      <c r="AN16" s="91"/>
      <c r="AO16" s="92" t="str">
        <f t="shared" si="10"/>
        <v/>
      </c>
      <c r="AQ16" s="82" t="s">
        <v>24</v>
      </c>
      <c r="AR16" s="94">
        <f t="shared" ref="AR16:AV16" si="13">AVERAGE(AR4:AR15)</f>
        <v>0.151428571428571</v>
      </c>
      <c r="AS16" s="94">
        <f t="shared" si="13"/>
        <v>0.131428571428571</v>
      </c>
      <c r="AT16" s="94">
        <f t="shared" si="13"/>
        <v>0.0564285714285714</v>
      </c>
      <c r="AU16" s="94">
        <f t="shared" si="13"/>
        <v>0.238571428571429</v>
      </c>
      <c r="AV16" s="94">
        <f t="shared" si="13"/>
        <v>0.0785714285714286</v>
      </c>
    </row>
    <row r="17" customFormat="1" spans="2:41">
      <c r="B17" s="89" t="s">
        <v>1515</v>
      </c>
      <c r="C17" s="90"/>
      <c r="D17" s="91"/>
      <c r="E17" s="92" t="str">
        <f t="shared" si="0"/>
        <v/>
      </c>
      <c r="F17" s="90"/>
      <c r="G17" s="91"/>
      <c r="H17" s="92" t="str">
        <f t="shared" si="1"/>
        <v/>
      </c>
      <c r="I17" s="90"/>
      <c r="J17" s="91"/>
      <c r="K17" s="92" t="str">
        <f t="shared" si="2"/>
        <v/>
      </c>
      <c r="L17" s="90"/>
      <c r="M17" s="91"/>
      <c r="N17" s="92" t="str">
        <f t="shared" si="3"/>
        <v/>
      </c>
      <c r="O17" s="90"/>
      <c r="P17" s="91"/>
      <c r="Q17" s="92" t="str">
        <f t="shared" si="8"/>
        <v/>
      </c>
      <c r="R17" s="90"/>
      <c r="S17" s="91"/>
      <c r="T17" s="92" t="str">
        <f t="shared" si="9"/>
        <v/>
      </c>
      <c r="U17" s="90"/>
      <c r="V17" s="91"/>
      <c r="W17" s="92" t="str">
        <f t="shared" si="12"/>
        <v/>
      </c>
      <c r="X17" s="90"/>
      <c r="Y17" s="91"/>
      <c r="Z17" s="92" t="str">
        <f t="shared" si="4"/>
        <v/>
      </c>
      <c r="AA17" s="90"/>
      <c r="AB17" s="91"/>
      <c r="AC17" s="92" t="str">
        <f t="shared" si="5"/>
        <v/>
      </c>
      <c r="AD17" s="90"/>
      <c r="AE17" s="91"/>
      <c r="AF17" s="92" t="str">
        <f t="shared" si="6"/>
        <v/>
      </c>
      <c r="AG17" s="90"/>
      <c r="AH17" s="91"/>
      <c r="AI17" s="92" t="str">
        <f t="shared" si="7"/>
        <v/>
      </c>
      <c r="AJ17" s="90"/>
      <c r="AK17" s="91"/>
      <c r="AL17" s="92" t="str">
        <f t="shared" si="11"/>
        <v/>
      </c>
      <c r="AM17" s="90"/>
      <c r="AN17" s="91"/>
      <c r="AO17" s="92" t="str">
        <f t="shared" si="10"/>
        <v/>
      </c>
    </row>
    <row r="18" customFormat="1" spans="2:41">
      <c r="B18" s="89" t="s">
        <v>24</v>
      </c>
      <c r="C18" s="90">
        <f t="shared" ref="C18:G18" si="14">SUM(C6:C17)</f>
        <v>1901106.36</v>
      </c>
      <c r="D18" s="91">
        <f t="shared" si="14"/>
        <v>351144.13</v>
      </c>
      <c r="E18" s="92">
        <f t="shared" si="0"/>
        <v>0.184705147164938</v>
      </c>
      <c r="F18" s="90">
        <f t="shared" si="14"/>
        <v>661986.51</v>
      </c>
      <c r="G18" s="91">
        <f t="shared" si="14"/>
        <v>120573.21</v>
      </c>
      <c r="H18" s="92">
        <f t="shared" si="1"/>
        <v>0.182138469860964</v>
      </c>
      <c r="I18" s="90">
        <f t="shared" ref="I18:M18" si="15">SUM(I6:I17)</f>
        <v>1877828.2</v>
      </c>
      <c r="J18" s="91">
        <f t="shared" si="15"/>
        <v>306066.93</v>
      </c>
      <c r="K18" s="92">
        <f t="shared" si="2"/>
        <v>0.162989846461993</v>
      </c>
      <c r="L18" s="90">
        <f t="shared" si="15"/>
        <v>219616.23</v>
      </c>
      <c r="M18" s="91">
        <f t="shared" si="15"/>
        <v>60894.7</v>
      </c>
      <c r="N18" s="92">
        <f t="shared" si="3"/>
        <v>0.277277776783619</v>
      </c>
      <c r="O18" s="90">
        <f t="shared" ref="O18:S18" si="16">SUM(O6:O17)</f>
        <v>479664.97</v>
      </c>
      <c r="P18" s="91">
        <f t="shared" si="16"/>
        <v>102553.97</v>
      </c>
      <c r="Q18" s="92">
        <f t="shared" si="8"/>
        <v>0.21380333443987</v>
      </c>
      <c r="R18" s="90">
        <f t="shared" si="16"/>
        <v>0</v>
      </c>
      <c r="S18" s="91">
        <f t="shared" si="16"/>
        <v>0</v>
      </c>
      <c r="T18" s="92" t="e">
        <f t="shared" si="9"/>
        <v>#DIV/0!</v>
      </c>
      <c r="U18" s="90">
        <f t="shared" ref="U18:Y18" si="17">SUM(U6:U17)</f>
        <v>577481.69</v>
      </c>
      <c r="V18" s="91">
        <f t="shared" si="17"/>
        <v>103525.26</v>
      </c>
      <c r="W18" s="92">
        <f t="shared" si="12"/>
        <v>0.179270203354846</v>
      </c>
      <c r="X18" s="90">
        <f t="shared" si="17"/>
        <v>164892.46</v>
      </c>
      <c r="Y18" s="91">
        <f t="shared" si="17"/>
        <v>54386.46</v>
      </c>
      <c r="Z18" s="92">
        <f t="shared" si="4"/>
        <v>0.329829878212745</v>
      </c>
      <c r="AA18" s="90">
        <f t="shared" ref="AA18:AE18" si="18">SUM(AA6:AA17)</f>
        <v>550298.32</v>
      </c>
      <c r="AB18" s="91">
        <f t="shared" si="18"/>
        <v>130977.7</v>
      </c>
      <c r="AC18" s="92">
        <f t="shared" si="5"/>
        <v>0.238012174923594</v>
      </c>
      <c r="AD18" s="90">
        <f t="shared" si="18"/>
        <v>480142.67</v>
      </c>
      <c r="AE18" s="91">
        <f t="shared" si="18"/>
        <v>120408.95</v>
      </c>
      <c r="AF18" s="92">
        <f t="shared" si="6"/>
        <v>0.25077744079692</v>
      </c>
      <c r="AG18" s="90">
        <f t="shared" ref="AG18:AK18" si="19">SUM(AG6:AG17)</f>
        <v>708552</v>
      </c>
      <c r="AH18" s="91">
        <f t="shared" si="19"/>
        <v>99070.96</v>
      </c>
      <c r="AI18" s="92">
        <f t="shared" si="7"/>
        <v>0.139821720918154</v>
      </c>
      <c r="AJ18" s="90">
        <f t="shared" si="19"/>
        <v>0</v>
      </c>
      <c r="AK18" s="91">
        <f t="shared" si="19"/>
        <v>0</v>
      </c>
      <c r="AL18" s="92" t="e">
        <f t="shared" si="11"/>
        <v>#DIV/0!</v>
      </c>
      <c r="AM18" s="90">
        <f>SUM(AM6:AM17)</f>
        <v>619395</v>
      </c>
      <c r="AN18" s="91">
        <f>SUM(AN6:AN17)</f>
        <v>187803</v>
      </c>
      <c r="AO18" s="92">
        <f t="shared" si="10"/>
        <v>0.303203932869978</v>
      </c>
    </row>
    <row r="19" customFormat="1" spans="2:41">
      <c r="C19" s="95"/>
      <c r="D19" s="95"/>
      <c r="N19" s="96">
        <v>-0.3</v>
      </c>
    </row>
    <row r="20" customFormat="1" spans="2:41">
      <c r="I20" s="71"/>
      <c r="J20" s="71"/>
    </row>
    <row r="21" customFormat="1" spans="2:41">
      <c r="F21" s="95"/>
      <c r="G21" s="95"/>
      <c r="L21" s="71"/>
      <c r="M21" s="71"/>
      <c r="AA21" s="97"/>
      <c r="AB21" s="98"/>
      <c r="AC21" s="98"/>
    </row>
    <row r="22" customFormat="1" spans="2:41">
      <c r="B22" t="s">
        <v>1516</v>
      </c>
      <c r="F22" s="71"/>
      <c r="G22" s="71"/>
      <c r="AA22" s="97"/>
      <c r="AB22" s="98"/>
      <c r="AC22" s="98"/>
    </row>
    <row r="23" customFormat="1" spans="2:41">
      <c r="B23" t="s">
        <v>1517</v>
      </c>
      <c r="C23" s="71"/>
      <c r="D23" s="71"/>
      <c r="J23" s="95"/>
      <c r="K23" s="95"/>
      <c r="AA23" s="97"/>
      <c r="AB23" s="98"/>
      <c r="AC23" s="98"/>
    </row>
    <row r="24" customFormat="1" spans="2:41">
      <c r="X24" s="99"/>
      <c r="Y24" s="100"/>
      <c r="AA24" s="97"/>
      <c r="AB24" s="101"/>
      <c r="AC24" s="102"/>
    </row>
    <row r="25" customFormat="1" spans="2:41">
      <c r="L25" s="95"/>
      <c r="M25" s="95"/>
      <c r="AA25" s="97"/>
      <c r="AB25" s="98"/>
      <c r="AC25" s="98"/>
      <c r="AF25" s="101"/>
      <c r="AG25" s="101"/>
    </row>
    <row r="26" customFormat="1" spans="2:41">
      <c r="H26" s="71"/>
      <c r="O26" s="71"/>
      <c r="Z26" s="99"/>
      <c r="AA26" s="100"/>
      <c r="AB26" s="98"/>
      <c r="AC26" s="98"/>
    </row>
    <row r="27" customFormat="1" spans="2:41">
      <c r="O27" s="103" t="s">
        <v>226</v>
      </c>
      <c r="W27" s="104"/>
      <c r="X27" s="104"/>
      <c r="AA27" s="97"/>
      <c r="AB27" s="98"/>
      <c r="AC27" s="98"/>
    </row>
    <row r="28" customFormat="1" spans="2:41">
      <c r="H28" s="105"/>
      <c r="O28" s="106">
        <v>0.09</v>
      </c>
      <c r="P28" s="100"/>
      <c r="AA28" s="97"/>
      <c r="AB28" s="98"/>
      <c r="AC28" s="98"/>
    </row>
    <row r="29" customFormat="1" spans="2:41">
      <c r="H29" s="105"/>
      <c r="O29" s="106">
        <v>0.08</v>
      </c>
      <c r="W29" s="97"/>
      <c r="X29" s="98"/>
      <c r="Y29" s="98"/>
    </row>
    <row r="30" customFormat="1" spans="2:41">
      <c r="H30" s="105"/>
      <c r="O30" s="106">
        <v>0.09</v>
      </c>
      <c r="W30" s="97"/>
      <c r="X30" s="98"/>
      <c r="Y30" s="98"/>
    </row>
    <row r="31" customFormat="1" spans="2:41">
      <c r="H31" s="105"/>
      <c r="O31" s="106"/>
      <c r="W31" s="97"/>
      <c r="X31" s="98"/>
      <c r="Y31" s="98"/>
    </row>
    <row r="32" customFormat="1" spans="2:41">
      <c r="H32" s="105"/>
      <c r="O32" s="106"/>
      <c r="W32" s="97"/>
      <c r="X32" s="98"/>
      <c r="Y32" s="98"/>
    </row>
    <row r="33" customFormat="1" spans="15:25">
      <c r="O33" s="106"/>
      <c r="W33" s="97"/>
      <c r="X33" s="98"/>
      <c r="Y33" s="98"/>
    </row>
    <row r="34" customFormat="1" spans="15:25">
      <c r="O34" s="106"/>
    </row>
    <row r="35" customFormat="1" spans="15:25">
      <c r="O35" s="106"/>
    </row>
    <row r="36" customFormat="1" spans="15:25">
      <c r="O36" s="106"/>
    </row>
    <row r="37" customFormat="1" spans="15:25">
      <c r="O37" s="106"/>
    </row>
    <row r="38" customFormat="1" spans="15:25">
      <c r="O38" s="106"/>
    </row>
    <row r="39" customFormat="1" spans="15:25">
      <c r="O39" s="106"/>
    </row>
    <row r="40" customFormat="1" spans="15:25">
      <c r="O40" s="106"/>
    </row>
  </sheetData>
  <mergeCells count="21">
    <mergeCell ref="AQ2:AR2"/>
    <mergeCell ref="C3:N3"/>
    <mergeCell ref="O3:W3"/>
    <mergeCell ref="X3:AC3"/>
    <mergeCell ref="AD3:AF3"/>
    <mergeCell ref="AG3:AL3"/>
    <mergeCell ref="AM3:AO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F1:O2"/>
  </mergeCells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1047847"/>
  <sheetViews>
    <sheetView tabSelected="1" zoomScale="60" zoomScaleNormal="60" topLeftCell="C1" workbookViewId="0">
      <selection activeCell="AM9" sqref="AM9"/>
    </sheetView>
  </sheetViews>
  <sheetFormatPr defaultColWidth="8.88888888888889" defaultRowHeight="12"/>
  <cols>
    <col min="1" max="1" width="9.27777777777778" style="5" customWidth="1"/>
    <col min="2" max="2" width="7.22222222222222" style="5" customWidth="1"/>
    <col min="3" max="3" width="9.27777777777778" style="5" customWidth="1"/>
    <col min="4" max="4" width="7.77777777777778" style="6" customWidth="1"/>
    <col min="5" max="5" width="3.96296296296296" style="6" customWidth="1"/>
    <col min="6" max="6" width="8.55555555555556" style="6" customWidth="1"/>
    <col min="7" max="7" width="3.64814814814815" style="6" customWidth="1"/>
    <col min="8" max="8" width="9.51851851851852" style="6" customWidth="1"/>
    <col min="9" max="9" width="8.44444444444444" style="6" customWidth="1"/>
    <col min="10" max="10" width="12.4444444444444" style="7" customWidth="1"/>
    <col min="11" max="11" width="7.77777777777778" style="8" customWidth="1"/>
    <col min="12" max="12" width="8.44444444444444" style="9" customWidth="1"/>
    <col min="13" max="13" width="10.1111111111111" style="10" customWidth="1"/>
    <col min="14" max="14" width="8.09259259259259" style="11" customWidth="1"/>
    <col min="15" max="15" width="9.33333333333333" style="2" customWidth="1"/>
    <col min="16" max="16" width="8.72222222222222" style="2" customWidth="1"/>
    <col min="17" max="18" width="9.33333333333333" style="2" customWidth="1"/>
    <col min="19" max="19" width="8.44444444444444" style="2" customWidth="1"/>
    <col min="20" max="20" width="10.1111111111111" style="2" customWidth="1"/>
    <col min="21" max="21" width="9.36111111111111" style="12" customWidth="1"/>
    <col min="22" max="22" width="9.52777777777778" style="2" customWidth="1"/>
    <col min="23" max="23" width="6.22222222222222" style="2" customWidth="1"/>
    <col min="24" max="24" width="9.67592592592593" style="2" customWidth="1"/>
    <col min="25" max="25" width="7.44444444444444" style="2" customWidth="1"/>
    <col min="26" max="26" width="11.5833333333333" style="2" customWidth="1"/>
    <col min="27" max="27" width="7.44444444444444" style="2" customWidth="1"/>
    <col min="28" max="29" width="9.66666666666667" style="2" customWidth="1"/>
    <col min="30" max="30" width="10.6203703703704" style="2" customWidth="1"/>
    <col min="31" max="31" width="7" style="2" customWidth="1"/>
    <col min="32" max="32" width="9.33333333333333" style="3" customWidth="1"/>
    <col min="33" max="33" width="4.91666666666667" style="2" customWidth="1"/>
    <col min="34" max="34" width="9.55555555555556" style="2" customWidth="1"/>
    <col min="35" max="36" width="10.1111111111111" style="2" customWidth="1"/>
    <col min="37" max="37" width="7" style="2" customWidth="1"/>
    <col min="38" max="38" width="10.1111111111111" style="2" customWidth="1"/>
    <col min="39" max="39" width="8.66666666666667" style="2" customWidth="1"/>
    <col min="40" max="40" width="7.66666666666667" style="2" customWidth="1"/>
    <col min="41" max="16384" width="8.88888888888889" style="2"/>
  </cols>
  <sheetData>
    <row r="1" s="2" customFormat="1" ht="48" spans="1:40">
      <c r="A1" s="13" t="s">
        <v>1518</v>
      </c>
      <c r="B1" s="13" t="s">
        <v>1519</v>
      </c>
      <c r="C1" s="13" t="s">
        <v>1520</v>
      </c>
      <c r="D1" s="14" t="s">
        <v>1521</v>
      </c>
      <c r="E1" s="14" t="s">
        <v>1522</v>
      </c>
      <c r="F1" s="14" t="s">
        <v>1523</v>
      </c>
      <c r="G1" s="14" t="s">
        <v>1522</v>
      </c>
      <c r="H1" s="14" t="s">
        <v>1524</v>
      </c>
      <c r="I1" s="14" t="s">
        <v>1525</v>
      </c>
      <c r="J1" s="15" t="s">
        <v>1526</v>
      </c>
      <c r="K1" s="16" t="s">
        <v>1527</v>
      </c>
      <c r="L1" s="17" t="s">
        <v>1503</v>
      </c>
      <c r="M1" s="18" t="s">
        <v>12</v>
      </c>
      <c r="N1" s="19" t="s">
        <v>1528</v>
      </c>
      <c r="O1" s="20" t="s">
        <v>1529</v>
      </c>
      <c r="P1" s="20" t="s">
        <v>1530</v>
      </c>
      <c r="Q1" s="20" t="s">
        <v>1531</v>
      </c>
      <c r="R1" s="20" t="s">
        <v>1532</v>
      </c>
      <c r="S1" s="21" t="s">
        <v>1533</v>
      </c>
      <c r="T1" s="20" t="s">
        <v>1534</v>
      </c>
      <c r="U1" s="22" t="s">
        <v>1535</v>
      </c>
      <c r="V1" s="21" t="s">
        <v>1536</v>
      </c>
      <c r="W1" s="21" t="s">
        <v>61</v>
      </c>
      <c r="X1" s="21" t="s">
        <v>40</v>
      </c>
      <c r="Y1" s="21" t="s">
        <v>1537</v>
      </c>
      <c r="Z1" s="21" t="s">
        <v>43</v>
      </c>
      <c r="AA1" s="21" t="s">
        <v>1537</v>
      </c>
      <c r="AB1" s="21" t="s">
        <v>1538</v>
      </c>
      <c r="AC1" s="21" t="s">
        <v>1539</v>
      </c>
      <c r="AD1" s="23" t="s">
        <v>1540</v>
      </c>
      <c r="AE1" s="24" t="s">
        <v>1541</v>
      </c>
      <c r="AF1" s="21" t="s">
        <v>39</v>
      </c>
      <c r="AG1" s="21" t="s">
        <v>1542</v>
      </c>
      <c r="AH1" s="21" t="s">
        <v>1543</v>
      </c>
      <c r="AI1" s="23" t="s">
        <v>1544</v>
      </c>
      <c r="AJ1" s="20" t="s">
        <v>1545</v>
      </c>
      <c r="AK1" s="24" t="s">
        <v>1541</v>
      </c>
      <c r="AL1" s="23" t="s">
        <v>1546</v>
      </c>
      <c r="AM1" s="20" t="s">
        <v>1547</v>
      </c>
      <c r="AN1" s="23" t="s">
        <v>1548</v>
      </c>
    </row>
    <row r="2" s="2" customFormat="1" hidden="1" spans="1:40">
      <c r="A2" s="13" t="s">
        <v>1549</v>
      </c>
      <c r="B2" s="13" t="s">
        <v>1550</v>
      </c>
      <c r="C2" s="13" t="s">
        <v>1551</v>
      </c>
      <c r="D2" s="14" t="s">
        <v>1552</v>
      </c>
      <c r="E2" s="14" t="s">
        <v>1553</v>
      </c>
      <c r="F2" s="14" t="s">
        <v>1554</v>
      </c>
      <c r="G2" s="14" t="s">
        <v>1555</v>
      </c>
      <c r="H2" s="14" t="s">
        <v>1556</v>
      </c>
      <c r="I2" s="14" t="s">
        <v>1557</v>
      </c>
      <c r="J2" s="18" t="s">
        <v>1558</v>
      </c>
      <c r="K2" s="16" t="s">
        <v>1559</v>
      </c>
      <c r="L2" s="14" t="s">
        <v>1560</v>
      </c>
      <c r="M2" s="18" t="s">
        <v>1561</v>
      </c>
      <c r="N2" s="19" t="s">
        <v>1562</v>
      </c>
      <c r="O2" s="20" t="s">
        <v>1563</v>
      </c>
      <c r="P2" s="20" t="s">
        <v>1563</v>
      </c>
      <c r="Q2" s="20" t="s">
        <v>1563</v>
      </c>
      <c r="R2" s="20" t="s">
        <v>1563</v>
      </c>
      <c r="S2" s="20" t="s">
        <v>1563</v>
      </c>
      <c r="T2" s="20" t="s">
        <v>1564</v>
      </c>
      <c r="U2" s="20" t="s">
        <v>1563</v>
      </c>
      <c r="V2" s="20" t="s">
        <v>1563</v>
      </c>
      <c r="W2" s="20" t="s">
        <v>1563</v>
      </c>
      <c r="X2" s="20" t="s">
        <v>1563</v>
      </c>
      <c r="Y2" s="20" t="s">
        <v>1563</v>
      </c>
      <c r="Z2" s="20" t="s">
        <v>1563</v>
      </c>
      <c r="AA2" s="20" t="s">
        <v>1563</v>
      </c>
      <c r="AB2" s="20" t="s">
        <v>1563</v>
      </c>
      <c r="AC2" s="20" t="s">
        <v>1563</v>
      </c>
      <c r="AD2" s="20" t="s">
        <v>1563</v>
      </c>
      <c r="AE2" s="20" t="s">
        <v>1563</v>
      </c>
      <c r="AF2" s="21" t="s">
        <v>1565</v>
      </c>
      <c r="AG2" s="20" t="s">
        <v>1563</v>
      </c>
      <c r="AH2" s="20" t="s">
        <v>1563</v>
      </c>
      <c r="AI2" s="20" t="s">
        <v>1563</v>
      </c>
      <c r="AJ2" s="20" t="s">
        <v>1563</v>
      </c>
      <c r="AK2" s="20" t="s">
        <v>1563</v>
      </c>
      <c r="AL2" s="20" t="s">
        <v>1563</v>
      </c>
      <c r="AM2" s="20" t="s">
        <v>1563</v>
      </c>
      <c r="AN2" s="20" t="s">
        <v>1563</v>
      </c>
    </row>
    <row r="3" s="3" customFormat="1" hidden="1" spans="1:40">
      <c r="A3" s="25" cm="1">
        <f t="array" ref="A3:A213">'BASE DADOS'!F2:F212</f>
        <v>46255</v>
      </c>
      <c r="B3" s="25" t="str" cm="1">
        <f t="array" ref="B3:B213">'BASE DADOS'!C2:C212</f>
        <v>NORMAL</v>
      </c>
      <c r="C3" s="25" t="str" cm="1">
        <f t="array" ref="C3:C213">'BASE DADOS'!G2:G212</f>
        <v>DJB4058</v>
      </c>
      <c r="D3" s="25" t="str" cm="1">
        <f t="array" ref="D3:D213">'BASE DADOS'!E2:E212</f>
        <v>BHZ</v>
      </c>
      <c r="E3" s="25" t="str" cm="1">
        <f t="array" ref="E3:E213">'BASE DADOS'!O2:O212</f>
        <v>MG</v>
      </c>
      <c r="F3" s="25" t="str" cm="1">
        <f t="array" ref="F3:F213">'BASE DADOS'!AM2:AM212</f>
        <v>CTB</v>
      </c>
      <c r="G3" s="25" t="str" cm="1">
        <f t="array" ref="G3:G213">'BASE DADOS'!AL2:AL212</f>
        <v>PR</v>
      </c>
      <c r="H3" s="25" t="str" cm="1">
        <f t="array" ref="H3:H213">'BASE DADOS'!V2:V212</f>
        <v>COLSON DO BRASIL LTDA</v>
      </c>
      <c r="I3" s="208" t="str" cm="1">
        <f t="array" ref="I3:I213">'BASE DADOS'!AN2:AN212</f>
        <v>000147931</v>
      </c>
      <c r="J3" s="26" cm="1">
        <f t="array" ref="J3:J213">'BASE DADOS'!AY2:AY212</f>
        <v>1057.88</v>
      </c>
      <c r="K3" s="27" cm="1">
        <f t="array" ref="K3:K213">'BASE DADOS'!AQ2:AQ212</f>
        <v>3</v>
      </c>
      <c r="L3" s="28" cm="1">
        <f t="array" ref="L3:L213">'BASE DADOS'!BH2:BH212</f>
        <v>47</v>
      </c>
      <c r="M3" s="26" cm="1">
        <f t="array" ref="M3:M213">'BASE DADOS'!BB2:BB212</f>
        <v>172.2</v>
      </c>
      <c r="N3" s="29" cm="1">
        <f t="array" ref="N3:N213">'BASE DADOS'!BF2:BF212</f>
        <v>0.12</v>
      </c>
      <c r="O3" s="30"/>
      <c r="P3" s="31">
        <f>L3*0.34</f>
        <v>15.98</v>
      </c>
      <c r="Q3" s="31">
        <f t="shared" ref="Q3:Q6" si="0">L3*0.18</f>
        <v>8.46</v>
      </c>
      <c r="R3" s="31"/>
      <c r="S3" s="31"/>
      <c r="T3" s="32" cm="1">
        <f t="array" ref="T3:T213">'BASE DADOS'!DA2:DA212</f>
        <v>0</v>
      </c>
      <c r="U3" s="33">
        <f t="shared" ref="U3:U34" si="1">T3/M3</f>
        <v>0</v>
      </c>
      <c r="V3" s="34">
        <f t="shared" ref="V3:V34" si="2">O3+P3+Q3+R3+S3+T3</f>
        <v>24.44</v>
      </c>
      <c r="W3" s="35">
        <f>V3/M3</f>
        <v>0.141927990708479</v>
      </c>
      <c r="X3" s="36">
        <f>(L3*'RESULTADO DIRETO'!N$27)/6*3</f>
        <v>4.91294785934349</v>
      </c>
      <c r="Y3" s="35">
        <f>X3/M3</f>
        <v>0.0285304753736556</v>
      </c>
      <c r="Z3" s="36">
        <f>(L3*'RESULTADO DIRETO'!N$15)/6*4</f>
        <v>5.966713044823</v>
      </c>
      <c r="AA3" s="35">
        <f t="shared" ref="AA3:AA34" si="3">Z3/M3</f>
        <v>0.0346499015378803</v>
      </c>
      <c r="AB3" s="36">
        <f>(J3*0.01%)*7.38%+(J3*0.01%)</f>
        <v>0.1135951544</v>
      </c>
      <c r="AC3" s="36">
        <f t="shared" ref="AC3:AC34" si="4">(J3*0.01%)*7.38%+(J3*0.01%)</f>
        <v>0.1135951544</v>
      </c>
      <c r="AD3" s="34">
        <f t="shared" ref="AD3:AD9" si="5">V3+X3+Z3+AB3+AC3</f>
        <v>35.5468512129665</v>
      </c>
      <c r="AE3" s="37">
        <f>AD3/M3</f>
        <v>0.206427707392372</v>
      </c>
      <c r="AF3" s="36">
        <f t="shared" ref="AF3:AF34" si="6">M3*N3</f>
        <v>20.664</v>
      </c>
      <c r="AG3" s="36"/>
      <c r="AH3" s="36">
        <f>M3*0.052</f>
        <v>8.9544</v>
      </c>
      <c r="AI3" s="34">
        <f t="shared" ref="AI3:AI34" si="7">AF3+AG3+AH3</f>
        <v>29.6184</v>
      </c>
      <c r="AJ3" s="38">
        <f>AD3+AI3</f>
        <v>65.1652512129665</v>
      </c>
      <c r="AK3" s="39">
        <f t="shared" ref="AK3:AK34" si="8">AJ3/M3</f>
        <v>0.378427707392372</v>
      </c>
      <c r="AL3" s="38">
        <f t="shared" ref="AL3:AL34" si="9">M3-AJ3</f>
        <v>107.034748787034</v>
      </c>
      <c r="AM3" s="40">
        <f>AL3/M3</f>
        <v>0.621572292607628</v>
      </c>
      <c r="AN3" s="38">
        <f t="shared" ref="AN3:AN34" si="10">M3/L3</f>
        <v>3.66382978723404</v>
      </c>
    </row>
    <row r="4" s="3" customFormat="1" hidden="1" spans="1:40">
      <c r="A4" s="41">
        <v>46237</v>
      </c>
      <c r="B4" s="41" t="str">
        <v>NORMAL</v>
      </c>
      <c r="C4" s="41" t="str">
        <v>DQB8989</v>
      </c>
      <c r="D4" s="42" t="str">
        <v>CTB</v>
      </c>
      <c r="E4" s="42" t="str">
        <v>PR</v>
      </c>
      <c r="F4" s="42" t="str">
        <v>RJO</v>
      </c>
      <c r="G4" s="42" t="str">
        <v>RJ</v>
      </c>
      <c r="H4" s="42" t="str">
        <v>COLSON DO BRASIL LTDA</v>
      </c>
      <c r="I4" s="209" t="str">
        <v>000188725</v>
      </c>
      <c r="J4" s="43">
        <v>3892.48</v>
      </c>
      <c r="K4" s="44">
        <v>8</v>
      </c>
      <c r="L4" s="45">
        <v>93.93</v>
      </c>
      <c r="M4" s="46">
        <v>460.4</v>
      </c>
      <c r="N4" s="47">
        <v>0.12</v>
      </c>
      <c r="O4" s="48">
        <f t="shared" ref="O4:O67" si="11">L4*0.09</f>
        <v>8.4537</v>
      </c>
      <c r="P4" s="49">
        <f t="shared" ref="P4:P68" si="12">L4*0.2</f>
        <v>18.786</v>
      </c>
      <c r="Q4" s="50">
        <f t="shared" si="0"/>
        <v>16.9074</v>
      </c>
      <c r="R4" s="50">
        <f>M4*0.22</f>
        <v>101.288</v>
      </c>
      <c r="S4" s="31"/>
      <c r="T4" s="51">
        <v>0</v>
      </c>
      <c r="U4" s="33">
        <f t="shared" si="1"/>
        <v>0</v>
      </c>
      <c r="V4" s="34">
        <f t="shared" si="2"/>
        <v>145.4351</v>
      </c>
      <c r="W4" s="35">
        <f t="shared" ref="W4:W67" si="13">V4/M4</f>
        <v>0.315888575152042</v>
      </c>
      <c r="X4" s="36">
        <f>(L4*'RESULTADO DIRETO'!N$27)/6*4</f>
        <v>13.0914380830676</v>
      </c>
      <c r="Y4" s="35">
        <f>X4/M4</f>
        <v>0.0284349219875491</v>
      </c>
      <c r="Z4" s="36">
        <f>(L4*'RESULTADO DIRETO'!N$15)/6*3</f>
        <v>8.94340462181209</v>
      </c>
      <c r="AA4" s="35">
        <f t="shared" si="3"/>
        <v>0.0194252924018508</v>
      </c>
      <c r="AB4" s="36">
        <f t="shared" ref="AB4:AB67" si="14">(J4*0.01%)*7.38%+(J4*0.01%)</f>
        <v>0.4179745024</v>
      </c>
      <c r="AC4" s="36">
        <f t="shared" si="4"/>
        <v>0.4179745024</v>
      </c>
      <c r="AD4" s="34">
        <f t="shared" si="5"/>
        <v>168.30589170968</v>
      </c>
      <c r="AE4" s="37">
        <f t="shared" ref="AE4:AE67" si="15">AD4/M4</f>
        <v>0.365564491115725</v>
      </c>
      <c r="AF4" s="36">
        <f t="shared" si="6"/>
        <v>55.248</v>
      </c>
      <c r="AG4" s="36"/>
      <c r="AH4" s="36">
        <f t="shared" ref="AH4:AH67" si="16">M4*0.052</f>
        <v>23.9408</v>
      </c>
      <c r="AI4" s="34">
        <f t="shared" si="7"/>
        <v>79.1888</v>
      </c>
      <c r="AJ4" s="38">
        <f>AD4+AI4</f>
        <v>247.49469170968</v>
      </c>
      <c r="AK4" s="39">
        <f t="shared" si="8"/>
        <v>0.537564491115725</v>
      </c>
      <c r="AL4" s="38">
        <f t="shared" si="9"/>
        <v>212.90530829032</v>
      </c>
      <c r="AM4" s="40">
        <f>AL4/M4</f>
        <v>0.462435508884275</v>
      </c>
      <c r="AN4" s="38">
        <f t="shared" si="10"/>
        <v>4.90152241030555</v>
      </c>
    </row>
    <row r="5" s="3" customFormat="1" hidden="1" spans="1:40">
      <c r="A5" s="41">
        <v>46237</v>
      </c>
      <c r="B5" s="41" t="str">
        <v>NORMAL</v>
      </c>
      <c r="C5" s="41" t="str">
        <v>DQB8989</v>
      </c>
      <c r="D5" s="42" t="str">
        <v>CTB</v>
      </c>
      <c r="E5" s="42" t="str">
        <v>PR</v>
      </c>
      <c r="F5" s="42" t="str">
        <v>RJO</v>
      </c>
      <c r="G5" s="42" t="str">
        <v>RJ</v>
      </c>
      <c r="H5" s="42" t="str">
        <v>COLSON DO BRASIL LTDA</v>
      </c>
      <c r="I5" s="209" t="str">
        <v>000188531</v>
      </c>
      <c r="J5" s="43">
        <v>2546.66</v>
      </c>
      <c r="K5" s="44">
        <v>7</v>
      </c>
      <c r="L5" s="45">
        <v>85.965</v>
      </c>
      <c r="M5" s="46">
        <v>452.75</v>
      </c>
      <c r="N5" s="47">
        <v>0.12</v>
      </c>
      <c r="O5" s="48">
        <f t="shared" si="11"/>
        <v>7.73685</v>
      </c>
      <c r="P5" s="49">
        <f t="shared" si="12"/>
        <v>17.193</v>
      </c>
      <c r="Q5" s="50">
        <f t="shared" si="0"/>
        <v>15.4737</v>
      </c>
      <c r="R5" s="50">
        <f>M5*0.22</f>
        <v>99.605</v>
      </c>
      <c r="S5" s="31"/>
      <c r="T5" s="51">
        <v>0</v>
      </c>
      <c r="U5" s="33">
        <f t="shared" si="1"/>
        <v>0</v>
      </c>
      <c r="V5" s="34">
        <f t="shared" si="2"/>
        <v>140.00855</v>
      </c>
      <c r="W5" s="35">
        <f t="shared" si="13"/>
        <v>0.309240309221425</v>
      </c>
      <c r="X5" s="36">
        <f>(L5*'RESULTADO DIRETO'!N$27)/6*4</f>
        <v>11.981320928467</v>
      </c>
      <c r="Y5" s="35">
        <f>X5/M5</f>
        <v>0.0264634366172657</v>
      </c>
      <c r="Z5" s="36">
        <f>(L5*'RESULTADO DIRETO'!N$15)/6*3</f>
        <v>8.18502904624801</v>
      </c>
      <c r="AA5" s="35">
        <f t="shared" si="3"/>
        <v>0.0180784738735461</v>
      </c>
      <c r="AB5" s="36">
        <f t="shared" si="14"/>
        <v>0.2734603508</v>
      </c>
      <c r="AC5" s="36">
        <f t="shared" si="4"/>
        <v>0.2734603508</v>
      </c>
      <c r="AD5" s="34">
        <f t="shared" si="5"/>
        <v>160.721820676315</v>
      </c>
      <c r="AE5" s="37">
        <f t="shared" si="15"/>
        <v>0.354990216844429</v>
      </c>
      <c r="AF5" s="36">
        <f t="shared" si="6"/>
        <v>54.33</v>
      </c>
      <c r="AG5" s="36"/>
      <c r="AH5" s="36">
        <f t="shared" si="16"/>
        <v>23.543</v>
      </c>
      <c r="AI5" s="34">
        <f t="shared" si="7"/>
        <v>77.873</v>
      </c>
      <c r="AJ5" s="38">
        <f t="shared" ref="AJ4:AJ35" si="17">AD5+AI5</f>
        <v>238.594820676315</v>
      </c>
      <c r="AK5" s="39">
        <f t="shared" si="8"/>
        <v>0.526990216844429</v>
      </c>
      <c r="AL5" s="38">
        <f t="shared" si="9"/>
        <v>214.155179323685</v>
      </c>
      <c r="AM5" s="40">
        <f>AL5/M5</f>
        <v>0.473009783155571</v>
      </c>
      <c r="AN5" s="38">
        <f t="shared" si="10"/>
        <v>5.26667829930786</v>
      </c>
    </row>
    <row r="6" s="3" customFormat="1" hidden="1" spans="1:40">
      <c r="A6" s="41">
        <v>46237</v>
      </c>
      <c r="B6" s="41" t="str">
        <v>NORMAL</v>
      </c>
      <c r="C6" s="41" t="str">
        <v>DQB8989</v>
      </c>
      <c r="D6" s="42" t="str">
        <v>CTB</v>
      </c>
      <c r="E6" s="42" t="str">
        <v>PR</v>
      </c>
      <c r="F6" s="42" t="str">
        <v>RJO</v>
      </c>
      <c r="G6" s="42" t="str">
        <v>RJ</v>
      </c>
      <c r="H6" s="42" t="str">
        <v>COLSON DO BRASIL LTDA</v>
      </c>
      <c r="I6" s="209" t="str">
        <v>000188697</v>
      </c>
      <c r="J6" s="43">
        <v>4824.67</v>
      </c>
      <c r="K6" s="44">
        <v>15</v>
      </c>
      <c r="L6" s="45">
        <v>249</v>
      </c>
      <c r="M6" s="46">
        <v>334.93</v>
      </c>
      <c r="N6" s="47">
        <v>0.12</v>
      </c>
      <c r="O6" s="48">
        <f t="shared" si="11"/>
        <v>22.41</v>
      </c>
      <c r="P6" s="49">
        <f t="shared" si="12"/>
        <v>49.8</v>
      </c>
      <c r="Q6" s="50">
        <f t="shared" si="0"/>
        <v>44.82</v>
      </c>
      <c r="R6" s="50">
        <f>M6*0.22</f>
        <v>73.6846</v>
      </c>
      <c r="S6" s="31"/>
      <c r="T6" s="51">
        <v>0</v>
      </c>
      <c r="U6" s="33">
        <f t="shared" si="1"/>
        <v>0</v>
      </c>
      <c r="V6" s="34">
        <f t="shared" si="2"/>
        <v>190.7146</v>
      </c>
      <c r="W6" s="35">
        <f t="shared" si="13"/>
        <v>0.569416295942436</v>
      </c>
      <c r="X6" s="36">
        <f>(L6*'RESULTADO DIRETO'!N$27)/6*4</f>
        <v>34.7042274319582</v>
      </c>
      <c r="Y6" s="35">
        <f>X6/M6</f>
        <v>0.103616359931801</v>
      </c>
      <c r="Z6" s="36">
        <f>(L6*'RESULTADO DIRETO'!N$15)/6*3</f>
        <v>23.708163002568</v>
      </c>
      <c r="AA6" s="35">
        <f t="shared" si="3"/>
        <v>0.0707854268132683</v>
      </c>
      <c r="AB6" s="36">
        <f t="shared" si="14"/>
        <v>0.5180730646</v>
      </c>
      <c r="AC6" s="36">
        <f t="shared" si="4"/>
        <v>0.5180730646</v>
      </c>
      <c r="AD6" s="34">
        <f t="shared" si="5"/>
        <v>250.163136563726</v>
      </c>
      <c r="AE6" s="37">
        <f t="shared" si="15"/>
        <v>0.746911702635554</v>
      </c>
      <c r="AF6" s="36">
        <f t="shared" si="6"/>
        <v>40.1916</v>
      </c>
      <c r="AG6" s="36"/>
      <c r="AH6" s="36">
        <f t="shared" si="16"/>
        <v>17.41636</v>
      </c>
      <c r="AI6" s="34">
        <f t="shared" si="7"/>
        <v>57.60796</v>
      </c>
      <c r="AJ6" s="38">
        <f t="shared" si="17"/>
        <v>307.771096563726</v>
      </c>
      <c r="AK6" s="39">
        <f t="shared" si="8"/>
        <v>0.918911702635554</v>
      </c>
      <c r="AL6" s="38">
        <f t="shared" si="9"/>
        <v>27.1589034362738</v>
      </c>
      <c r="AM6" s="40">
        <f>AL6/M6</f>
        <v>0.0810882973644456</v>
      </c>
      <c r="AN6" s="38">
        <f t="shared" si="10"/>
        <v>1.34510040160643</v>
      </c>
    </row>
    <row r="7" s="3" customFormat="1" hidden="1" spans="1:40">
      <c r="A7" s="41">
        <v>46237</v>
      </c>
      <c r="B7" s="41" t="str">
        <v>NORMAL</v>
      </c>
      <c r="C7" s="41" t="str">
        <v>DQB8989</v>
      </c>
      <c r="D7" s="42" t="str">
        <v>CTB</v>
      </c>
      <c r="E7" s="42" t="str">
        <v>PR</v>
      </c>
      <c r="F7" s="42" t="str">
        <v>EPS</v>
      </c>
      <c r="G7" s="42" t="str">
        <v>ES</v>
      </c>
      <c r="H7" s="42" t="str">
        <v>COLSON DO BRASIL LTDA</v>
      </c>
      <c r="I7" s="209" t="str">
        <v>000188765</v>
      </c>
      <c r="J7" s="43">
        <v>5881.78</v>
      </c>
      <c r="K7" s="44">
        <v>11</v>
      </c>
      <c r="L7" s="45">
        <v>106.816</v>
      </c>
      <c r="M7" s="46">
        <v>192.94</v>
      </c>
      <c r="N7" s="47">
        <v>0.07</v>
      </c>
      <c r="O7" s="48">
        <f t="shared" si="11"/>
        <v>9.61344</v>
      </c>
      <c r="P7" s="49">
        <f t="shared" si="12"/>
        <v>21.3632</v>
      </c>
      <c r="Q7" s="31"/>
      <c r="R7" s="31"/>
      <c r="S7" s="31"/>
      <c r="T7" s="30">
        <v>92.61</v>
      </c>
      <c r="U7" s="33">
        <f t="shared" si="1"/>
        <v>0.479993780449881</v>
      </c>
      <c r="V7" s="34">
        <f t="shared" si="2"/>
        <v>123.58664</v>
      </c>
      <c r="W7" s="35">
        <f t="shared" si="13"/>
        <v>0.640544417953768</v>
      </c>
      <c r="X7" s="36">
        <f>(L7*'RESULTADO DIRETO'!N$27)/6*3</f>
        <v>11.165562522205</v>
      </c>
      <c r="Y7" s="35">
        <f t="shared" ref="Y7:Y70" si="18">X7/M7</f>
        <v>0.057870646430004</v>
      </c>
      <c r="Z7" s="36">
        <f>(L7*'RESULTADO DIRETO'!N$15)/6*4</f>
        <v>13.560434480762</v>
      </c>
      <c r="AA7" s="35">
        <f t="shared" si="3"/>
        <v>0.0702831682427801</v>
      </c>
      <c r="AB7" s="36">
        <f t="shared" si="14"/>
        <v>0.6315855364</v>
      </c>
      <c r="AC7" s="36">
        <f t="shared" si="4"/>
        <v>0.6315855364</v>
      </c>
      <c r="AD7" s="34"/>
      <c r="AE7" s="37">
        <f t="shared" si="15"/>
        <v>0</v>
      </c>
      <c r="AF7" s="36">
        <f t="shared" si="6"/>
        <v>13.5058</v>
      </c>
      <c r="AG7" s="36"/>
      <c r="AH7" s="36">
        <f t="shared" si="16"/>
        <v>10.03288</v>
      </c>
      <c r="AI7" s="34">
        <f t="shared" si="7"/>
        <v>23.53868</v>
      </c>
      <c r="AJ7" s="38">
        <f t="shared" si="17"/>
        <v>23.53868</v>
      </c>
      <c r="AK7" s="39">
        <f t="shared" si="8"/>
        <v>0.122</v>
      </c>
      <c r="AL7" s="38">
        <f t="shared" si="9"/>
        <v>169.40132</v>
      </c>
      <c r="AM7" s="40">
        <f t="shared" ref="AM7:AM38" si="19">AL7/M7</f>
        <v>0.878</v>
      </c>
      <c r="AN7" s="38">
        <f t="shared" si="10"/>
        <v>1.80628370281606</v>
      </c>
    </row>
    <row r="8" s="3" customFormat="1" hidden="1" spans="1:40">
      <c r="A8" s="41">
        <v>46237</v>
      </c>
      <c r="B8" s="41" t="str">
        <v>NORMAL</v>
      </c>
      <c r="C8" s="41" t="str">
        <v>DQB8989</v>
      </c>
      <c r="D8" s="42" t="str">
        <v>CTB</v>
      </c>
      <c r="E8" s="42" t="str">
        <v>PR</v>
      </c>
      <c r="F8" s="42" t="str">
        <v>TAM</v>
      </c>
      <c r="G8" s="42" t="str">
        <v>MG</v>
      </c>
      <c r="H8" s="42" t="str">
        <v>COLSON DO BRASIL LTDA</v>
      </c>
      <c r="I8" s="209" t="str">
        <v>000188760</v>
      </c>
      <c r="J8" s="43">
        <v>303.14</v>
      </c>
      <c r="K8" s="44">
        <v>1</v>
      </c>
      <c r="L8" s="45">
        <v>145.68</v>
      </c>
      <c r="M8" s="46">
        <v>219.59</v>
      </c>
      <c r="N8" s="47">
        <v>0.12</v>
      </c>
      <c r="O8" s="48">
        <f t="shared" si="11"/>
        <v>13.1112</v>
      </c>
      <c r="P8" s="49">
        <f t="shared" si="12"/>
        <v>29.136</v>
      </c>
      <c r="Q8" s="52">
        <f>L8*0.18</f>
        <v>26.2224</v>
      </c>
      <c r="R8" s="52">
        <f>L8*0.15</f>
        <v>21.852</v>
      </c>
      <c r="S8" s="31"/>
      <c r="T8" s="53">
        <v>72.84</v>
      </c>
      <c r="U8" s="33">
        <f t="shared" si="1"/>
        <v>0.331709094221048</v>
      </c>
      <c r="V8" s="34">
        <f t="shared" si="2"/>
        <v>163.1616</v>
      </c>
      <c r="W8" s="35">
        <f t="shared" si="13"/>
        <v>0.743028371055148</v>
      </c>
      <c r="X8" s="36">
        <f>(L8*'RESULTADO DIRETO'!N$27)/6*4</f>
        <v>20.3040636638059</v>
      </c>
      <c r="Y8" s="35">
        <f t="shared" si="18"/>
        <v>0.0924635168441456</v>
      </c>
      <c r="Z8" s="36">
        <f>(L8*'RESULTADO DIRETO'!N$15)/6*3</f>
        <v>13.8707035590928</v>
      </c>
      <c r="AA8" s="35">
        <f t="shared" si="3"/>
        <v>0.0631663716885686</v>
      </c>
      <c r="AB8" s="36">
        <f t="shared" si="14"/>
        <v>0.0325511732</v>
      </c>
      <c r="AC8" s="36">
        <f t="shared" si="4"/>
        <v>0.0325511732</v>
      </c>
      <c r="AD8" s="34">
        <f t="shared" si="5"/>
        <v>197.401469569299</v>
      </c>
      <c r="AE8" s="37">
        <f t="shared" si="15"/>
        <v>0.898954731860735</v>
      </c>
      <c r="AF8" s="36">
        <f t="shared" si="6"/>
        <v>26.3508</v>
      </c>
      <c r="AG8" s="36"/>
      <c r="AH8" s="36">
        <f t="shared" si="16"/>
        <v>11.41868</v>
      </c>
      <c r="AI8" s="34">
        <f t="shared" si="7"/>
        <v>37.76948</v>
      </c>
      <c r="AJ8" s="38">
        <f t="shared" si="17"/>
        <v>235.170949569299</v>
      </c>
      <c r="AK8" s="39">
        <f t="shared" si="8"/>
        <v>1.07095473186073</v>
      </c>
      <c r="AL8" s="38">
        <f t="shared" si="9"/>
        <v>-15.5809495692987</v>
      </c>
      <c r="AM8" s="40">
        <f t="shared" si="19"/>
        <v>-0.0709547318607347</v>
      </c>
      <c r="AN8" s="38">
        <f t="shared" si="10"/>
        <v>1.50734486545854</v>
      </c>
    </row>
    <row r="9" s="3" customFormat="1" spans="1:40">
      <c r="A9" s="41">
        <v>46237</v>
      </c>
      <c r="B9" s="41" t="str">
        <v>NORMAL</v>
      </c>
      <c r="C9" s="41" t="str">
        <v>DQB8989</v>
      </c>
      <c r="D9" s="42" t="str">
        <v>CTB</v>
      </c>
      <c r="E9" s="42" t="str">
        <v>PR</v>
      </c>
      <c r="F9" s="42" t="str">
        <v>SPO</v>
      </c>
      <c r="G9" s="42" t="str">
        <v>SP</v>
      </c>
      <c r="H9" s="42" t="str">
        <v>COLSON DO BRASIL LTDA</v>
      </c>
      <c r="I9" s="209" t="str">
        <v>000188767</v>
      </c>
      <c r="J9" s="43">
        <v>1713.74</v>
      </c>
      <c r="K9" s="44">
        <v>2</v>
      </c>
      <c r="L9" s="45">
        <v>11.35</v>
      </c>
      <c r="M9" s="46">
        <v>95.18</v>
      </c>
      <c r="N9" s="47">
        <v>0.12</v>
      </c>
      <c r="O9" s="48">
        <f t="shared" si="11"/>
        <v>1.0215</v>
      </c>
      <c r="P9" s="49">
        <f t="shared" si="12"/>
        <v>2.27</v>
      </c>
      <c r="Q9" s="31"/>
      <c r="R9" s="49">
        <f>L9*0.19</f>
        <v>2.1565</v>
      </c>
      <c r="S9" s="31"/>
      <c r="T9" s="30">
        <v>0</v>
      </c>
      <c r="U9" s="33">
        <f t="shared" si="1"/>
        <v>0</v>
      </c>
      <c r="V9" s="34">
        <f t="shared" si="2"/>
        <v>5.448</v>
      </c>
      <c r="W9" s="35">
        <f t="shared" si="13"/>
        <v>0.0572389157386005</v>
      </c>
      <c r="X9" s="36">
        <f>(L9*'RESULTADO DIRETO'!N$27)/6*3</f>
        <v>1.18642464262869</v>
      </c>
      <c r="Y9" s="35">
        <f t="shared" si="18"/>
        <v>0.012465062435687</v>
      </c>
      <c r="Z9" s="36">
        <f>(L9*'RESULTADO DIRETO'!N$15)/6*2</f>
        <v>0.720448862327032</v>
      </c>
      <c r="AA9" s="35">
        <f t="shared" si="3"/>
        <v>0.00756933034594486</v>
      </c>
      <c r="AB9" s="36">
        <f t="shared" si="14"/>
        <v>0.1840214012</v>
      </c>
      <c r="AC9" s="36">
        <f t="shared" si="4"/>
        <v>0.1840214012</v>
      </c>
      <c r="AD9" s="34">
        <f t="shared" si="5"/>
        <v>7.72291630735572</v>
      </c>
      <c r="AE9" s="37">
        <f t="shared" si="15"/>
        <v>0.0811401166984211</v>
      </c>
      <c r="AF9" s="36">
        <f t="shared" si="6"/>
        <v>11.4216</v>
      </c>
      <c r="AG9" s="36"/>
      <c r="AH9" s="36">
        <f t="shared" si="16"/>
        <v>4.94936</v>
      </c>
      <c r="AI9" s="34">
        <f t="shared" si="7"/>
        <v>16.37096</v>
      </c>
      <c r="AJ9" s="38">
        <f t="shared" si="17"/>
        <v>24.0938763073557</v>
      </c>
      <c r="AK9" s="39">
        <f t="shared" si="8"/>
        <v>0.253140116698421</v>
      </c>
      <c r="AL9" s="38">
        <f t="shared" si="9"/>
        <v>71.0861236926443</v>
      </c>
      <c r="AM9" s="40">
        <f t="shared" si="19"/>
        <v>0.746859883301579</v>
      </c>
      <c r="AN9" s="38">
        <f t="shared" si="10"/>
        <v>8.38590308370044</v>
      </c>
    </row>
    <row r="10" s="3" customFormat="1" hidden="1" spans="1:40">
      <c r="A10" s="41">
        <v>46237</v>
      </c>
      <c r="B10" s="41" t="str">
        <v>NORMAL</v>
      </c>
      <c r="C10" s="41" t="str">
        <v>DQB8989</v>
      </c>
      <c r="D10" s="42" t="str">
        <v>CTB</v>
      </c>
      <c r="E10" s="42" t="str">
        <v>PR</v>
      </c>
      <c r="F10" s="42" t="str">
        <v>BHZ</v>
      </c>
      <c r="G10" s="42" t="str">
        <v>MG</v>
      </c>
      <c r="H10" s="42" t="str">
        <v>COLSON DO BRASIL LTDA</v>
      </c>
      <c r="I10" s="209" t="str">
        <v>000188705</v>
      </c>
      <c r="J10" s="43">
        <v>3905.33</v>
      </c>
      <c r="K10" s="44">
        <v>7</v>
      </c>
      <c r="L10" s="45">
        <v>83.37</v>
      </c>
      <c r="M10" s="46">
        <v>177.52</v>
      </c>
      <c r="N10" s="47">
        <v>0.12</v>
      </c>
      <c r="O10" s="48">
        <f t="shared" si="11"/>
        <v>7.5033</v>
      </c>
      <c r="P10" s="49">
        <f t="shared" si="12"/>
        <v>16.674</v>
      </c>
      <c r="Q10" s="52">
        <f>L10*0.18</f>
        <v>15.0066</v>
      </c>
      <c r="R10" s="52">
        <f>L10*0.15</f>
        <v>12.5055</v>
      </c>
      <c r="S10" s="31"/>
      <c r="T10" s="54">
        <v>0</v>
      </c>
      <c r="U10" s="33">
        <f t="shared" si="1"/>
        <v>0</v>
      </c>
      <c r="V10" s="34">
        <f t="shared" si="2"/>
        <v>51.6894</v>
      </c>
      <c r="W10" s="35">
        <f t="shared" si="13"/>
        <v>0.291175078864353</v>
      </c>
      <c r="X10" s="36">
        <f>(L10*'RESULTADO DIRETO'!N$27)/6*4</f>
        <v>11.6196443413749</v>
      </c>
      <c r="Y10" s="35">
        <f t="shared" si="18"/>
        <v>0.0654554097643924</v>
      </c>
      <c r="Z10" s="36">
        <f>(L10*'RESULTADO DIRETO'!N$15)/6*3</f>
        <v>7.93794999808872</v>
      </c>
      <c r="AA10" s="35">
        <f t="shared" si="3"/>
        <v>0.0447158066589045</v>
      </c>
      <c r="AB10" s="36">
        <f t="shared" si="14"/>
        <v>0.4193543354</v>
      </c>
      <c r="AC10" s="36">
        <f t="shared" si="4"/>
        <v>0.4193543354</v>
      </c>
      <c r="AD10" s="34">
        <f>V10+X10+Z10+AB10+AC10</f>
        <v>72.0857030102637</v>
      </c>
      <c r="AE10" s="37">
        <f t="shared" si="15"/>
        <v>0.40607088221194</v>
      </c>
      <c r="AF10" s="36">
        <f t="shared" si="6"/>
        <v>21.3024</v>
      </c>
      <c r="AG10" s="36"/>
      <c r="AH10" s="36">
        <f t="shared" si="16"/>
        <v>9.23104</v>
      </c>
      <c r="AI10" s="34">
        <f t="shared" si="7"/>
        <v>30.53344</v>
      </c>
      <c r="AJ10" s="38">
        <f t="shared" si="17"/>
        <v>102.619143010264</v>
      </c>
      <c r="AK10" s="39">
        <f t="shared" si="8"/>
        <v>0.57807088221194</v>
      </c>
      <c r="AL10" s="38">
        <f t="shared" si="9"/>
        <v>74.9008569897364</v>
      </c>
      <c r="AM10" s="40">
        <f t="shared" si="19"/>
        <v>0.42192911778806</v>
      </c>
      <c r="AN10" s="38">
        <f t="shared" si="10"/>
        <v>2.12930310663308</v>
      </c>
    </row>
    <row r="11" s="3" customFormat="1" spans="1:40">
      <c r="A11" s="41">
        <v>46237</v>
      </c>
      <c r="B11" s="41" t="str">
        <v>NORMAL</v>
      </c>
      <c r="C11" s="41" t="str">
        <v>DQB8989</v>
      </c>
      <c r="D11" s="42" t="str">
        <v>CTB</v>
      </c>
      <c r="E11" s="42" t="str">
        <v>PR</v>
      </c>
      <c r="F11" s="42" t="str">
        <v>SPO</v>
      </c>
      <c r="G11" s="42" t="str">
        <v>SP</v>
      </c>
      <c r="H11" s="42" t="str">
        <v>COLSON DO BRASIL LTDA</v>
      </c>
      <c r="I11" s="209" t="str">
        <v>000187858</v>
      </c>
      <c r="J11" s="43">
        <v>1375.97</v>
      </c>
      <c r="K11" s="44">
        <v>4</v>
      </c>
      <c r="L11" s="45">
        <v>39.4</v>
      </c>
      <c r="M11" s="46">
        <v>397</v>
      </c>
      <c r="N11" s="47">
        <v>0.12</v>
      </c>
      <c r="O11" s="48">
        <f t="shared" si="11"/>
        <v>3.546</v>
      </c>
      <c r="P11" s="49">
        <f t="shared" si="12"/>
        <v>7.88</v>
      </c>
      <c r="Q11" s="31"/>
      <c r="R11" s="49">
        <f>L11*0.19</f>
        <v>7.486</v>
      </c>
      <c r="S11" s="31"/>
      <c r="T11" s="30">
        <v>0</v>
      </c>
      <c r="U11" s="33">
        <f t="shared" si="1"/>
        <v>0</v>
      </c>
      <c r="V11" s="34">
        <f t="shared" si="2"/>
        <v>18.912</v>
      </c>
      <c r="W11" s="35">
        <f t="shared" si="13"/>
        <v>0.0476372795969773</v>
      </c>
      <c r="X11" s="36">
        <f>(L11*'RESULTADO DIRETO'!N$27)/6*3</f>
        <v>4.11851373740709</v>
      </c>
      <c r="Y11" s="35">
        <f t="shared" si="18"/>
        <v>0.0103740900186577</v>
      </c>
      <c r="Z11" s="36">
        <f>(L11*'RESULTADO DIRETO'!N$15)/6*2</f>
        <v>2.50094142517049</v>
      </c>
      <c r="AA11" s="35">
        <f t="shared" si="3"/>
        <v>0.00629960056718007</v>
      </c>
      <c r="AB11" s="36">
        <f t="shared" si="14"/>
        <v>0.1477516586</v>
      </c>
      <c r="AC11" s="36">
        <f t="shared" si="4"/>
        <v>0.1477516586</v>
      </c>
      <c r="AD11" s="34">
        <f>V11+X11+Z11+AB11+AC11</f>
        <v>25.8269584797776</v>
      </c>
      <c r="AE11" s="37">
        <f t="shared" si="15"/>
        <v>0.0650553110321853</v>
      </c>
      <c r="AF11" s="36">
        <f t="shared" si="6"/>
        <v>47.64</v>
      </c>
      <c r="AG11" s="36"/>
      <c r="AH11" s="36">
        <f t="shared" si="16"/>
        <v>20.644</v>
      </c>
      <c r="AI11" s="34">
        <f t="shared" si="7"/>
        <v>68.284</v>
      </c>
      <c r="AJ11" s="38">
        <f t="shared" si="17"/>
        <v>94.1109584797776</v>
      </c>
      <c r="AK11" s="39">
        <f t="shared" si="8"/>
        <v>0.237055311032185</v>
      </c>
      <c r="AL11" s="38">
        <f t="shared" si="9"/>
        <v>302.889041520222</v>
      </c>
      <c r="AM11" s="40">
        <f t="shared" si="19"/>
        <v>0.762944688967815</v>
      </c>
      <c r="AN11" s="38">
        <f t="shared" si="10"/>
        <v>10.0761421319797</v>
      </c>
    </row>
    <row r="12" s="3" customFormat="1" hidden="1" spans="1:40">
      <c r="A12" s="41">
        <v>46237</v>
      </c>
      <c r="B12" s="41" t="str">
        <v>NORMAL</v>
      </c>
      <c r="C12" s="41" t="str">
        <v>DQB8989</v>
      </c>
      <c r="D12" s="42" t="str">
        <v>CTB</v>
      </c>
      <c r="E12" s="42" t="str">
        <v>PR</v>
      </c>
      <c r="F12" s="42" t="str">
        <v>RJO</v>
      </c>
      <c r="G12" s="42" t="str">
        <v>RJ</v>
      </c>
      <c r="H12" s="42" t="str">
        <v>COLSON DO BRASIL LTDA</v>
      </c>
      <c r="I12" s="209" t="str">
        <v>000188526</v>
      </c>
      <c r="J12" s="43">
        <v>1903.24</v>
      </c>
      <c r="K12" s="44">
        <v>9</v>
      </c>
      <c r="L12" s="45">
        <v>55.6</v>
      </c>
      <c r="M12" s="46">
        <v>429.09</v>
      </c>
      <c r="N12" s="47">
        <v>0.12</v>
      </c>
      <c r="O12" s="48">
        <f t="shared" si="11"/>
        <v>5.004</v>
      </c>
      <c r="P12" s="49">
        <f t="shared" si="12"/>
        <v>11.12</v>
      </c>
      <c r="Q12" s="50">
        <f t="shared" ref="Q12:Q16" si="20">L12*0.18</f>
        <v>10.008</v>
      </c>
      <c r="R12" s="50">
        <f t="shared" ref="R12:R16" si="21">M12*0.22</f>
        <v>94.3998</v>
      </c>
      <c r="S12" s="31"/>
      <c r="T12" s="51">
        <v>0</v>
      </c>
      <c r="U12" s="33">
        <f t="shared" si="1"/>
        <v>0</v>
      </c>
      <c r="V12" s="34">
        <f t="shared" si="2"/>
        <v>120.5318</v>
      </c>
      <c r="W12" s="35">
        <f t="shared" si="13"/>
        <v>0.28090097648512</v>
      </c>
      <c r="X12" s="36">
        <f>(L12*'RESULTADO DIRETO'!N$27)/6*4</f>
        <v>7.74921704906377</v>
      </c>
      <c r="Y12" s="35">
        <f t="shared" si="18"/>
        <v>0.0180596542661534</v>
      </c>
      <c r="Z12" s="36">
        <f>(L12*'RESULTADO DIRETO'!N$15)/6*3</f>
        <v>5.29387093551317</v>
      </c>
      <c r="AA12" s="35">
        <f t="shared" si="3"/>
        <v>0.0123374372171646</v>
      </c>
      <c r="AB12" s="36">
        <f t="shared" si="14"/>
        <v>0.2043699112</v>
      </c>
      <c r="AC12" s="36">
        <f t="shared" si="4"/>
        <v>0.2043699112</v>
      </c>
      <c r="AD12" s="34">
        <f t="shared" ref="AD12:AD18" si="22">V12+X12+Z12+AB12+AC12</f>
        <v>133.983627806977</v>
      </c>
      <c r="AE12" s="37">
        <f t="shared" si="15"/>
        <v>0.312250641606602</v>
      </c>
      <c r="AF12" s="36">
        <f t="shared" si="6"/>
        <v>51.4908</v>
      </c>
      <c r="AG12" s="36"/>
      <c r="AH12" s="36">
        <f t="shared" si="16"/>
        <v>22.31268</v>
      </c>
      <c r="AI12" s="34">
        <f t="shared" si="7"/>
        <v>73.80348</v>
      </c>
      <c r="AJ12" s="38">
        <f t="shared" si="17"/>
        <v>207.787107806977</v>
      </c>
      <c r="AK12" s="39">
        <f t="shared" si="8"/>
        <v>0.484250641606602</v>
      </c>
      <c r="AL12" s="38">
        <f t="shared" si="9"/>
        <v>221.302892193023</v>
      </c>
      <c r="AM12" s="40">
        <f t="shared" si="19"/>
        <v>0.515749358393398</v>
      </c>
      <c r="AN12" s="38">
        <f t="shared" si="10"/>
        <v>7.71744604316547</v>
      </c>
    </row>
    <row r="13" s="3" customFormat="1" hidden="1" spans="1:40">
      <c r="A13" s="41">
        <v>46238</v>
      </c>
      <c r="B13" s="41" t="str">
        <v>NORMAL</v>
      </c>
      <c r="C13" s="41" t="str">
        <v>DQB8989</v>
      </c>
      <c r="D13" s="42" t="str">
        <v>CTB</v>
      </c>
      <c r="E13" s="42" t="str">
        <v>PR</v>
      </c>
      <c r="F13" s="42" t="str">
        <v>RJO</v>
      </c>
      <c r="G13" s="42" t="str">
        <v>RJ</v>
      </c>
      <c r="H13" s="42" t="str">
        <v>COLSON DO BRASIL LTDA</v>
      </c>
      <c r="I13" s="209" t="str">
        <v>000188840</v>
      </c>
      <c r="J13" s="43">
        <v>3711.94</v>
      </c>
      <c r="K13" s="44">
        <v>13</v>
      </c>
      <c r="L13" s="45">
        <v>125.756</v>
      </c>
      <c r="M13" s="46">
        <v>196.3</v>
      </c>
      <c r="N13" s="47">
        <v>0.12</v>
      </c>
      <c r="O13" s="48">
        <f t="shared" si="11"/>
        <v>11.31804</v>
      </c>
      <c r="P13" s="49">
        <f t="shared" si="12"/>
        <v>25.1512</v>
      </c>
      <c r="Q13" s="50">
        <f t="shared" si="20"/>
        <v>22.63608</v>
      </c>
      <c r="R13" s="50">
        <f t="shared" si="21"/>
        <v>43.186</v>
      </c>
      <c r="S13" s="31"/>
      <c r="T13" s="51">
        <v>0</v>
      </c>
      <c r="U13" s="33">
        <f t="shared" si="1"/>
        <v>0</v>
      </c>
      <c r="V13" s="34">
        <f t="shared" si="2"/>
        <v>102.29132</v>
      </c>
      <c r="W13" s="35">
        <f t="shared" si="13"/>
        <v>0.521096892511462</v>
      </c>
      <c r="X13" s="36">
        <f>(L13*'RESULTADO DIRETO'!N$27)/6*4</f>
        <v>17.5271679716198</v>
      </c>
      <c r="Y13" s="35">
        <f t="shared" si="18"/>
        <v>0.0892876615976558</v>
      </c>
      <c r="Z13" s="36">
        <f>(L13*'RESULTADO DIRETO'!N$15)/6*3</f>
        <v>11.9736696648632</v>
      </c>
      <c r="AA13" s="35">
        <f t="shared" si="3"/>
        <v>0.0609967889193235</v>
      </c>
      <c r="AB13" s="36">
        <f t="shared" si="14"/>
        <v>0.3985881172</v>
      </c>
      <c r="AC13" s="36">
        <f t="shared" si="4"/>
        <v>0.3985881172</v>
      </c>
      <c r="AD13" s="34">
        <f t="shared" si="22"/>
        <v>132.589333870883</v>
      </c>
      <c r="AE13" s="37">
        <f t="shared" si="15"/>
        <v>0.675442352882746</v>
      </c>
      <c r="AF13" s="36">
        <f t="shared" si="6"/>
        <v>23.556</v>
      </c>
      <c r="AG13" s="36"/>
      <c r="AH13" s="36">
        <f t="shared" si="16"/>
        <v>10.2076</v>
      </c>
      <c r="AI13" s="34">
        <f t="shared" si="7"/>
        <v>33.7636</v>
      </c>
      <c r="AJ13" s="38">
        <f t="shared" si="17"/>
        <v>166.352933870883</v>
      </c>
      <c r="AK13" s="39">
        <f t="shared" si="8"/>
        <v>0.847442352882746</v>
      </c>
      <c r="AL13" s="38">
        <f t="shared" si="9"/>
        <v>29.947066129117</v>
      </c>
      <c r="AM13" s="40">
        <f t="shared" si="19"/>
        <v>0.152557647117254</v>
      </c>
      <c r="AN13" s="38">
        <f t="shared" si="10"/>
        <v>1.56095931804447</v>
      </c>
    </row>
    <row r="14" s="3" customFormat="1" hidden="1" spans="1:40">
      <c r="A14" s="41">
        <v>46238</v>
      </c>
      <c r="B14" s="41" t="str">
        <v>NORMAL</v>
      </c>
      <c r="C14" s="41" t="str">
        <v>DQB8989</v>
      </c>
      <c r="D14" s="42" t="str">
        <v>CTB</v>
      </c>
      <c r="E14" s="42" t="str">
        <v>PR</v>
      </c>
      <c r="F14" s="42" t="str">
        <v>TRU</v>
      </c>
      <c r="G14" s="42" t="str">
        <v>MG</v>
      </c>
      <c r="H14" s="42" t="str">
        <v>COLSON DO BRASIL LTDA</v>
      </c>
      <c r="I14" s="209" t="str">
        <v>000188806</v>
      </c>
      <c r="J14" s="43">
        <v>8494.14</v>
      </c>
      <c r="K14" s="44">
        <v>19</v>
      </c>
      <c r="L14" s="45">
        <v>235.713</v>
      </c>
      <c r="M14" s="46">
        <v>422.6</v>
      </c>
      <c r="N14" s="47">
        <v>0.12</v>
      </c>
      <c r="O14" s="48">
        <f t="shared" si="11"/>
        <v>21.21417</v>
      </c>
      <c r="P14" s="49">
        <f t="shared" si="12"/>
        <v>47.1426</v>
      </c>
      <c r="Q14" s="31"/>
      <c r="R14" s="49">
        <f>L14*0.09</f>
        <v>21.21417</v>
      </c>
      <c r="S14" s="31"/>
      <c r="T14" s="53">
        <v>161.4</v>
      </c>
      <c r="U14" s="33">
        <f t="shared" si="1"/>
        <v>0.381921438712731</v>
      </c>
      <c r="V14" s="34">
        <f t="shared" si="2"/>
        <v>250.97094</v>
      </c>
      <c r="W14" s="35">
        <f t="shared" si="13"/>
        <v>0.593873497397066</v>
      </c>
      <c r="X14" s="36">
        <f>(L14*'RESULTADO DIRETO'!N$27)/6*3</f>
        <v>24.6392697610517</v>
      </c>
      <c r="Y14" s="35">
        <f t="shared" si="18"/>
        <v>0.0583039984880542</v>
      </c>
      <c r="Z14" s="36">
        <f>(L14*'RESULTADO DIRETO'!N$15)/6*2</f>
        <v>14.9620407652592</v>
      </c>
      <c r="AA14" s="35">
        <f t="shared" si="3"/>
        <v>0.0354047344185025</v>
      </c>
      <c r="AB14" s="36">
        <f t="shared" si="14"/>
        <v>0.9121007532</v>
      </c>
      <c r="AC14" s="36">
        <f t="shared" si="4"/>
        <v>0.9121007532</v>
      </c>
      <c r="AD14" s="34">
        <f>V14+X14+Z14+AB14+AC14</f>
        <v>292.396452032711</v>
      </c>
      <c r="AE14" s="37">
        <f t="shared" si="15"/>
        <v>0.691898845321133</v>
      </c>
      <c r="AF14" s="36">
        <f t="shared" si="6"/>
        <v>50.712</v>
      </c>
      <c r="AG14" s="36"/>
      <c r="AH14" s="36">
        <f t="shared" si="16"/>
        <v>21.9752</v>
      </c>
      <c r="AI14" s="34">
        <f t="shared" si="7"/>
        <v>72.6872</v>
      </c>
      <c r="AJ14" s="38">
        <f t="shared" si="17"/>
        <v>365.083652032711</v>
      </c>
      <c r="AK14" s="39">
        <f t="shared" si="8"/>
        <v>0.863898845321133</v>
      </c>
      <c r="AL14" s="38">
        <f t="shared" si="9"/>
        <v>57.5163479672892</v>
      </c>
      <c r="AM14" s="40">
        <f t="shared" si="19"/>
        <v>0.136101154678867</v>
      </c>
      <c r="AN14" s="38">
        <f t="shared" si="10"/>
        <v>1.79285826407538</v>
      </c>
    </row>
    <row r="15" s="3" customFormat="1" hidden="1" spans="1:40">
      <c r="A15" s="41">
        <v>46238</v>
      </c>
      <c r="B15" s="41" t="str">
        <v>NORMAL</v>
      </c>
      <c r="C15" s="41" t="str">
        <v>DQB8989</v>
      </c>
      <c r="D15" s="42" t="str">
        <v>CTB</v>
      </c>
      <c r="E15" s="42" t="str">
        <v>PR</v>
      </c>
      <c r="F15" s="42" t="str">
        <v>VEA</v>
      </c>
      <c r="G15" s="42" t="str">
        <v>MG</v>
      </c>
      <c r="H15" s="42" t="str">
        <v>COLSON DO BRASIL LTDA</v>
      </c>
      <c r="I15" s="209" t="str">
        <v>000188808</v>
      </c>
      <c r="J15" s="43">
        <v>6209.05</v>
      </c>
      <c r="K15" s="44">
        <v>17</v>
      </c>
      <c r="L15" s="45">
        <v>210.65</v>
      </c>
      <c r="M15" s="46">
        <v>375.43</v>
      </c>
      <c r="N15" s="47">
        <v>0.12</v>
      </c>
      <c r="O15" s="48">
        <f t="shared" si="11"/>
        <v>18.9585</v>
      </c>
      <c r="P15" s="49">
        <f t="shared" si="12"/>
        <v>42.13</v>
      </c>
      <c r="Q15" s="55">
        <f>L15*0.18</f>
        <v>37.917</v>
      </c>
      <c r="R15" s="55">
        <f>L15*0.06</f>
        <v>12.639</v>
      </c>
      <c r="S15" s="31"/>
      <c r="T15" s="53">
        <v>112.63</v>
      </c>
      <c r="U15" s="33">
        <f t="shared" si="1"/>
        <v>0.300002663612391</v>
      </c>
      <c r="V15" s="34">
        <f t="shared" si="2"/>
        <v>224.2745</v>
      </c>
      <c r="W15" s="35">
        <f t="shared" si="13"/>
        <v>0.597380337213329</v>
      </c>
      <c r="X15" s="36">
        <f>(L15*'RESULTADO DIRETO'!N$27)/6*4</f>
        <v>29.3592189098072</v>
      </c>
      <c r="Y15" s="35">
        <f t="shared" si="18"/>
        <v>0.0782015792819094</v>
      </c>
      <c r="Z15" s="36">
        <f>(L15*'RESULTADO DIRETO'!N$15)/6*3</f>
        <v>20.0567250461484</v>
      </c>
      <c r="AA15" s="35">
        <f t="shared" si="3"/>
        <v>0.0534233413583048</v>
      </c>
      <c r="AB15" s="36">
        <f t="shared" si="14"/>
        <v>0.666727789</v>
      </c>
      <c r="AC15" s="36">
        <f t="shared" si="4"/>
        <v>0.666727789</v>
      </c>
      <c r="AD15" s="34">
        <f t="shared" si="22"/>
        <v>275.023899533956</v>
      </c>
      <c r="AE15" s="37">
        <f t="shared" si="15"/>
        <v>0.732557066654118</v>
      </c>
      <c r="AF15" s="36">
        <f t="shared" si="6"/>
        <v>45.0516</v>
      </c>
      <c r="AG15" s="36"/>
      <c r="AH15" s="36">
        <f t="shared" si="16"/>
        <v>19.52236</v>
      </c>
      <c r="AI15" s="34">
        <f t="shared" si="7"/>
        <v>64.57396</v>
      </c>
      <c r="AJ15" s="38">
        <f t="shared" si="17"/>
        <v>339.597859533956</v>
      </c>
      <c r="AK15" s="39">
        <f t="shared" si="8"/>
        <v>0.904557066654118</v>
      </c>
      <c r="AL15" s="38">
        <f t="shared" si="9"/>
        <v>35.8321404660445</v>
      </c>
      <c r="AM15" s="40">
        <f t="shared" si="19"/>
        <v>0.0954429333458819</v>
      </c>
      <c r="AN15" s="38">
        <f t="shared" si="10"/>
        <v>1.7822454308094</v>
      </c>
    </row>
    <row r="16" s="3" customFormat="1" hidden="1" spans="1:40">
      <c r="A16" s="41">
        <v>46238</v>
      </c>
      <c r="B16" s="41" t="str">
        <v>NORMAL</v>
      </c>
      <c r="C16" s="41" t="str">
        <v>DQB8989</v>
      </c>
      <c r="D16" s="42" t="str">
        <v>CTB</v>
      </c>
      <c r="E16" s="42" t="str">
        <v>PR</v>
      </c>
      <c r="F16" s="42" t="str">
        <v>MVG</v>
      </c>
      <c r="G16" s="42" t="str">
        <v>RJ</v>
      </c>
      <c r="H16" s="42" t="str">
        <v>COLSON DO BRASIL LTDA</v>
      </c>
      <c r="I16" s="209" t="str">
        <v>000188845</v>
      </c>
      <c r="J16" s="43">
        <v>3835.45</v>
      </c>
      <c r="K16" s="44">
        <v>10</v>
      </c>
      <c r="L16" s="45">
        <v>80.92</v>
      </c>
      <c r="M16" s="46">
        <v>210.13</v>
      </c>
      <c r="N16" s="47">
        <v>0.12</v>
      </c>
      <c r="O16" s="48">
        <f t="shared" si="11"/>
        <v>7.2828</v>
      </c>
      <c r="P16" s="49">
        <f t="shared" si="12"/>
        <v>16.184</v>
      </c>
      <c r="Q16" s="50">
        <f t="shared" si="20"/>
        <v>14.5656</v>
      </c>
      <c r="R16" s="50">
        <f t="shared" si="21"/>
        <v>46.2286</v>
      </c>
      <c r="S16" s="31"/>
      <c r="T16" s="53">
        <v>68.82</v>
      </c>
      <c r="U16" s="33">
        <f t="shared" si="1"/>
        <v>0.327511540474944</v>
      </c>
      <c r="V16" s="34">
        <f t="shared" si="2"/>
        <v>153.081</v>
      </c>
      <c r="W16" s="35">
        <f t="shared" si="13"/>
        <v>0.728506162851568</v>
      </c>
      <c r="X16" s="36">
        <f>(L16*'RESULTADO DIRETO'!N$27)/6*4</f>
        <v>11.2781770433496</v>
      </c>
      <c r="Y16" s="35">
        <f t="shared" si="18"/>
        <v>0.0536723792097732</v>
      </c>
      <c r="Z16" s="36">
        <f>(L16*'RESULTADO DIRETO'!N$15)/6*3</f>
        <v>7.70467690830442</v>
      </c>
      <c r="AA16" s="35">
        <f t="shared" si="3"/>
        <v>0.0366662395103242</v>
      </c>
      <c r="AB16" s="36">
        <f t="shared" si="14"/>
        <v>0.411850621</v>
      </c>
      <c r="AC16" s="36">
        <f t="shared" si="4"/>
        <v>0.411850621</v>
      </c>
      <c r="AD16" s="34">
        <f t="shared" si="22"/>
        <v>172.887555193654</v>
      </c>
      <c r="AE16" s="37">
        <f t="shared" si="15"/>
        <v>0.822764741796288</v>
      </c>
      <c r="AF16" s="36">
        <f t="shared" si="6"/>
        <v>25.2156</v>
      </c>
      <c r="AG16" s="36"/>
      <c r="AH16" s="36">
        <f t="shared" si="16"/>
        <v>10.92676</v>
      </c>
      <c r="AI16" s="34">
        <f t="shared" si="7"/>
        <v>36.14236</v>
      </c>
      <c r="AJ16" s="38">
        <f t="shared" si="17"/>
        <v>209.029915193654</v>
      </c>
      <c r="AK16" s="39">
        <f t="shared" si="8"/>
        <v>0.994764741796288</v>
      </c>
      <c r="AL16" s="38">
        <f t="shared" si="9"/>
        <v>1.10008480634593</v>
      </c>
      <c r="AM16" s="40">
        <f t="shared" si="19"/>
        <v>0.00523525820371167</v>
      </c>
      <c r="AN16" s="38">
        <f t="shared" si="10"/>
        <v>2.59676223430549</v>
      </c>
    </row>
    <row r="17" s="3" customFormat="1" spans="1:40">
      <c r="A17" s="41">
        <v>46238</v>
      </c>
      <c r="B17" s="41" t="str">
        <v>NORMAL</v>
      </c>
      <c r="C17" s="41" t="str">
        <v>DQB8989</v>
      </c>
      <c r="D17" s="42" t="str">
        <v>CTB</v>
      </c>
      <c r="E17" s="42" t="str">
        <v>PR</v>
      </c>
      <c r="F17" s="42" t="str">
        <v>PSP</v>
      </c>
      <c r="G17" s="42" t="str">
        <v>SP</v>
      </c>
      <c r="H17" s="42" t="str">
        <v>COLSON DO BRASIL LTDA</v>
      </c>
      <c r="I17" s="209" t="str">
        <v>000188788</v>
      </c>
      <c r="J17" s="43">
        <v>5585.62</v>
      </c>
      <c r="K17" s="44">
        <v>5</v>
      </c>
      <c r="L17" s="45">
        <v>29.48</v>
      </c>
      <c r="M17" s="46">
        <v>166.34</v>
      </c>
      <c r="N17" s="47">
        <v>0.12</v>
      </c>
      <c r="O17" s="48">
        <f t="shared" si="11"/>
        <v>2.6532</v>
      </c>
      <c r="P17" s="49">
        <f t="shared" si="12"/>
        <v>5.896</v>
      </c>
      <c r="Q17" s="31"/>
      <c r="R17" s="49">
        <f>L17*0</f>
        <v>0</v>
      </c>
      <c r="S17" s="31"/>
      <c r="T17" s="53">
        <v>49.5</v>
      </c>
      <c r="U17" s="33">
        <f t="shared" si="1"/>
        <v>0.297583263195864</v>
      </c>
      <c r="V17" s="34">
        <f t="shared" si="2"/>
        <v>58.0492</v>
      </c>
      <c r="W17" s="35">
        <f t="shared" si="13"/>
        <v>0.348979199230492</v>
      </c>
      <c r="X17" s="36">
        <f>(L17*'RESULTADO DIRETO'!N$27)/6*3</f>
        <v>3.08156814666906</v>
      </c>
      <c r="Y17" s="35">
        <f t="shared" si="18"/>
        <v>0.0185257192898224</v>
      </c>
      <c r="Z17" s="36">
        <f>(L17*'RESULTADO DIRETO'!N$15)/6*2</f>
        <v>1.87126277192959</v>
      </c>
      <c r="AA17" s="35">
        <f t="shared" si="3"/>
        <v>0.0112496258983383</v>
      </c>
      <c r="AB17" s="36">
        <f t="shared" si="14"/>
        <v>0.5997838756</v>
      </c>
      <c r="AC17" s="36">
        <f t="shared" si="4"/>
        <v>0.5997838756</v>
      </c>
      <c r="AD17" s="34">
        <f t="shared" si="22"/>
        <v>64.2015986697987</v>
      </c>
      <c r="AE17" s="37">
        <f t="shared" si="15"/>
        <v>0.385966085546463</v>
      </c>
      <c r="AF17" s="36">
        <f t="shared" si="6"/>
        <v>19.9608</v>
      </c>
      <c r="AG17" s="36"/>
      <c r="AH17" s="36">
        <f t="shared" si="16"/>
        <v>8.64968</v>
      </c>
      <c r="AI17" s="34">
        <f t="shared" si="7"/>
        <v>28.61048</v>
      </c>
      <c r="AJ17" s="38">
        <f t="shared" si="17"/>
        <v>92.8120786697987</v>
      </c>
      <c r="AK17" s="39">
        <f t="shared" si="8"/>
        <v>0.557966085546463</v>
      </c>
      <c r="AL17" s="38">
        <f t="shared" si="9"/>
        <v>73.5279213302014</v>
      </c>
      <c r="AM17" s="40">
        <f t="shared" si="19"/>
        <v>0.442033914453537</v>
      </c>
      <c r="AN17" s="38">
        <f t="shared" si="10"/>
        <v>5.64246947082768</v>
      </c>
    </row>
    <row r="18" s="3" customFormat="1" spans="1:40">
      <c r="A18" s="41">
        <v>46238</v>
      </c>
      <c r="B18" s="41" t="str">
        <v>NORMAL</v>
      </c>
      <c r="C18" s="41" t="str">
        <v>DQB8989</v>
      </c>
      <c r="D18" s="42" t="str">
        <v>CTB</v>
      </c>
      <c r="E18" s="42" t="str">
        <v>PR</v>
      </c>
      <c r="F18" s="42" t="str">
        <v>SPO</v>
      </c>
      <c r="G18" s="42" t="str">
        <v>SP</v>
      </c>
      <c r="H18" s="42" t="str">
        <v>COLSON DO BRASIL LTDA</v>
      </c>
      <c r="I18" s="209" t="str">
        <v>000188778</v>
      </c>
      <c r="J18" s="43">
        <v>1332.17</v>
      </c>
      <c r="K18" s="44">
        <v>3</v>
      </c>
      <c r="L18" s="45">
        <v>35</v>
      </c>
      <c r="M18" s="46">
        <v>396.82</v>
      </c>
      <c r="N18" s="47">
        <v>0.12</v>
      </c>
      <c r="O18" s="48">
        <f t="shared" si="11"/>
        <v>3.15</v>
      </c>
      <c r="P18" s="49">
        <f t="shared" si="12"/>
        <v>7</v>
      </c>
      <c r="Q18" s="31"/>
      <c r="R18" s="49">
        <f t="shared" ref="R18:R23" si="23">L18*0.19</f>
        <v>6.65</v>
      </c>
      <c r="S18" s="31"/>
      <c r="T18" s="30">
        <v>0</v>
      </c>
      <c r="U18" s="33">
        <f t="shared" si="1"/>
        <v>0</v>
      </c>
      <c r="V18" s="34">
        <f t="shared" si="2"/>
        <v>16.8</v>
      </c>
      <c r="W18" s="35">
        <f t="shared" si="13"/>
        <v>0.0423365757774306</v>
      </c>
      <c r="X18" s="36">
        <f>(L18*'RESULTADO DIRETO'!N$27)/6*3</f>
        <v>3.65857819312813</v>
      </c>
      <c r="Y18" s="35">
        <f t="shared" si="18"/>
        <v>0.00921974243518</v>
      </c>
      <c r="Z18" s="36">
        <f>(L18*'RESULTADO DIRETO'!N$15)/6*2</f>
        <v>2.22164847413622</v>
      </c>
      <c r="AA18" s="35">
        <f t="shared" si="3"/>
        <v>0.00559863029619531</v>
      </c>
      <c r="AB18" s="36">
        <f t="shared" si="14"/>
        <v>0.1430484146</v>
      </c>
      <c r="AC18" s="36">
        <f t="shared" si="4"/>
        <v>0.1430484146</v>
      </c>
      <c r="AD18" s="34">
        <f t="shared" si="22"/>
        <v>22.9663234964643</v>
      </c>
      <c r="AE18" s="37">
        <f t="shared" si="15"/>
        <v>0.0578759223236338</v>
      </c>
      <c r="AF18" s="36">
        <f t="shared" si="6"/>
        <v>47.6184</v>
      </c>
      <c r="AG18" s="36"/>
      <c r="AH18" s="36">
        <f t="shared" si="16"/>
        <v>20.63464</v>
      </c>
      <c r="AI18" s="34">
        <f t="shared" si="7"/>
        <v>68.25304</v>
      </c>
      <c r="AJ18" s="38">
        <f t="shared" si="17"/>
        <v>91.2193634964644</v>
      </c>
      <c r="AK18" s="39">
        <f t="shared" si="8"/>
        <v>0.229875922323634</v>
      </c>
      <c r="AL18" s="38">
        <f t="shared" si="9"/>
        <v>305.600636503536</v>
      </c>
      <c r="AM18" s="40">
        <f t="shared" si="19"/>
        <v>0.770124077676366</v>
      </c>
      <c r="AN18" s="38">
        <f t="shared" si="10"/>
        <v>11.3377142857143</v>
      </c>
    </row>
    <row r="19" s="3" customFormat="1" hidden="1" spans="1:40">
      <c r="A19" s="41">
        <v>46238</v>
      </c>
      <c r="B19" s="41" t="str">
        <v>NORMAL</v>
      </c>
      <c r="C19" s="41" t="str">
        <v>DQB8989</v>
      </c>
      <c r="D19" s="42" t="str">
        <v>CTB</v>
      </c>
      <c r="E19" s="42" t="str">
        <v>PR</v>
      </c>
      <c r="F19" s="42" t="str">
        <v>RJO</v>
      </c>
      <c r="G19" s="42" t="str">
        <v>RJ</v>
      </c>
      <c r="H19" s="42" t="str">
        <v>COLSON DO BRASIL LTDA</v>
      </c>
      <c r="I19" s="209" t="str">
        <v>000188799</v>
      </c>
      <c r="J19" s="43">
        <v>5349.3</v>
      </c>
      <c r="K19" s="44">
        <v>15</v>
      </c>
      <c r="L19" s="45">
        <v>148.6</v>
      </c>
      <c r="M19" s="46">
        <v>513.05</v>
      </c>
      <c r="N19" s="47">
        <v>0.12</v>
      </c>
      <c r="O19" s="48">
        <f t="shared" si="11"/>
        <v>13.374</v>
      </c>
      <c r="P19" s="49">
        <f t="shared" si="12"/>
        <v>29.72</v>
      </c>
      <c r="Q19" s="50">
        <f t="shared" ref="Q19:Q24" si="24">L19*0.18</f>
        <v>26.748</v>
      </c>
      <c r="R19" s="50">
        <f t="shared" ref="R19:R24" si="25">M19*0.22</f>
        <v>112.871</v>
      </c>
      <c r="S19" s="31"/>
      <c r="T19" s="51">
        <v>0</v>
      </c>
      <c r="U19" s="33">
        <f t="shared" si="1"/>
        <v>0</v>
      </c>
      <c r="V19" s="34">
        <f t="shared" si="2"/>
        <v>182.713</v>
      </c>
      <c r="W19" s="35">
        <f t="shared" si="13"/>
        <v>0.35613098138583</v>
      </c>
      <c r="X19" s="36">
        <f>(L19*'RESULTADO DIRETO'!N$27)/6*4</f>
        <v>20.7110369332891</v>
      </c>
      <c r="Y19" s="35">
        <f t="shared" si="18"/>
        <v>0.0403684571353457</v>
      </c>
      <c r="Z19" s="36">
        <f>(L19*'RESULTADO DIRETO'!N$15)/6*3</f>
        <v>14.1487269967133</v>
      </c>
      <c r="AA19" s="35">
        <f t="shared" si="3"/>
        <v>0.0275776766332974</v>
      </c>
      <c r="AB19" s="36">
        <f t="shared" si="14"/>
        <v>0.574407834</v>
      </c>
      <c r="AC19" s="36">
        <f t="shared" si="4"/>
        <v>0.574407834</v>
      </c>
      <c r="AD19" s="34">
        <f t="shared" ref="AD19:AD23" si="26">V19+X19+Z19+AB19+AC19</f>
        <v>218.721579598002</v>
      </c>
      <c r="AE19" s="37">
        <f t="shared" si="15"/>
        <v>0.426316303670212</v>
      </c>
      <c r="AF19" s="36">
        <f t="shared" si="6"/>
        <v>61.566</v>
      </c>
      <c r="AG19" s="36"/>
      <c r="AH19" s="36">
        <f t="shared" si="16"/>
        <v>26.6786</v>
      </c>
      <c r="AI19" s="34">
        <f t="shared" si="7"/>
        <v>88.2446</v>
      </c>
      <c r="AJ19" s="38">
        <f t="shared" si="17"/>
        <v>306.966179598002</v>
      </c>
      <c r="AK19" s="39">
        <f t="shared" si="8"/>
        <v>0.598316303670212</v>
      </c>
      <c r="AL19" s="38">
        <f t="shared" si="9"/>
        <v>206.083820401998</v>
      </c>
      <c r="AM19" s="40">
        <f t="shared" si="19"/>
        <v>0.401683696329788</v>
      </c>
      <c r="AN19" s="38">
        <f t="shared" si="10"/>
        <v>3.45255720053836</v>
      </c>
    </row>
    <row r="20" s="3" customFormat="1" hidden="1" spans="1:40">
      <c r="A20" s="41">
        <v>46238</v>
      </c>
      <c r="B20" s="41" t="str">
        <v>NORMAL</v>
      </c>
      <c r="C20" s="41" t="str">
        <v>DQB8989</v>
      </c>
      <c r="D20" s="42" t="str">
        <v>CTB</v>
      </c>
      <c r="E20" s="42" t="str">
        <v>PR</v>
      </c>
      <c r="F20" s="42" t="str">
        <v>EPS</v>
      </c>
      <c r="G20" s="42" t="str">
        <v>ES</v>
      </c>
      <c r="H20" s="42" t="str">
        <v>COLSON DO BRASIL LTDA</v>
      </c>
      <c r="I20" s="209" t="str">
        <v>000188844</v>
      </c>
      <c r="J20" s="43">
        <v>11435.48</v>
      </c>
      <c r="K20" s="44">
        <v>39</v>
      </c>
      <c r="L20" s="45">
        <v>315.27</v>
      </c>
      <c r="M20" s="46">
        <v>463.4</v>
      </c>
      <c r="N20" s="47">
        <v>0.07</v>
      </c>
      <c r="O20" s="48">
        <f t="shared" si="11"/>
        <v>28.3743</v>
      </c>
      <c r="P20" s="49">
        <f t="shared" si="12"/>
        <v>63.054</v>
      </c>
      <c r="Q20" s="31"/>
      <c r="R20" s="31"/>
      <c r="S20" s="31"/>
      <c r="T20" s="30">
        <v>222.43</v>
      </c>
      <c r="U20" s="33">
        <f t="shared" si="1"/>
        <v>0.479995684074234</v>
      </c>
      <c r="V20" s="34">
        <f t="shared" si="2"/>
        <v>313.8583</v>
      </c>
      <c r="W20" s="35">
        <f t="shared" si="13"/>
        <v>0.677294561933535</v>
      </c>
      <c r="X20" s="36">
        <f>(L20*'RESULTADO DIRETO'!N$27)/6*3</f>
        <v>32.955427055643</v>
      </c>
      <c r="Y20" s="35">
        <f t="shared" si="18"/>
        <v>0.0711165883807574</v>
      </c>
      <c r="Z20" s="36">
        <f>(L20*'RESULTADO DIRETO'!N$15)/6*4</f>
        <v>40.0239493966244</v>
      </c>
      <c r="AA20" s="35">
        <f t="shared" si="3"/>
        <v>0.0863701972305231</v>
      </c>
      <c r="AB20" s="36">
        <f t="shared" si="14"/>
        <v>1.2279418424</v>
      </c>
      <c r="AC20" s="36">
        <f t="shared" si="4"/>
        <v>1.2279418424</v>
      </c>
      <c r="AD20" s="34"/>
      <c r="AE20" s="37">
        <f t="shared" si="15"/>
        <v>0</v>
      </c>
      <c r="AF20" s="36">
        <f t="shared" si="6"/>
        <v>32.438</v>
      </c>
      <c r="AG20" s="36"/>
      <c r="AH20" s="36">
        <f t="shared" si="16"/>
        <v>24.0968</v>
      </c>
      <c r="AI20" s="34">
        <f t="shared" si="7"/>
        <v>56.5348</v>
      </c>
      <c r="AJ20" s="38">
        <f t="shared" si="17"/>
        <v>56.5348</v>
      </c>
      <c r="AK20" s="39">
        <f t="shared" si="8"/>
        <v>0.122</v>
      </c>
      <c r="AL20" s="38">
        <f t="shared" si="9"/>
        <v>406.8652</v>
      </c>
      <c r="AM20" s="40">
        <f t="shared" si="19"/>
        <v>0.878</v>
      </c>
      <c r="AN20" s="38">
        <f t="shared" si="10"/>
        <v>1.46985123862086</v>
      </c>
    </row>
    <row r="21" s="3" customFormat="1" hidden="1" spans="1:40">
      <c r="A21" s="41">
        <v>46238</v>
      </c>
      <c r="B21" s="41" t="str">
        <v>NORMAL</v>
      </c>
      <c r="C21" s="41" t="str">
        <v>DQB8989</v>
      </c>
      <c r="D21" s="42" t="str">
        <v>CTB</v>
      </c>
      <c r="E21" s="42" t="str">
        <v>PR</v>
      </c>
      <c r="F21" s="42" t="str">
        <v>RJO</v>
      </c>
      <c r="G21" s="42" t="str">
        <v>RJ</v>
      </c>
      <c r="H21" s="42" t="str">
        <v>COLSON DO BRASIL LTDA</v>
      </c>
      <c r="I21" s="209" t="str">
        <v>000188726</v>
      </c>
      <c r="J21" s="43">
        <v>2430.21</v>
      </c>
      <c r="K21" s="44">
        <v>9</v>
      </c>
      <c r="L21" s="45">
        <v>84.03</v>
      </c>
      <c r="M21" s="46">
        <v>452.1</v>
      </c>
      <c r="N21" s="47">
        <v>0.12</v>
      </c>
      <c r="O21" s="48">
        <f t="shared" si="11"/>
        <v>7.5627</v>
      </c>
      <c r="P21" s="49">
        <f t="shared" si="12"/>
        <v>16.806</v>
      </c>
      <c r="Q21" s="50">
        <f t="shared" si="24"/>
        <v>15.1254</v>
      </c>
      <c r="R21" s="50">
        <f t="shared" si="25"/>
        <v>99.462</v>
      </c>
      <c r="S21" s="31"/>
      <c r="T21" s="51">
        <v>0</v>
      </c>
      <c r="U21" s="33">
        <f t="shared" si="1"/>
        <v>0</v>
      </c>
      <c r="V21" s="34">
        <f t="shared" si="2"/>
        <v>138.9561</v>
      </c>
      <c r="W21" s="35">
        <f t="shared" si="13"/>
        <v>0.30735700066357</v>
      </c>
      <c r="X21" s="36">
        <f>(L21*'RESULTADO DIRETO'!N$27)/6*4</f>
        <v>11.7116314502307</v>
      </c>
      <c r="Y21" s="35">
        <f t="shared" si="18"/>
        <v>0.0259049578638149</v>
      </c>
      <c r="Z21" s="36">
        <f>(L21*'RESULTADO DIRETO'!N$15)/6*3</f>
        <v>8.00079091207143</v>
      </c>
      <c r="AA21" s="35">
        <f t="shared" si="3"/>
        <v>0.0176969495953803</v>
      </c>
      <c r="AB21" s="36">
        <f t="shared" si="14"/>
        <v>0.2609559498</v>
      </c>
      <c r="AC21" s="36">
        <f t="shared" si="4"/>
        <v>0.2609559498</v>
      </c>
      <c r="AD21" s="34">
        <f t="shared" si="26"/>
        <v>159.190434261902</v>
      </c>
      <c r="AE21" s="37">
        <f t="shared" si="15"/>
        <v>0.352113325065035</v>
      </c>
      <c r="AF21" s="36">
        <f t="shared" si="6"/>
        <v>54.252</v>
      </c>
      <c r="AG21" s="36"/>
      <c r="AH21" s="36">
        <f t="shared" si="16"/>
        <v>23.5092</v>
      </c>
      <c r="AI21" s="34">
        <f t="shared" si="7"/>
        <v>77.7612</v>
      </c>
      <c r="AJ21" s="38">
        <f t="shared" si="17"/>
        <v>236.951634261902</v>
      </c>
      <c r="AK21" s="39">
        <f t="shared" si="8"/>
        <v>0.524113325065035</v>
      </c>
      <c r="AL21" s="38">
        <f t="shared" si="9"/>
        <v>215.148365738098</v>
      </c>
      <c r="AM21" s="40">
        <f t="shared" si="19"/>
        <v>0.475886674934965</v>
      </c>
      <c r="AN21" s="38">
        <f t="shared" si="10"/>
        <v>5.38022134951803</v>
      </c>
    </row>
    <row r="22" s="3" customFormat="1" spans="1:40">
      <c r="A22" s="41">
        <v>46238</v>
      </c>
      <c r="B22" s="41" t="str">
        <v>NORMAL</v>
      </c>
      <c r="C22" s="41" t="str">
        <v>DQB8989</v>
      </c>
      <c r="D22" s="42" t="str">
        <v>CTB</v>
      </c>
      <c r="E22" s="42" t="str">
        <v>PR</v>
      </c>
      <c r="F22" s="42" t="str">
        <v>SPO</v>
      </c>
      <c r="G22" s="42" t="str">
        <v>SP</v>
      </c>
      <c r="H22" s="42" t="str">
        <v>COLSON DO BRASIL LTDA</v>
      </c>
      <c r="I22" s="209" t="str">
        <v>000188793</v>
      </c>
      <c r="J22" s="43">
        <v>1565.23</v>
      </c>
      <c r="K22" s="44">
        <v>3</v>
      </c>
      <c r="L22" s="45">
        <v>41.67</v>
      </c>
      <c r="M22" s="46">
        <v>397.86</v>
      </c>
      <c r="N22" s="47">
        <v>0.12</v>
      </c>
      <c r="O22" s="48">
        <f t="shared" si="11"/>
        <v>3.7503</v>
      </c>
      <c r="P22" s="49">
        <f t="shared" si="12"/>
        <v>8.334</v>
      </c>
      <c r="Q22" s="31"/>
      <c r="R22" s="49">
        <f t="shared" si="23"/>
        <v>7.9173</v>
      </c>
      <c r="S22" s="31"/>
      <c r="T22" s="30">
        <v>0</v>
      </c>
      <c r="U22" s="33">
        <f t="shared" si="1"/>
        <v>0</v>
      </c>
      <c r="V22" s="34">
        <f t="shared" si="2"/>
        <v>20.0016</v>
      </c>
      <c r="W22" s="35">
        <f t="shared" si="13"/>
        <v>0.0502729603378073</v>
      </c>
      <c r="X22" s="36">
        <f>(L22*'RESULTADO DIRETO'!N$27)/6*3</f>
        <v>4.35579866593283</v>
      </c>
      <c r="Y22" s="35">
        <f t="shared" si="18"/>
        <v>0.0109480688330891</v>
      </c>
      <c r="Z22" s="36">
        <f>(L22*'RESULTADO DIRETO'!N$15)/6*2</f>
        <v>2.6450311976359</v>
      </c>
      <c r="AA22" s="35">
        <f t="shared" si="3"/>
        <v>0.00664814557290478</v>
      </c>
      <c r="AB22" s="36">
        <f t="shared" si="14"/>
        <v>0.1680743974</v>
      </c>
      <c r="AC22" s="36">
        <f t="shared" si="4"/>
        <v>0.1680743974</v>
      </c>
      <c r="AD22" s="34">
        <f t="shared" si="26"/>
        <v>27.3385786583687</v>
      </c>
      <c r="AE22" s="37">
        <f t="shared" si="15"/>
        <v>0.0687140669038575</v>
      </c>
      <c r="AF22" s="36">
        <f t="shared" si="6"/>
        <v>47.7432</v>
      </c>
      <c r="AG22" s="36"/>
      <c r="AH22" s="36">
        <f t="shared" si="16"/>
        <v>20.68872</v>
      </c>
      <c r="AI22" s="34">
        <f t="shared" si="7"/>
        <v>68.43192</v>
      </c>
      <c r="AJ22" s="38">
        <f t="shared" si="17"/>
        <v>95.7704986583687</v>
      </c>
      <c r="AK22" s="39">
        <f t="shared" si="8"/>
        <v>0.240714066903857</v>
      </c>
      <c r="AL22" s="38">
        <f t="shared" si="9"/>
        <v>302.089501341631</v>
      </c>
      <c r="AM22" s="40">
        <f t="shared" si="19"/>
        <v>0.759285933096142</v>
      </c>
      <c r="AN22" s="38">
        <f t="shared" si="10"/>
        <v>9.54787616990641</v>
      </c>
    </row>
    <row r="23" s="3" customFormat="1" spans="1:40">
      <c r="A23" s="41">
        <v>46238</v>
      </c>
      <c r="B23" s="41" t="str">
        <v>NORMAL</v>
      </c>
      <c r="C23" s="41" t="str">
        <v>DQB8989</v>
      </c>
      <c r="D23" s="42" t="str">
        <v>CTB</v>
      </c>
      <c r="E23" s="42" t="str">
        <v>PR</v>
      </c>
      <c r="F23" s="42" t="str">
        <v>SPO</v>
      </c>
      <c r="G23" s="42" t="str">
        <v>SP</v>
      </c>
      <c r="H23" s="42" t="str">
        <v>COLSON DO BRASIL LTDA</v>
      </c>
      <c r="I23" s="209" t="str">
        <v>000188795</v>
      </c>
      <c r="J23" s="43">
        <v>5035.5</v>
      </c>
      <c r="K23" s="44">
        <v>4</v>
      </c>
      <c r="L23" s="45">
        <v>32.8</v>
      </c>
      <c r="M23" s="46">
        <v>133.48</v>
      </c>
      <c r="N23" s="47">
        <v>0.12</v>
      </c>
      <c r="O23" s="48">
        <f t="shared" si="11"/>
        <v>2.952</v>
      </c>
      <c r="P23" s="49">
        <f t="shared" si="12"/>
        <v>6.56</v>
      </c>
      <c r="Q23" s="31"/>
      <c r="R23" s="49">
        <f t="shared" si="23"/>
        <v>6.232</v>
      </c>
      <c r="S23" s="31"/>
      <c r="T23" s="30">
        <v>0</v>
      </c>
      <c r="U23" s="33">
        <f t="shared" si="1"/>
        <v>0</v>
      </c>
      <c r="V23" s="34">
        <f t="shared" si="2"/>
        <v>15.744</v>
      </c>
      <c r="W23" s="35">
        <f t="shared" si="13"/>
        <v>0.117950254719808</v>
      </c>
      <c r="X23" s="36">
        <f>(L23*'RESULTADO DIRETO'!N$27)/6*3</f>
        <v>3.42861042098864</v>
      </c>
      <c r="Y23" s="35">
        <f t="shared" si="18"/>
        <v>0.0256863232018928</v>
      </c>
      <c r="Z23" s="36">
        <f>(L23*'RESULTADO DIRETO'!N$15)/6*2</f>
        <v>2.08200199861909</v>
      </c>
      <c r="AA23" s="35">
        <f t="shared" si="3"/>
        <v>0.0155978573465619</v>
      </c>
      <c r="AB23" s="36">
        <f t="shared" si="14"/>
        <v>0.54071199</v>
      </c>
      <c r="AC23" s="36">
        <f t="shared" si="4"/>
        <v>0.54071199</v>
      </c>
      <c r="AD23" s="34">
        <f t="shared" si="26"/>
        <v>22.3360363996077</v>
      </c>
      <c r="AE23" s="37">
        <f t="shared" si="15"/>
        <v>0.167336203173567</v>
      </c>
      <c r="AF23" s="36">
        <f t="shared" si="6"/>
        <v>16.0176</v>
      </c>
      <c r="AG23" s="36"/>
      <c r="AH23" s="36">
        <f t="shared" si="16"/>
        <v>6.94096</v>
      </c>
      <c r="AI23" s="34">
        <f t="shared" si="7"/>
        <v>22.95856</v>
      </c>
      <c r="AJ23" s="38">
        <f t="shared" si="17"/>
        <v>45.2945963996077</v>
      </c>
      <c r="AK23" s="39">
        <f t="shared" si="8"/>
        <v>0.339336203173567</v>
      </c>
      <c r="AL23" s="38">
        <f t="shared" si="9"/>
        <v>88.1854036003923</v>
      </c>
      <c r="AM23" s="40">
        <f t="shared" si="19"/>
        <v>0.660663796826433</v>
      </c>
      <c r="AN23" s="38">
        <f t="shared" si="10"/>
        <v>4.06951219512195</v>
      </c>
    </row>
    <row r="24" s="3" customFormat="1" hidden="1" spans="1:40">
      <c r="A24" s="41">
        <v>46238</v>
      </c>
      <c r="B24" s="41" t="str">
        <v>NORMAL</v>
      </c>
      <c r="C24" s="41" t="str">
        <v>DQB8989</v>
      </c>
      <c r="D24" s="42" t="str">
        <v>CTB</v>
      </c>
      <c r="E24" s="42" t="str">
        <v>PR</v>
      </c>
      <c r="F24" s="42" t="str">
        <v>RJO</v>
      </c>
      <c r="G24" s="42" t="str">
        <v>RJ</v>
      </c>
      <c r="H24" s="42" t="str">
        <v>COLSON DO BRASIL LTDA</v>
      </c>
      <c r="I24" s="209" t="str">
        <v>000188774</v>
      </c>
      <c r="J24" s="43">
        <v>47143.95</v>
      </c>
      <c r="K24" s="44">
        <v>100</v>
      </c>
      <c r="L24" s="45">
        <v>1600</v>
      </c>
      <c r="M24" s="46">
        <v>2038.49</v>
      </c>
      <c r="N24" s="47">
        <v>0.12</v>
      </c>
      <c r="O24" s="48">
        <f t="shared" si="11"/>
        <v>144</v>
      </c>
      <c r="P24" s="49">
        <f t="shared" si="12"/>
        <v>320</v>
      </c>
      <c r="Q24" s="50">
        <f t="shared" si="24"/>
        <v>288</v>
      </c>
      <c r="R24" s="50">
        <f t="shared" si="25"/>
        <v>448.4678</v>
      </c>
      <c r="S24" s="31"/>
      <c r="T24" s="51">
        <v>0</v>
      </c>
      <c r="U24" s="33">
        <f t="shared" si="1"/>
        <v>0</v>
      </c>
      <c r="V24" s="34">
        <f t="shared" si="2"/>
        <v>1200.4678</v>
      </c>
      <c r="W24" s="35">
        <f t="shared" si="13"/>
        <v>0.588900509690997</v>
      </c>
      <c r="X24" s="36">
        <f>(L24*'RESULTADO DIRETO'!N$27)/6*4</f>
        <v>222.999051771619</v>
      </c>
      <c r="Y24" s="35">
        <f t="shared" si="18"/>
        <v>0.109394233855265</v>
      </c>
      <c r="Z24" s="36">
        <f>(L24*'RESULTADO DIRETO'!N$15)/6*3</f>
        <v>152.341609655055</v>
      </c>
      <c r="AA24" s="35">
        <f t="shared" si="3"/>
        <v>0.0747325763948095</v>
      </c>
      <c r="AB24" s="36">
        <f t="shared" si="14"/>
        <v>5.062317351</v>
      </c>
      <c r="AC24" s="36">
        <f t="shared" si="4"/>
        <v>5.062317351</v>
      </c>
      <c r="AD24" s="34">
        <f t="shared" ref="AD24:AD29" si="27">V24+X24+Z24+AB24+AC24</f>
        <v>1585.93309612867</v>
      </c>
      <c r="AE24" s="37">
        <f t="shared" si="15"/>
        <v>0.777994052523522</v>
      </c>
      <c r="AF24" s="36">
        <f t="shared" si="6"/>
        <v>244.6188</v>
      </c>
      <c r="AG24" s="36"/>
      <c r="AH24" s="36">
        <f t="shared" si="16"/>
        <v>106.00148</v>
      </c>
      <c r="AI24" s="34">
        <f t="shared" si="7"/>
        <v>350.62028</v>
      </c>
      <c r="AJ24" s="38">
        <f t="shared" si="17"/>
        <v>1936.55337612867</v>
      </c>
      <c r="AK24" s="39">
        <f t="shared" si="8"/>
        <v>0.949994052523522</v>
      </c>
      <c r="AL24" s="38">
        <f t="shared" si="9"/>
        <v>101.936623871326</v>
      </c>
      <c r="AM24" s="40">
        <f t="shared" si="19"/>
        <v>0.0500059474764781</v>
      </c>
      <c r="AN24" s="38">
        <f t="shared" si="10"/>
        <v>1.27405625</v>
      </c>
    </row>
    <row r="25" s="3" customFormat="1" spans="1:40">
      <c r="A25" s="41">
        <v>46239</v>
      </c>
      <c r="B25" s="41" t="str">
        <v>COMPLEMENTAR FRETE</v>
      </c>
      <c r="C25" s="41" t="str">
        <v>AZS7C31</v>
      </c>
      <c r="D25" s="42" t="str">
        <v>CTB</v>
      </c>
      <c r="E25" s="42" t="str">
        <v>PR</v>
      </c>
      <c r="F25" s="42" t="str">
        <v>SPO</v>
      </c>
      <c r="G25" s="42" t="str">
        <v>SP</v>
      </c>
      <c r="H25" s="42" t="str">
        <v>COLSON DO BRASIL LTDA</v>
      </c>
      <c r="I25" s="209" t="str">
        <v>000187693</v>
      </c>
      <c r="J25" s="43">
        <v>1473.07</v>
      </c>
      <c r="K25" s="44">
        <v>3</v>
      </c>
      <c r="L25" s="45">
        <v>49.28</v>
      </c>
      <c r="M25" s="46">
        <v>284.09</v>
      </c>
      <c r="N25" s="47">
        <v>0.12</v>
      </c>
      <c r="O25" s="48">
        <f t="shared" si="11"/>
        <v>4.4352</v>
      </c>
      <c r="P25" s="49">
        <f t="shared" si="12"/>
        <v>9.856</v>
      </c>
      <c r="Q25" s="31"/>
      <c r="R25" s="49">
        <f>L25*0.19</f>
        <v>9.3632</v>
      </c>
      <c r="S25" s="31"/>
      <c r="T25" s="30">
        <v>0</v>
      </c>
      <c r="U25" s="33">
        <f t="shared" si="1"/>
        <v>0</v>
      </c>
      <c r="V25" s="34">
        <f t="shared" si="2"/>
        <v>23.6544</v>
      </c>
      <c r="W25" s="35">
        <f t="shared" si="13"/>
        <v>0.0832637544440142</v>
      </c>
      <c r="X25" s="36">
        <f>(L25*'RESULTADO DIRETO'!N$27)/6*3</f>
        <v>5.1512780959244</v>
      </c>
      <c r="Y25" s="35">
        <f t="shared" si="18"/>
        <v>0.018132556921836</v>
      </c>
      <c r="Z25" s="36">
        <f>(L25*'RESULTADO DIRETO'!N$15)/6*2</f>
        <v>3.1280810515838</v>
      </c>
      <c r="AA25" s="35">
        <f t="shared" si="3"/>
        <v>0.0110108805363927</v>
      </c>
      <c r="AB25" s="36">
        <f t="shared" si="14"/>
        <v>0.1581782566</v>
      </c>
      <c r="AC25" s="36">
        <f t="shared" si="4"/>
        <v>0.1581782566</v>
      </c>
      <c r="AD25" s="34">
        <f t="shared" si="27"/>
        <v>32.2501156607082</v>
      </c>
      <c r="AE25" s="37">
        <f t="shared" si="15"/>
        <v>0.113520770392158</v>
      </c>
      <c r="AF25" s="36">
        <f t="shared" si="6"/>
        <v>34.0908</v>
      </c>
      <c r="AG25" s="36"/>
      <c r="AH25" s="36">
        <f t="shared" si="16"/>
        <v>14.77268</v>
      </c>
      <c r="AI25" s="34">
        <f t="shared" si="7"/>
        <v>48.86348</v>
      </c>
      <c r="AJ25" s="38">
        <f t="shared" si="17"/>
        <v>81.1135956607082</v>
      </c>
      <c r="AK25" s="39">
        <f t="shared" si="8"/>
        <v>0.285520770392158</v>
      </c>
      <c r="AL25" s="38">
        <f t="shared" si="9"/>
        <v>202.976404339292</v>
      </c>
      <c r="AM25" s="40">
        <f t="shared" si="19"/>
        <v>0.714479229607842</v>
      </c>
      <c r="AN25" s="38">
        <f t="shared" si="10"/>
        <v>5.76481331168831</v>
      </c>
    </row>
    <row r="26" s="3" customFormat="1" spans="1:40">
      <c r="A26" s="41">
        <v>46239</v>
      </c>
      <c r="B26" s="41" t="str">
        <v>NORMAL</v>
      </c>
      <c r="C26" s="41" t="str">
        <v>BFE7A89</v>
      </c>
      <c r="D26" s="42" t="str">
        <v>CTB</v>
      </c>
      <c r="E26" s="42" t="str">
        <v>PR</v>
      </c>
      <c r="F26" s="42" t="str">
        <v>SPO</v>
      </c>
      <c r="G26" s="42" t="str">
        <v>SP</v>
      </c>
      <c r="H26" s="42" t="str">
        <v>COLSON DO BRASIL LTDA</v>
      </c>
      <c r="I26" s="209" t="str">
        <v>000188960</v>
      </c>
      <c r="J26" s="43">
        <v>1517.68</v>
      </c>
      <c r="K26" s="44">
        <v>3</v>
      </c>
      <c r="L26" s="45">
        <v>35.061</v>
      </c>
      <c r="M26" s="46">
        <v>113.5</v>
      </c>
      <c r="N26" s="47">
        <v>0.12</v>
      </c>
      <c r="O26" s="48">
        <f t="shared" si="11"/>
        <v>3.15549</v>
      </c>
      <c r="P26" s="49">
        <f t="shared" si="12"/>
        <v>7.0122</v>
      </c>
      <c r="Q26" s="31"/>
      <c r="R26" s="49">
        <f>L26*0.19</f>
        <v>6.66159</v>
      </c>
      <c r="S26" s="31"/>
      <c r="T26" s="30">
        <v>0</v>
      </c>
      <c r="U26" s="33">
        <f t="shared" si="1"/>
        <v>0</v>
      </c>
      <c r="V26" s="34">
        <f t="shared" si="2"/>
        <v>16.82928</v>
      </c>
      <c r="W26" s="35">
        <f t="shared" si="13"/>
        <v>0.148275594713656</v>
      </c>
      <c r="X26" s="36">
        <f>(L26*'RESULTADO DIRETO'!N$27)/6*3</f>
        <v>3.66495457226472</v>
      </c>
      <c r="Y26" s="35">
        <f t="shared" si="18"/>
        <v>0.0322903486543147</v>
      </c>
      <c r="Z26" s="36">
        <f>(L26*'RESULTADO DIRETO'!N$15)/6*2</f>
        <v>2.22552049004829</v>
      </c>
      <c r="AA26" s="35">
        <f t="shared" si="3"/>
        <v>0.0196081100444783</v>
      </c>
      <c r="AB26" s="36">
        <f t="shared" si="14"/>
        <v>0.1629684784</v>
      </c>
      <c r="AC26" s="36">
        <f t="shared" si="4"/>
        <v>0.1629684784</v>
      </c>
      <c r="AD26" s="34">
        <f t="shared" si="27"/>
        <v>23.045692019113</v>
      </c>
      <c r="AE26" s="37">
        <f t="shared" si="15"/>
        <v>0.203045744661789</v>
      </c>
      <c r="AF26" s="36">
        <f t="shared" si="6"/>
        <v>13.62</v>
      </c>
      <c r="AG26" s="36"/>
      <c r="AH26" s="36">
        <f t="shared" si="16"/>
        <v>5.902</v>
      </c>
      <c r="AI26" s="34">
        <f t="shared" si="7"/>
        <v>19.522</v>
      </c>
      <c r="AJ26" s="38">
        <f t="shared" si="17"/>
        <v>42.567692019113</v>
      </c>
      <c r="AK26" s="39">
        <f t="shared" si="8"/>
        <v>0.375045744661789</v>
      </c>
      <c r="AL26" s="38">
        <f t="shared" si="9"/>
        <v>70.932307980887</v>
      </c>
      <c r="AM26" s="40">
        <f t="shared" si="19"/>
        <v>0.624954255338211</v>
      </c>
      <c r="AN26" s="38">
        <f t="shared" si="10"/>
        <v>3.2372151393286</v>
      </c>
    </row>
    <row r="27" s="3" customFormat="1" hidden="1" spans="1:40">
      <c r="A27" s="41">
        <v>46239</v>
      </c>
      <c r="B27" s="41" t="str">
        <v>NORMAL</v>
      </c>
      <c r="C27" s="41" t="str">
        <v>BFE7A89</v>
      </c>
      <c r="D27" s="42" t="str">
        <v>CTB</v>
      </c>
      <c r="E27" s="42" t="str">
        <v>PR</v>
      </c>
      <c r="F27" s="42" t="str">
        <v>GVR</v>
      </c>
      <c r="G27" s="42" t="str">
        <v>MG</v>
      </c>
      <c r="H27" s="42" t="str">
        <v>COLSON DO BRASIL LTDA</v>
      </c>
      <c r="I27" s="209" t="str">
        <v>000188916</v>
      </c>
      <c r="J27" s="43">
        <v>3212.6</v>
      </c>
      <c r="K27" s="44">
        <v>9</v>
      </c>
      <c r="L27" s="45">
        <v>149.4</v>
      </c>
      <c r="M27" s="46">
        <v>268.61</v>
      </c>
      <c r="N27" s="47">
        <v>0.12</v>
      </c>
      <c r="O27" s="48">
        <f t="shared" si="11"/>
        <v>13.446</v>
      </c>
      <c r="P27" s="49">
        <f t="shared" si="12"/>
        <v>29.88</v>
      </c>
      <c r="Q27" s="52">
        <f>L27*0.18</f>
        <v>26.892</v>
      </c>
      <c r="R27" s="52">
        <f>L27*0.15</f>
        <v>22.41</v>
      </c>
      <c r="S27" s="31"/>
      <c r="T27" s="53">
        <v>103.01</v>
      </c>
      <c r="U27" s="33">
        <f t="shared" si="1"/>
        <v>0.383492796247347</v>
      </c>
      <c r="V27" s="34">
        <f t="shared" si="2"/>
        <v>195.638</v>
      </c>
      <c r="W27" s="35">
        <f t="shared" si="13"/>
        <v>0.728334760433342</v>
      </c>
      <c r="X27" s="36">
        <f>(L27*'RESULTADO DIRETO'!N$27)/6*4</f>
        <v>20.8225364591749</v>
      </c>
      <c r="Y27" s="35">
        <f t="shared" si="18"/>
        <v>0.0775195877263503</v>
      </c>
      <c r="Z27" s="36">
        <f>(L27*'RESULTADO DIRETO'!N$15)/6*3</f>
        <v>14.2248978015408</v>
      </c>
      <c r="AA27" s="35">
        <f t="shared" si="3"/>
        <v>0.0529574394160336</v>
      </c>
      <c r="AB27" s="36">
        <f t="shared" si="14"/>
        <v>0.344968988</v>
      </c>
      <c r="AC27" s="36">
        <f t="shared" si="4"/>
        <v>0.344968988</v>
      </c>
      <c r="AD27" s="34">
        <f t="shared" si="27"/>
        <v>231.375372236716</v>
      </c>
      <c r="AE27" s="37">
        <f t="shared" si="15"/>
        <v>0.861380336684099</v>
      </c>
      <c r="AF27" s="36">
        <f t="shared" si="6"/>
        <v>32.2332</v>
      </c>
      <c r="AG27" s="36"/>
      <c r="AH27" s="36">
        <f t="shared" si="16"/>
        <v>13.96772</v>
      </c>
      <c r="AI27" s="34">
        <f t="shared" si="7"/>
        <v>46.20092</v>
      </c>
      <c r="AJ27" s="38">
        <f t="shared" si="17"/>
        <v>277.576292236716</v>
      </c>
      <c r="AK27" s="39">
        <f t="shared" si="8"/>
        <v>1.0333803366841</v>
      </c>
      <c r="AL27" s="38">
        <f t="shared" si="9"/>
        <v>-8.96629223671573</v>
      </c>
      <c r="AM27" s="40">
        <f t="shared" si="19"/>
        <v>-0.0333803366840986</v>
      </c>
      <c r="AN27" s="38">
        <f t="shared" si="10"/>
        <v>1.7979250334672</v>
      </c>
    </row>
    <row r="28" s="3" customFormat="1" hidden="1" spans="1:40">
      <c r="A28" s="41">
        <v>46239</v>
      </c>
      <c r="B28" s="41" t="str">
        <v>NORMAL</v>
      </c>
      <c r="C28" s="41" t="str">
        <v>BFE7A89</v>
      </c>
      <c r="D28" s="42" t="str">
        <v>CTB</v>
      </c>
      <c r="E28" s="42" t="str">
        <v>PR</v>
      </c>
      <c r="F28" s="42" t="str">
        <v>TAM</v>
      </c>
      <c r="G28" s="42" t="str">
        <v>MG</v>
      </c>
      <c r="H28" s="42" t="str">
        <v>COLSON DO BRASIL LTDA</v>
      </c>
      <c r="I28" s="209" t="str">
        <v>000188859</v>
      </c>
      <c r="J28" s="43">
        <v>6353.02</v>
      </c>
      <c r="K28" s="44">
        <v>21</v>
      </c>
      <c r="L28" s="45">
        <v>200.55</v>
      </c>
      <c r="M28" s="46">
        <v>321.93</v>
      </c>
      <c r="N28" s="47">
        <v>0.12</v>
      </c>
      <c r="O28" s="48">
        <f t="shared" si="11"/>
        <v>18.0495</v>
      </c>
      <c r="P28" s="49">
        <f t="shared" si="12"/>
        <v>40.11</v>
      </c>
      <c r="Q28" s="52">
        <f>L28*0.18</f>
        <v>36.099</v>
      </c>
      <c r="R28" s="52">
        <f>L28*0.15</f>
        <v>30.0825</v>
      </c>
      <c r="S28" s="31"/>
      <c r="T28" s="53">
        <v>100.28</v>
      </c>
      <c r="U28" s="33">
        <f t="shared" si="1"/>
        <v>0.311496288012922</v>
      </c>
      <c r="V28" s="34">
        <f t="shared" si="2"/>
        <v>224.621</v>
      </c>
      <c r="W28" s="35">
        <f t="shared" si="13"/>
        <v>0.697732426303855</v>
      </c>
      <c r="X28" s="36">
        <f>(L28*'RESULTADO DIRETO'!N$27)/6*4</f>
        <v>27.9515373954989</v>
      </c>
      <c r="Y28" s="35">
        <f t="shared" si="18"/>
        <v>0.0868248917326714</v>
      </c>
      <c r="Z28" s="36">
        <f>(L28*'RESULTADO DIRETO'!N$15)/6*3</f>
        <v>19.0950686352008</v>
      </c>
      <c r="AA28" s="35">
        <f t="shared" si="3"/>
        <v>0.0593143498126948</v>
      </c>
      <c r="AB28" s="36">
        <f t="shared" si="14"/>
        <v>0.6821872876</v>
      </c>
      <c r="AC28" s="36">
        <f t="shared" si="4"/>
        <v>0.6821872876</v>
      </c>
      <c r="AD28" s="34">
        <f t="shared" si="27"/>
        <v>273.0319806059</v>
      </c>
      <c r="AE28" s="37">
        <f t="shared" si="15"/>
        <v>0.848109777299102</v>
      </c>
      <c r="AF28" s="36">
        <f t="shared" si="6"/>
        <v>38.6316</v>
      </c>
      <c r="AG28" s="36"/>
      <c r="AH28" s="36">
        <f t="shared" si="16"/>
        <v>16.74036</v>
      </c>
      <c r="AI28" s="34">
        <f t="shared" si="7"/>
        <v>55.37196</v>
      </c>
      <c r="AJ28" s="38">
        <f t="shared" si="17"/>
        <v>328.4039406059</v>
      </c>
      <c r="AK28" s="39">
        <f t="shared" si="8"/>
        <v>1.0201097772991</v>
      </c>
      <c r="AL28" s="38">
        <f t="shared" si="9"/>
        <v>-6.47394060589977</v>
      </c>
      <c r="AM28" s="40">
        <f t="shared" si="19"/>
        <v>-0.0201097772991016</v>
      </c>
      <c r="AN28" s="38">
        <f t="shared" si="10"/>
        <v>1.60523560209424</v>
      </c>
    </row>
    <row r="29" s="3" customFormat="1" hidden="1" spans="1:40">
      <c r="A29" s="41">
        <v>46239</v>
      </c>
      <c r="B29" s="41" t="str">
        <v>NORMAL</v>
      </c>
      <c r="C29" s="41" t="str">
        <v>BFE7A89</v>
      </c>
      <c r="D29" s="42" t="str">
        <v>CTB</v>
      </c>
      <c r="E29" s="42" t="str">
        <v>PR</v>
      </c>
      <c r="F29" s="42" t="str">
        <v>RJO</v>
      </c>
      <c r="G29" s="42" t="str">
        <v>RJ</v>
      </c>
      <c r="H29" s="42" t="str">
        <v>COLSON DO BRASIL LTDA</v>
      </c>
      <c r="I29" s="209" t="str">
        <v>000188855</v>
      </c>
      <c r="J29" s="43">
        <v>4315.19</v>
      </c>
      <c r="K29" s="44">
        <v>15</v>
      </c>
      <c r="L29" s="45">
        <v>137.4</v>
      </c>
      <c r="M29" s="46">
        <v>211.63</v>
      </c>
      <c r="N29" s="47">
        <v>0.12</v>
      </c>
      <c r="O29" s="48">
        <f t="shared" si="11"/>
        <v>12.366</v>
      </c>
      <c r="P29" s="49">
        <f t="shared" si="12"/>
        <v>27.48</v>
      </c>
      <c r="Q29" s="50">
        <f t="shared" ref="Q29:Q31" si="28">L29*0.18</f>
        <v>24.732</v>
      </c>
      <c r="R29" s="50">
        <f t="shared" ref="R29:R31" si="29">M29*0.22</f>
        <v>46.5586</v>
      </c>
      <c r="S29" s="31"/>
      <c r="T29" s="51">
        <v>0</v>
      </c>
      <c r="U29" s="33">
        <f t="shared" si="1"/>
        <v>0</v>
      </c>
      <c r="V29" s="34">
        <f t="shared" si="2"/>
        <v>111.1366</v>
      </c>
      <c r="W29" s="35">
        <f t="shared" si="13"/>
        <v>0.525145773283561</v>
      </c>
      <c r="X29" s="36">
        <f>(L29*'RESULTADO DIRETO'!N$27)/6*4</f>
        <v>19.1500435708878</v>
      </c>
      <c r="Y29" s="35">
        <f t="shared" si="18"/>
        <v>0.0904883219339782</v>
      </c>
      <c r="Z29" s="36">
        <f>(L29*'RESULTADO DIRETO'!N$15)/6*3</f>
        <v>13.0823357291279</v>
      </c>
      <c r="AA29" s="35">
        <f t="shared" si="3"/>
        <v>0.0618170189912955</v>
      </c>
      <c r="AB29" s="36">
        <f t="shared" si="14"/>
        <v>0.4633651022</v>
      </c>
      <c r="AC29" s="36">
        <f t="shared" si="4"/>
        <v>0.4633651022</v>
      </c>
      <c r="AD29" s="34">
        <f t="shared" si="27"/>
        <v>144.295709504416</v>
      </c>
      <c r="AE29" s="37">
        <f t="shared" si="15"/>
        <v>0.681830125711929</v>
      </c>
      <c r="AF29" s="36">
        <f t="shared" si="6"/>
        <v>25.3956</v>
      </c>
      <c r="AG29" s="36"/>
      <c r="AH29" s="36">
        <f t="shared" si="16"/>
        <v>11.00476</v>
      </c>
      <c r="AI29" s="34">
        <f t="shared" si="7"/>
        <v>36.40036</v>
      </c>
      <c r="AJ29" s="38">
        <f t="shared" si="17"/>
        <v>180.696069504416</v>
      </c>
      <c r="AK29" s="39">
        <f t="shared" si="8"/>
        <v>0.85383012571193</v>
      </c>
      <c r="AL29" s="38">
        <f t="shared" si="9"/>
        <v>30.9339304955843</v>
      </c>
      <c r="AM29" s="40">
        <f t="shared" si="19"/>
        <v>0.14616987428807</v>
      </c>
      <c r="AN29" s="38">
        <f t="shared" si="10"/>
        <v>1.54024745269287</v>
      </c>
    </row>
    <row r="30" s="3" customFormat="1" hidden="1" spans="1:40">
      <c r="A30" s="41">
        <v>46239</v>
      </c>
      <c r="B30" s="41" t="str">
        <v>NORMAL</v>
      </c>
      <c r="C30" s="41" t="str">
        <v>BFE7A89</v>
      </c>
      <c r="D30" s="42" t="str">
        <v>CTB</v>
      </c>
      <c r="E30" s="42" t="str">
        <v>PR</v>
      </c>
      <c r="F30" s="42" t="str">
        <v>RJO</v>
      </c>
      <c r="G30" s="42" t="str">
        <v>RJ</v>
      </c>
      <c r="H30" s="42" t="str">
        <v>COLSON DO BRASIL LTDA</v>
      </c>
      <c r="I30" s="209" t="str">
        <v>000188815</v>
      </c>
      <c r="J30" s="43">
        <v>3281.56</v>
      </c>
      <c r="K30" s="44">
        <v>21</v>
      </c>
      <c r="L30" s="45">
        <v>149.23</v>
      </c>
      <c r="M30" s="46">
        <v>217.86</v>
      </c>
      <c r="N30" s="47">
        <v>0.12</v>
      </c>
      <c r="O30" s="48">
        <f t="shared" si="11"/>
        <v>13.4307</v>
      </c>
      <c r="P30" s="49">
        <f t="shared" si="12"/>
        <v>29.846</v>
      </c>
      <c r="Q30" s="50">
        <f t="shared" si="28"/>
        <v>26.8614</v>
      </c>
      <c r="R30" s="50">
        <f t="shared" si="29"/>
        <v>47.9292</v>
      </c>
      <c r="S30" s="31"/>
      <c r="T30" s="51">
        <v>0</v>
      </c>
      <c r="U30" s="33">
        <f t="shared" si="1"/>
        <v>0</v>
      </c>
      <c r="V30" s="34">
        <f t="shared" si="2"/>
        <v>118.0673</v>
      </c>
      <c r="W30" s="35">
        <f t="shared" si="13"/>
        <v>0.5419411548701</v>
      </c>
      <c r="X30" s="36">
        <f>(L30*'RESULTADO DIRETO'!N$27)/6*4</f>
        <v>20.7988428099242</v>
      </c>
      <c r="Y30" s="35">
        <f t="shared" si="18"/>
        <v>0.0954688460934738</v>
      </c>
      <c r="Z30" s="36">
        <f>(L30*'RESULTADO DIRETO'!N$15)/6*3</f>
        <v>14.2087115055149</v>
      </c>
      <c r="AA30" s="35">
        <f t="shared" si="3"/>
        <v>0.0652194597701043</v>
      </c>
      <c r="AB30" s="36">
        <f t="shared" si="14"/>
        <v>0.3523739128</v>
      </c>
      <c r="AC30" s="36">
        <f t="shared" si="4"/>
        <v>0.3523739128</v>
      </c>
      <c r="AD30" s="34">
        <f t="shared" ref="AD30:AD37" si="30">V30+X30+Z30+AB30+AC30</f>
        <v>153.779602141039</v>
      </c>
      <c r="AE30" s="37">
        <f t="shared" si="15"/>
        <v>0.705864326361145</v>
      </c>
      <c r="AF30" s="36">
        <f t="shared" si="6"/>
        <v>26.1432</v>
      </c>
      <c r="AG30" s="36"/>
      <c r="AH30" s="36">
        <f t="shared" si="16"/>
        <v>11.32872</v>
      </c>
      <c r="AI30" s="34">
        <f t="shared" si="7"/>
        <v>37.47192</v>
      </c>
      <c r="AJ30" s="38">
        <f t="shared" si="17"/>
        <v>191.251522141039</v>
      </c>
      <c r="AK30" s="39">
        <f t="shared" si="8"/>
        <v>0.877864326361145</v>
      </c>
      <c r="AL30" s="38">
        <f t="shared" si="9"/>
        <v>26.6084778589609</v>
      </c>
      <c r="AM30" s="40">
        <f t="shared" si="19"/>
        <v>0.122135673638855</v>
      </c>
      <c r="AN30" s="38">
        <f t="shared" si="10"/>
        <v>1.45989412316558</v>
      </c>
    </row>
    <row r="31" s="3" customFormat="1" hidden="1" spans="1:40">
      <c r="A31" s="41">
        <v>46239</v>
      </c>
      <c r="B31" s="41" t="str">
        <v>NORMAL</v>
      </c>
      <c r="C31" s="41" t="str">
        <v>BFE7A89</v>
      </c>
      <c r="D31" s="42" t="str">
        <v>CTB</v>
      </c>
      <c r="E31" s="42" t="str">
        <v>PR</v>
      </c>
      <c r="F31" s="42" t="str">
        <v>MVG</v>
      </c>
      <c r="G31" s="42" t="str">
        <v>RJ</v>
      </c>
      <c r="H31" s="42" t="str">
        <v>COLSON DO BRASIL LTDA</v>
      </c>
      <c r="I31" s="209" t="str">
        <v>000188909</v>
      </c>
      <c r="J31" s="43">
        <v>6960.96</v>
      </c>
      <c r="K31" s="44">
        <v>23</v>
      </c>
      <c r="L31" s="45">
        <v>271.414</v>
      </c>
      <c r="M31" s="46">
        <v>737.32</v>
      </c>
      <c r="N31" s="47">
        <v>0.12</v>
      </c>
      <c r="O31" s="48">
        <f t="shared" si="11"/>
        <v>24.42726</v>
      </c>
      <c r="P31" s="49">
        <f t="shared" si="12"/>
        <v>54.2828</v>
      </c>
      <c r="Q31" s="50">
        <f t="shared" si="28"/>
        <v>48.85452</v>
      </c>
      <c r="R31" s="50">
        <f t="shared" si="29"/>
        <v>162.2104</v>
      </c>
      <c r="S31" s="31"/>
      <c r="T31" s="53">
        <v>324.32</v>
      </c>
      <c r="U31" s="33">
        <f t="shared" si="1"/>
        <v>0.439863288667064</v>
      </c>
      <c r="V31" s="34">
        <f t="shared" si="2"/>
        <v>614.09498</v>
      </c>
      <c r="W31" s="35">
        <f t="shared" si="13"/>
        <v>0.832874437150762</v>
      </c>
      <c r="X31" s="36">
        <f>(L31*'RESULTADO DIRETO'!N$27)/6*4</f>
        <v>37.8281653984639</v>
      </c>
      <c r="Y31" s="35">
        <f t="shared" si="18"/>
        <v>0.0513049495449247</v>
      </c>
      <c r="Z31" s="36">
        <f>(L31*'RESULTADO DIRETO'!N$15)/6*3</f>
        <v>25.8422785268232</v>
      </c>
      <c r="AA31" s="35">
        <f t="shared" si="3"/>
        <v>0.0350489319790908</v>
      </c>
      <c r="AB31" s="36">
        <f t="shared" si="14"/>
        <v>0.7474678848</v>
      </c>
      <c r="AC31" s="36">
        <f t="shared" si="4"/>
        <v>0.7474678848</v>
      </c>
      <c r="AD31" s="34">
        <f t="shared" si="30"/>
        <v>679.260359694887</v>
      </c>
      <c r="AE31" s="37">
        <f t="shared" si="15"/>
        <v>0.92125584508068</v>
      </c>
      <c r="AF31" s="36">
        <f t="shared" si="6"/>
        <v>88.4784</v>
      </c>
      <c r="AG31" s="36"/>
      <c r="AH31" s="36">
        <f t="shared" si="16"/>
        <v>38.34064</v>
      </c>
      <c r="AI31" s="34">
        <f t="shared" si="7"/>
        <v>126.81904</v>
      </c>
      <c r="AJ31" s="38">
        <f t="shared" si="17"/>
        <v>806.079399694887</v>
      </c>
      <c r="AK31" s="39">
        <f t="shared" si="8"/>
        <v>1.09325584508068</v>
      </c>
      <c r="AL31" s="38">
        <f t="shared" si="9"/>
        <v>-68.7593996948871</v>
      </c>
      <c r="AM31" s="40">
        <f t="shared" si="19"/>
        <v>-0.0932558450806801</v>
      </c>
      <c r="AN31" s="38">
        <f t="shared" si="10"/>
        <v>2.71658794314221</v>
      </c>
    </row>
    <row r="32" s="3" customFormat="1" spans="1:40">
      <c r="A32" s="41">
        <v>46239</v>
      </c>
      <c r="B32" s="41" t="str">
        <v>NORMAL</v>
      </c>
      <c r="C32" s="41" t="str">
        <v>BFE7A89</v>
      </c>
      <c r="D32" s="42" t="str">
        <v>CTB</v>
      </c>
      <c r="E32" s="42" t="str">
        <v>PR</v>
      </c>
      <c r="F32" s="42" t="str">
        <v>SPO</v>
      </c>
      <c r="G32" s="42" t="str">
        <v>SP</v>
      </c>
      <c r="H32" s="42" t="str">
        <v>COLSON DO BRASIL LTDA</v>
      </c>
      <c r="I32" s="209" t="str">
        <v>000188923</v>
      </c>
      <c r="J32" s="43">
        <v>3458.05</v>
      </c>
      <c r="K32" s="44">
        <v>2</v>
      </c>
      <c r="L32" s="45">
        <v>23.8</v>
      </c>
      <c r="M32" s="46">
        <v>114.75</v>
      </c>
      <c r="N32" s="47">
        <v>0.12</v>
      </c>
      <c r="O32" s="48">
        <f t="shared" si="11"/>
        <v>2.142</v>
      </c>
      <c r="P32" s="49">
        <f t="shared" si="12"/>
        <v>4.76</v>
      </c>
      <c r="Q32" s="31"/>
      <c r="R32" s="49">
        <f>L32*0.19</f>
        <v>4.522</v>
      </c>
      <c r="S32" s="31"/>
      <c r="T32" s="30">
        <v>0</v>
      </c>
      <c r="U32" s="33">
        <f t="shared" si="1"/>
        <v>0</v>
      </c>
      <c r="V32" s="34">
        <f t="shared" si="2"/>
        <v>11.424</v>
      </c>
      <c r="W32" s="35">
        <f t="shared" si="13"/>
        <v>0.0995555555555556</v>
      </c>
      <c r="X32" s="36">
        <f>(L32*'RESULTADO DIRETO'!N$27)/6*3</f>
        <v>2.48783317132713</v>
      </c>
      <c r="Y32" s="35">
        <f t="shared" si="18"/>
        <v>0.0216804633666852</v>
      </c>
      <c r="Z32" s="36">
        <f>(L32*'RESULTADO DIRETO'!N$15)/6*2</f>
        <v>1.51072096241263</v>
      </c>
      <c r="AA32" s="35">
        <f t="shared" si="3"/>
        <v>0.0131653242911776</v>
      </c>
      <c r="AB32" s="36">
        <f t="shared" si="14"/>
        <v>0.371325409</v>
      </c>
      <c r="AC32" s="36">
        <f t="shared" si="4"/>
        <v>0.371325409</v>
      </c>
      <c r="AD32" s="34">
        <f t="shared" si="30"/>
        <v>16.1652049517398</v>
      </c>
      <c r="AE32" s="37">
        <f t="shared" si="15"/>
        <v>0.140873245766795</v>
      </c>
      <c r="AF32" s="36">
        <f t="shared" si="6"/>
        <v>13.77</v>
      </c>
      <c r="AG32" s="36"/>
      <c r="AH32" s="36">
        <f t="shared" si="16"/>
        <v>5.967</v>
      </c>
      <c r="AI32" s="34">
        <f t="shared" si="7"/>
        <v>19.737</v>
      </c>
      <c r="AJ32" s="38">
        <f t="shared" si="17"/>
        <v>35.9022049517398</v>
      </c>
      <c r="AK32" s="39">
        <f t="shared" si="8"/>
        <v>0.312873245766795</v>
      </c>
      <c r="AL32" s="38">
        <f t="shared" si="9"/>
        <v>78.8477950482602</v>
      </c>
      <c r="AM32" s="40">
        <f t="shared" si="19"/>
        <v>0.687126754233205</v>
      </c>
      <c r="AN32" s="38">
        <f t="shared" si="10"/>
        <v>4.82142857142857</v>
      </c>
    </row>
    <row r="33" s="3" customFormat="1" hidden="1" spans="1:40">
      <c r="A33" s="41">
        <v>46239</v>
      </c>
      <c r="B33" s="41" t="str">
        <v>NORMAL</v>
      </c>
      <c r="C33" s="41" t="str">
        <v>BFE7A89</v>
      </c>
      <c r="D33" s="42" t="str">
        <v>CTB</v>
      </c>
      <c r="E33" s="42" t="str">
        <v>PR</v>
      </c>
      <c r="F33" s="42" t="str">
        <v>BHZ</v>
      </c>
      <c r="G33" s="42" t="str">
        <v>MG</v>
      </c>
      <c r="H33" s="42" t="str">
        <v>COLSON DO BRASIL LTDA</v>
      </c>
      <c r="I33" s="209" t="str">
        <v>000188913</v>
      </c>
      <c r="J33" s="43">
        <v>2932.62</v>
      </c>
      <c r="K33" s="44">
        <v>11</v>
      </c>
      <c r="L33" s="45">
        <v>79.02</v>
      </c>
      <c r="M33" s="46">
        <v>171.99</v>
      </c>
      <c r="N33" s="47">
        <v>0.12</v>
      </c>
      <c r="O33" s="48">
        <f t="shared" si="11"/>
        <v>7.1118</v>
      </c>
      <c r="P33" s="49">
        <f t="shared" si="12"/>
        <v>15.804</v>
      </c>
      <c r="Q33" s="52">
        <f t="shared" ref="Q33:Q35" si="31">L33*0.18</f>
        <v>14.2236</v>
      </c>
      <c r="R33" s="52">
        <f>L33*0.15</f>
        <v>11.853</v>
      </c>
      <c r="S33" s="31"/>
      <c r="T33" s="54">
        <v>0</v>
      </c>
      <c r="U33" s="33">
        <f t="shared" si="1"/>
        <v>0</v>
      </c>
      <c r="V33" s="34">
        <f t="shared" si="2"/>
        <v>48.9924</v>
      </c>
      <c r="W33" s="35">
        <f t="shared" si="13"/>
        <v>0.284856096284668</v>
      </c>
      <c r="X33" s="36">
        <f>(L33*'RESULTADO DIRETO'!N$27)/6*4</f>
        <v>11.0133656693708</v>
      </c>
      <c r="Y33" s="35">
        <f t="shared" si="18"/>
        <v>0.0640349187125463</v>
      </c>
      <c r="Z33" s="36">
        <f>(L33*'RESULTADO DIRETO'!N$15)/6*3</f>
        <v>7.52377124683904</v>
      </c>
      <c r="AA33" s="35">
        <f t="shared" si="3"/>
        <v>0.0437453994234493</v>
      </c>
      <c r="AB33" s="36">
        <f t="shared" si="14"/>
        <v>0.3149047356</v>
      </c>
      <c r="AC33" s="36">
        <f t="shared" si="4"/>
        <v>0.3149047356</v>
      </c>
      <c r="AD33" s="34">
        <f>V33+X33+Z33+AB33+AC33</f>
        <v>68.1593463874099</v>
      </c>
      <c r="AE33" s="37">
        <f t="shared" si="15"/>
        <v>0.396298310293679</v>
      </c>
      <c r="AF33" s="36">
        <f t="shared" si="6"/>
        <v>20.6388</v>
      </c>
      <c r="AG33" s="36"/>
      <c r="AH33" s="36">
        <f t="shared" si="16"/>
        <v>8.94348</v>
      </c>
      <c r="AI33" s="34">
        <f t="shared" si="7"/>
        <v>29.58228</v>
      </c>
      <c r="AJ33" s="38">
        <f t="shared" si="17"/>
        <v>97.7416263874099</v>
      </c>
      <c r="AK33" s="39">
        <f t="shared" si="8"/>
        <v>0.568298310293679</v>
      </c>
      <c r="AL33" s="38">
        <f t="shared" si="9"/>
        <v>74.2483736125901</v>
      </c>
      <c r="AM33" s="40">
        <f t="shared" si="19"/>
        <v>0.431701689706321</v>
      </c>
      <c r="AN33" s="38">
        <f t="shared" si="10"/>
        <v>2.17653758542141</v>
      </c>
    </row>
    <row r="34" s="3" customFormat="1" hidden="1" spans="1:40">
      <c r="A34" s="41">
        <v>46239</v>
      </c>
      <c r="B34" s="41" t="str">
        <v>NORMAL</v>
      </c>
      <c r="C34" s="41" t="str">
        <v>BFE7A89</v>
      </c>
      <c r="D34" s="42" t="str">
        <v>CTB</v>
      </c>
      <c r="E34" s="42" t="str">
        <v>PR</v>
      </c>
      <c r="F34" s="42" t="str">
        <v>RCG</v>
      </c>
      <c r="G34" s="42" t="str">
        <v>RJ</v>
      </c>
      <c r="H34" s="42" t="str">
        <v>COLSON DO BRASIL LTDA</v>
      </c>
      <c r="I34" s="209" t="str">
        <v>000188919</v>
      </c>
      <c r="J34" s="43">
        <v>15156.76</v>
      </c>
      <c r="K34" s="44">
        <v>35</v>
      </c>
      <c r="L34" s="45">
        <v>458.155</v>
      </c>
      <c r="M34" s="46">
        <v>760.59</v>
      </c>
      <c r="N34" s="47">
        <v>0.12</v>
      </c>
      <c r="O34" s="48">
        <f t="shared" si="11"/>
        <v>41.23395</v>
      </c>
      <c r="P34" s="49">
        <f t="shared" si="12"/>
        <v>91.631</v>
      </c>
      <c r="Q34" s="50">
        <f t="shared" si="31"/>
        <v>82.4679</v>
      </c>
      <c r="R34" s="50">
        <f>M34*0.22</f>
        <v>167.3298</v>
      </c>
      <c r="S34" s="31"/>
      <c r="T34" s="53">
        <v>286.41</v>
      </c>
      <c r="U34" s="33">
        <f t="shared" si="1"/>
        <v>0.376562931408512</v>
      </c>
      <c r="V34" s="34">
        <f t="shared" si="2"/>
        <v>669.07265</v>
      </c>
      <c r="W34" s="35">
        <f t="shared" si="13"/>
        <v>0.879675843752876</v>
      </c>
      <c r="X34" s="36">
        <f>(L34*'RESULTADO DIRETO'!N$27)/6*4</f>
        <v>63.8550816027664</v>
      </c>
      <c r="Y34" s="35">
        <f t="shared" si="18"/>
        <v>0.0839546688791154</v>
      </c>
      <c r="Z34" s="36">
        <f>(L34*'RESULTADO DIRETO'!N$15)/6*3</f>
        <v>43.6225438571949</v>
      </c>
      <c r="AA34" s="35">
        <f t="shared" si="3"/>
        <v>0.0573535595487646</v>
      </c>
      <c r="AB34" s="36">
        <f t="shared" si="14"/>
        <v>1.6275328888</v>
      </c>
      <c r="AC34" s="36">
        <f t="shared" si="4"/>
        <v>1.6275328888</v>
      </c>
      <c r="AD34" s="34">
        <f t="shared" si="30"/>
        <v>779.805341237561</v>
      </c>
      <c r="AE34" s="37">
        <f t="shared" si="15"/>
        <v>1.02526373110028</v>
      </c>
      <c r="AF34" s="36">
        <f t="shared" si="6"/>
        <v>91.2708</v>
      </c>
      <c r="AG34" s="36"/>
      <c r="AH34" s="36">
        <f t="shared" si="16"/>
        <v>39.55068</v>
      </c>
      <c r="AI34" s="34">
        <f t="shared" si="7"/>
        <v>130.82148</v>
      </c>
      <c r="AJ34" s="38">
        <f t="shared" si="17"/>
        <v>910.626821237561</v>
      </c>
      <c r="AK34" s="39">
        <f t="shared" si="8"/>
        <v>1.19726373110028</v>
      </c>
      <c r="AL34" s="38">
        <f t="shared" si="9"/>
        <v>-150.036821237561</v>
      </c>
      <c r="AM34" s="40">
        <f t="shared" si="19"/>
        <v>-0.197263731100279</v>
      </c>
      <c r="AN34" s="38">
        <f t="shared" si="10"/>
        <v>1.66011502657398</v>
      </c>
    </row>
    <row r="35" s="3" customFormat="1" hidden="1" spans="1:40">
      <c r="A35" s="41">
        <v>46239</v>
      </c>
      <c r="B35" s="41" t="str">
        <v>NORMAL</v>
      </c>
      <c r="C35" s="41" t="str">
        <v>BFE7A89</v>
      </c>
      <c r="D35" s="42" t="str">
        <v>CTB</v>
      </c>
      <c r="E35" s="42" t="str">
        <v>PR</v>
      </c>
      <c r="F35" s="42" t="str">
        <v>TAM</v>
      </c>
      <c r="G35" s="42" t="str">
        <v>MG</v>
      </c>
      <c r="H35" s="42" t="str">
        <v>COLSON DO BRASIL LTDA</v>
      </c>
      <c r="I35" s="209" t="str">
        <v>000188945</v>
      </c>
      <c r="J35" s="43">
        <v>5062.79</v>
      </c>
      <c r="K35" s="44">
        <v>17</v>
      </c>
      <c r="L35" s="45">
        <v>129.65</v>
      </c>
      <c r="M35" s="46">
        <v>225.97</v>
      </c>
      <c r="N35" s="47">
        <v>0.12</v>
      </c>
      <c r="O35" s="48">
        <f t="shared" si="11"/>
        <v>11.6685</v>
      </c>
      <c r="P35" s="49">
        <f t="shared" si="12"/>
        <v>25.93</v>
      </c>
      <c r="Q35" s="52">
        <f t="shared" si="31"/>
        <v>23.337</v>
      </c>
      <c r="R35" s="52">
        <f>L35*0.15</f>
        <v>19.4475</v>
      </c>
      <c r="S35" s="31"/>
      <c r="T35" s="53">
        <v>53.16</v>
      </c>
      <c r="U35" s="33">
        <f t="shared" ref="U35:U66" si="32">T35/M35</f>
        <v>0.235252467141656</v>
      </c>
      <c r="V35" s="34">
        <f t="shared" ref="V35:V66" si="33">O35+P35+Q35+R35+S35+T35</f>
        <v>133.543</v>
      </c>
      <c r="W35" s="35">
        <f t="shared" si="13"/>
        <v>0.590976678320131</v>
      </c>
      <c r="X35" s="36">
        <f>(L35*'RESULTADO DIRETO'!N$27)/6*4</f>
        <v>18.069891913869</v>
      </c>
      <c r="Y35" s="35">
        <f t="shared" si="18"/>
        <v>0.0799658888961766</v>
      </c>
      <c r="Z35" s="36">
        <f>(L35*'RESULTADO DIRETO'!N$15)/6*3</f>
        <v>12.3444310573612</v>
      </c>
      <c r="AA35" s="35">
        <f t="shared" ref="AA35:AA66" si="34">Z35/M35</f>
        <v>0.054628627947786</v>
      </c>
      <c r="AB35" s="36">
        <f t="shared" si="14"/>
        <v>0.5436423902</v>
      </c>
      <c r="AC35" s="36">
        <f t="shared" ref="AC35:AC66" si="35">(J35*0.01%)*7.38%+(J35*0.01%)</f>
        <v>0.5436423902</v>
      </c>
      <c r="AD35" s="34">
        <f t="shared" si="30"/>
        <v>165.04460775163</v>
      </c>
      <c r="AE35" s="37">
        <f t="shared" si="15"/>
        <v>0.73038282848002</v>
      </c>
      <c r="AF35" s="36">
        <f t="shared" ref="AF35:AF66" si="36">M35*N35</f>
        <v>27.1164</v>
      </c>
      <c r="AG35" s="36"/>
      <c r="AH35" s="36">
        <f t="shared" si="16"/>
        <v>11.75044</v>
      </c>
      <c r="AI35" s="34">
        <f t="shared" ref="AI35:AI66" si="37">AF35+AG35+AH35</f>
        <v>38.86684</v>
      </c>
      <c r="AJ35" s="38">
        <f t="shared" si="17"/>
        <v>203.91144775163</v>
      </c>
      <c r="AK35" s="39">
        <f t="shared" ref="AK35:AK66" si="38">AJ35/M35</f>
        <v>0.90238282848002</v>
      </c>
      <c r="AL35" s="38">
        <f t="shared" ref="AL35:AL66" si="39">M35-AJ35</f>
        <v>22.0585522483698</v>
      </c>
      <c r="AM35" s="40">
        <f t="shared" si="19"/>
        <v>0.0976171715199795</v>
      </c>
      <c r="AN35" s="38">
        <f t="shared" ref="AN35:AN66" si="40">M35/L35</f>
        <v>1.74292325491708</v>
      </c>
    </row>
    <row r="36" s="3" customFormat="1" hidden="1" spans="1:40">
      <c r="A36" s="41">
        <v>46240</v>
      </c>
      <c r="B36" s="41" t="str">
        <v>NORMAL</v>
      </c>
      <c r="C36" s="41" t="str">
        <v>DQB8989</v>
      </c>
      <c r="D36" s="42" t="str">
        <v>CTB</v>
      </c>
      <c r="E36" s="42" t="str">
        <v>PR</v>
      </c>
      <c r="F36" s="42" t="str">
        <v>PSP</v>
      </c>
      <c r="G36" s="42" t="str">
        <v>SP</v>
      </c>
      <c r="H36" s="42" t="str">
        <v>COLSON DO BRASIL LTDA</v>
      </c>
      <c r="I36" s="209" t="str">
        <v>000189034</v>
      </c>
      <c r="J36" s="43">
        <v>4546.1</v>
      </c>
      <c r="K36" s="44">
        <v>7</v>
      </c>
      <c r="L36" s="45">
        <v>62.3</v>
      </c>
      <c r="M36" s="46">
        <v>156.27</v>
      </c>
      <c r="N36" s="47">
        <v>0.12</v>
      </c>
      <c r="O36" s="48">
        <f t="shared" si="11"/>
        <v>5.607</v>
      </c>
      <c r="P36" s="49">
        <f t="shared" si="12"/>
        <v>12.46</v>
      </c>
      <c r="Q36" s="31"/>
      <c r="R36" s="49">
        <f>L36*0</f>
        <v>0</v>
      </c>
      <c r="S36" s="31"/>
      <c r="T36" s="53">
        <v>60.5</v>
      </c>
      <c r="U36" s="33">
        <f t="shared" si="32"/>
        <v>0.387150444743073</v>
      </c>
      <c r="V36" s="34">
        <f t="shared" si="33"/>
        <v>78.567</v>
      </c>
      <c r="W36" s="35">
        <f t="shared" si="13"/>
        <v>0.502764446150893</v>
      </c>
      <c r="X36" s="36">
        <f>(L36*'RESULTADO DIRETO'!N$27)/6*3</f>
        <v>6.51226918376807</v>
      </c>
      <c r="Y36" s="35">
        <f t="shared" si="18"/>
        <v>0.0416731886079738</v>
      </c>
      <c r="Z36" s="36">
        <f>(L36*'RESULTADO DIRETO'!N$15)/6*2</f>
        <v>3.95453428396247</v>
      </c>
      <c r="AA36" s="35">
        <f t="shared" si="34"/>
        <v>0.0253057802774843</v>
      </c>
      <c r="AB36" s="36">
        <f t="shared" si="14"/>
        <v>0.488160218</v>
      </c>
      <c r="AC36" s="36">
        <f t="shared" si="35"/>
        <v>0.488160218</v>
      </c>
      <c r="AD36" s="34">
        <f t="shared" si="30"/>
        <v>90.0101239037306</v>
      </c>
      <c r="AE36" s="37">
        <f t="shared" si="15"/>
        <v>0.575991066127411</v>
      </c>
      <c r="AF36" s="36">
        <f t="shared" si="36"/>
        <v>18.7524</v>
      </c>
      <c r="AG36" s="36"/>
      <c r="AH36" s="36">
        <f t="shared" si="16"/>
        <v>8.12604</v>
      </c>
      <c r="AI36" s="34">
        <f t="shared" si="37"/>
        <v>26.87844</v>
      </c>
      <c r="AJ36" s="38">
        <f t="shared" ref="AJ36:AJ67" si="41">AD36+AI36</f>
        <v>116.888563903731</v>
      </c>
      <c r="AK36" s="39">
        <f t="shared" si="38"/>
        <v>0.747991066127411</v>
      </c>
      <c r="AL36" s="38">
        <f t="shared" si="39"/>
        <v>39.3814360962695</v>
      </c>
      <c r="AM36" s="40">
        <f t="shared" si="19"/>
        <v>0.252008933872589</v>
      </c>
      <c r="AN36" s="38">
        <f t="shared" si="40"/>
        <v>2.5083467094703</v>
      </c>
    </row>
    <row r="37" s="3" customFormat="1" spans="1:40">
      <c r="A37" s="41">
        <v>46240</v>
      </c>
      <c r="B37" s="41" t="str">
        <v>NORMAL</v>
      </c>
      <c r="C37" s="41" t="str">
        <v>DQB8989</v>
      </c>
      <c r="D37" s="42" t="str">
        <v>CTB</v>
      </c>
      <c r="E37" s="42" t="str">
        <v>PR</v>
      </c>
      <c r="F37" s="42" t="str">
        <v>SPO</v>
      </c>
      <c r="G37" s="42" t="str">
        <v>SP</v>
      </c>
      <c r="H37" s="42" t="str">
        <v>COLSON DO BRASIL LTDA</v>
      </c>
      <c r="I37" s="209" t="str">
        <v>000189043</v>
      </c>
      <c r="J37" s="43">
        <v>1565.55</v>
      </c>
      <c r="K37" s="44">
        <v>3</v>
      </c>
      <c r="L37" s="45">
        <v>34.44</v>
      </c>
      <c r="M37" s="46">
        <v>397.86</v>
      </c>
      <c r="N37" s="47">
        <v>0.12</v>
      </c>
      <c r="O37" s="48">
        <f t="shared" si="11"/>
        <v>3.0996</v>
      </c>
      <c r="P37" s="49">
        <f t="shared" si="12"/>
        <v>6.888</v>
      </c>
      <c r="Q37" s="31"/>
      <c r="R37" s="49">
        <f>L37*0.19</f>
        <v>6.5436</v>
      </c>
      <c r="S37" s="31"/>
      <c r="T37" s="30">
        <v>0</v>
      </c>
      <c r="U37" s="33">
        <f t="shared" si="32"/>
        <v>0</v>
      </c>
      <c r="V37" s="34">
        <f t="shared" si="33"/>
        <v>16.5312</v>
      </c>
      <c r="W37" s="35">
        <f t="shared" si="13"/>
        <v>0.0415502940732921</v>
      </c>
      <c r="X37" s="36">
        <f>(L37*'RESULTADO DIRETO'!N$27)/6*3</f>
        <v>3.60004094203808</v>
      </c>
      <c r="Y37" s="35">
        <f t="shared" si="18"/>
        <v>0.00904851189372663</v>
      </c>
      <c r="Z37" s="36">
        <f>(L37*'RESULTADO DIRETO'!N$15)/6*2</f>
        <v>2.18610209855004</v>
      </c>
      <c r="AA37" s="35">
        <f t="shared" si="34"/>
        <v>0.00549465163260957</v>
      </c>
      <c r="AB37" s="36">
        <f t="shared" si="14"/>
        <v>0.168108759</v>
      </c>
      <c r="AC37" s="36">
        <f t="shared" si="35"/>
        <v>0.168108759</v>
      </c>
      <c r="AD37" s="34">
        <f t="shared" si="30"/>
        <v>22.6535605585881</v>
      </c>
      <c r="AE37" s="37">
        <f t="shared" si="15"/>
        <v>0.0569385224918014</v>
      </c>
      <c r="AF37" s="36">
        <f t="shared" si="36"/>
        <v>47.7432</v>
      </c>
      <c r="AG37" s="36"/>
      <c r="AH37" s="36">
        <f t="shared" si="16"/>
        <v>20.68872</v>
      </c>
      <c r="AI37" s="34">
        <f t="shared" si="37"/>
        <v>68.43192</v>
      </c>
      <c r="AJ37" s="38">
        <f t="shared" si="41"/>
        <v>91.0854805585881</v>
      </c>
      <c r="AK37" s="39">
        <f t="shared" si="38"/>
        <v>0.228938522491801</v>
      </c>
      <c r="AL37" s="38">
        <f t="shared" si="39"/>
        <v>306.774519441412</v>
      </c>
      <c r="AM37" s="40">
        <f t="shared" si="19"/>
        <v>0.771061477508199</v>
      </c>
      <c r="AN37" s="38">
        <f t="shared" si="40"/>
        <v>11.5522648083624</v>
      </c>
    </row>
    <row r="38" s="3" customFormat="1" hidden="1" spans="1:40">
      <c r="A38" s="41">
        <v>46240</v>
      </c>
      <c r="B38" s="41" t="str">
        <v>NORMAL</v>
      </c>
      <c r="C38" s="41" t="str">
        <v>DQB8989</v>
      </c>
      <c r="D38" s="42" t="str">
        <v>CTB</v>
      </c>
      <c r="E38" s="42" t="str">
        <v>PR</v>
      </c>
      <c r="F38" s="42" t="str">
        <v>EPS</v>
      </c>
      <c r="G38" s="42" t="str">
        <v>ES</v>
      </c>
      <c r="H38" s="42" t="str">
        <v>COLSON DO BRASIL LTDA</v>
      </c>
      <c r="I38" s="209" t="str">
        <v>000188977</v>
      </c>
      <c r="J38" s="43">
        <v>2337.69</v>
      </c>
      <c r="K38" s="44">
        <v>7</v>
      </c>
      <c r="L38" s="45">
        <v>75.75</v>
      </c>
      <c r="M38" s="46">
        <v>444.06</v>
      </c>
      <c r="N38" s="47">
        <v>0.07</v>
      </c>
      <c r="O38" s="48">
        <f t="shared" si="11"/>
        <v>6.8175</v>
      </c>
      <c r="P38" s="49">
        <f t="shared" si="12"/>
        <v>15.15</v>
      </c>
      <c r="Q38" s="31"/>
      <c r="R38" s="31"/>
      <c r="S38" s="31"/>
      <c r="T38" s="30">
        <v>213.15</v>
      </c>
      <c r="U38" s="33">
        <f t="shared" si="32"/>
        <v>0.480002702337522</v>
      </c>
      <c r="V38" s="34">
        <f t="shared" si="33"/>
        <v>235.1175</v>
      </c>
      <c r="W38" s="35">
        <f t="shared" si="13"/>
        <v>0.529472368598838</v>
      </c>
      <c r="X38" s="36">
        <f>(L38*'RESULTADO DIRETO'!N$27)/6*3</f>
        <v>7.91820851798445</v>
      </c>
      <c r="Y38" s="35">
        <f t="shared" si="18"/>
        <v>0.0178313933206874</v>
      </c>
      <c r="Z38" s="36">
        <f>(L38*'RESULTADO DIRETO'!N$15)/6*4</f>
        <v>9.61656410947536</v>
      </c>
      <c r="AA38" s="35">
        <f t="shared" si="34"/>
        <v>0.0216560016877795</v>
      </c>
      <c r="AB38" s="36">
        <f t="shared" si="14"/>
        <v>0.2510211522</v>
      </c>
      <c r="AC38" s="36">
        <f t="shared" si="35"/>
        <v>0.2510211522</v>
      </c>
      <c r="AD38" s="34"/>
      <c r="AE38" s="37">
        <f t="shared" si="15"/>
        <v>0</v>
      </c>
      <c r="AF38" s="36">
        <f t="shared" si="36"/>
        <v>31.0842</v>
      </c>
      <c r="AG38" s="36"/>
      <c r="AH38" s="36">
        <f t="shared" si="16"/>
        <v>23.09112</v>
      </c>
      <c r="AI38" s="34">
        <f t="shared" si="37"/>
        <v>54.17532</v>
      </c>
      <c r="AJ38" s="38">
        <f t="shared" si="41"/>
        <v>54.17532</v>
      </c>
      <c r="AK38" s="39">
        <f t="shared" si="38"/>
        <v>0.122</v>
      </c>
      <c r="AL38" s="38">
        <f t="shared" si="39"/>
        <v>389.88468</v>
      </c>
      <c r="AM38" s="40">
        <f t="shared" si="19"/>
        <v>0.878</v>
      </c>
      <c r="AN38" s="38">
        <f t="shared" si="40"/>
        <v>5.86217821782178</v>
      </c>
    </row>
    <row r="39" s="3" customFormat="1" spans="1:40">
      <c r="A39" s="41">
        <v>46240</v>
      </c>
      <c r="B39" s="41" t="str">
        <v>NORMAL</v>
      </c>
      <c r="C39" s="41" t="str">
        <v>DQB8989</v>
      </c>
      <c r="D39" s="42" t="str">
        <v>CTB</v>
      </c>
      <c r="E39" s="42" t="str">
        <v>PR</v>
      </c>
      <c r="F39" s="42" t="str">
        <v>PSP</v>
      </c>
      <c r="G39" s="42" t="str">
        <v>SP</v>
      </c>
      <c r="H39" s="42" t="str">
        <v>COLSON DO BRASIL LTDA</v>
      </c>
      <c r="I39" s="209" t="str">
        <v>000188979</v>
      </c>
      <c r="J39" s="43">
        <v>1517.69</v>
      </c>
      <c r="K39" s="44">
        <v>8</v>
      </c>
      <c r="L39" s="45">
        <v>41.28</v>
      </c>
      <c r="M39" s="46">
        <v>160.3</v>
      </c>
      <c r="N39" s="47">
        <v>0.12</v>
      </c>
      <c r="O39" s="48">
        <f t="shared" si="11"/>
        <v>3.7152</v>
      </c>
      <c r="P39" s="49">
        <f t="shared" si="12"/>
        <v>8.256</v>
      </c>
      <c r="Q39" s="31"/>
      <c r="R39" s="49">
        <f>L39*0</f>
        <v>0</v>
      </c>
      <c r="S39" s="31"/>
      <c r="T39" s="53">
        <v>49.5</v>
      </c>
      <c r="U39" s="33">
        <f t="shared" si="32"/>
        <v>0.308796007485964</v>
      </c>
      <c r="V39" s="34">
        <f t="shared" si="33"/>
        <v>61.4712</v>
      </c>
      <c r="W39" s="35">
        <f t="shared" si="13"/>
        <v>0.383475982532751</v>
      </c>
      <c r="X39" s="36">
        <f>(L39*'RESULTADO DIRETO'!N$27)/6*3</f>
        <v>4.31503165178083</v>
      </c>
      <c r="Y39" s="35">
        <f t="shared" si="18"/>
        <v>0.026918475681727</v>
      </c>
      <c r="Z39" s="36">
        <f>(L39*'RESULTADO DIRETO'!N$15)/6*2</f>
        <v>2.62027568606695</v>
      </c>
      <c r="AA39" s="35">
        <f t="shared" si="34"/>
        <v>0.0163460741488893</v>
      </c>
      <c r="AB39" s="36">
        <f t="shared" si="14"/>
        <v>0.1629695522</v>
      </c>
      <c r="AC39" s="36">
        <f t="shared" si="35"/>
        <v>0.1629695522</v>
      </c>
      <c r="AD39" s="34">
        <f t="shared" ref="AD39:AD45" si="42">V39+X39+Z39+AB39+AC39</f>
        <v>68.7324464422478</v>
      </c>
      <c r="AE39" s="37">
        <f t="shared" si="15"/>
        <v>0.428773839315332</v>
      </c>
      <c r="AF39" s="36">
        <f t="shared" si="36"/>
        <v>19.236</v>
      </c>
      <c r="AG39" s="36"/>
      <c r="AH39" s="36">
        <f t="shared" si="16"/>
        <v>8.3356</v>
      </c>
      <c r="AI39" s="34">
        <f t="shared" si="37"/>
        <v>27.5716</v>
      </c>
      <c r="AJ39" s="38">
        <f t="shared" si="41"/>
        <v>96.3040464422478</v>
      </c>
      <c r="AK39" s="39">
        <f t="shared" si="38"/>
        <v>0.600773839315332</v>
      </c>
      <c r="AL39" s="38">
        <f t="shared" si="39"/>
        <v>63.9959535577522</v>
      </c>
      <c r="AM39" s="40">
        <f t="shared" ref="AM39:AM83" si="43">AL39/M39</f>
        <v>0.399226160684668</v>
      </c>
      <c r="AN39" s="38">
        <f t="shared" si="40"/>
        <v>3.88323643410853</v>
      </c>
    </row>
    <row r="40" s="3" customFormat="1" spans="1:40">
      <c r="A40" s="41">
        <v>46240</v>
      </c>
      <c r="B40" s="41" t="str">
        <v>NORMAL</v>
      </c>
      <c r="C40" s="41" t="str">
        <v>DQB8989</v>
      </c>
      <c r="D40" s="42" t="str">
        <v>CTB</v>
      </c>
      <c r="E40" s="42" t="str">
        <v>PR</v>
      </c>
      <c r="F40" s="42" t="str">
        <v>SPO</v>
      </c>
      <c r="G40" s="42" t="str">
        <v>SP</v>
      </c>
      <c r="H40" s="42" t="str">
        <v>COLSON DO BRASIL LTDA</v>
      </c>
      <c r="I40" s="209" t="str">
        <v>000188958</v>
      </c>
      <c r="J40" s="43">
        <v>1858.04</v>
      </c>
      <c r="K40" s="44">
        <v>2</v>
      </c>
      <c r="L40" s="45">
        <v>12.97</v>
      </c>
      <c r="M40" s="46">
        <v>96</v>
      </c>
      <c r="N40" s="47">
        <v>0.12</v>
      </c>
      <c r="O40" s="48">
        <f t="shared" si="11"/>
        <v>1.1673</v>
      </c>
      <c r="P40" s="49">
        <f t="shared" si="12"/>
        <v>2.594</v>
      </c>
      <c r="Q40" s="31"/>
      <c r="R40" s="49">
        <f t="shared" ref="R40:R44" si="44">L40*0.19</f>
        <v>2.4643</v>
      </c>
      <c r="S40" s="31"/>
      <c r="T40" s="30">
        <v>0</v>
      </c>
      <c r="U40" s="33">
        <f t="shared" si="32"/>
        <v>0</v>
      </c>
      <c r="V40" s="34">
        <f t="shared" si="33"/>
        <v>6.2256</v>
      </c>
      <c r="W40" s="35">
        <f t="shared" si="13"/>
        <v>0.06485</v>
      </c>
      <c r="X40" s="36">
        <f>(L40*'RESULTADO DIRETO'!N$27)/6*3</f>
        <v>1.35576454756777</v>
      </c>
      <c r="Y40" s="35">
        <f t="shared" si="18"/>
        <v>0.0141225473704976</v>
      </c>
      <c r="Z40" s="36">
        <f>(L40*'RESULTADO DIRETO'!N$15)/6*2</f>
        <v>0.823279448844194</v>
      </c>
      <c r="AA40" s="35">
        <f t="shared" si="34"/>
        <v>0.00857582759212702</v>
      </c>
      <c r="AB40" s="36">
        <f t="shared" si="14"/>
        <v>0.1995163352</v>
      </c>
      <c r="AC40" s="36">
        <f t="shared" si="35"/>
        <v>0.1995163352</v>
      </c>
      <c r="AD40" s="34">
        <f t="shared" si="42"/>
        <v>8.80367666681196</v>
      </c>
      <c r="AE40" s="37">
        <f t="shared" si="15"/>
        <v>0.0917049652792913</v>
      </c>
      <c r="AF40" s="36">
        <f t="shared" si="36"/>
        <v>11.52</v>
      </c>
      <c r="AG40" s="36"/>
      <c r="AH40" s="36">
        <f t="shared" si="16"/>
        <v>4.992</v>
      </c>
      <c r="AI40" s="34">
        <f t="shared" si="37"/>
        <v>16.512</v>
      </c>
      <c r="AJ40" s="38">
        <f t="shared" si="41"/>
        <v>25.315676666812</v>
      </c>
      <c r="AK40" s="39">
        <f t="shared" si="38"/>
        <v>0.263704965279291</v>
      </c>
      <c r="AL40" s="38">
        <f t="shared" si="39"/>
        <v>70.684323333188</v>
      </c>
      <c r="AM40" s="40">
        <f t="shared" si="43"/>
        <v>0.736295034720709</v>
      </c>
      <c r="AN40" s="38">
        <f t="shared" si="40"/>
        <v>7.40169622205089</v>
      </c>
    </row>
    <row r="41" s="3" customFormat="1" hidden="1" spans="1:40">
      <c r="A41" s="41">
        <v>46240</v>
      </c>
      <c r="B41" s="41" t="str">
        <v>NORMAL</v>
      </c>
      <c r="C41" s="41" t="str">
        <v>DQB8989</v>
      </c>
      <c r="D41" s="42" t="str">
        <v>CTB</v>
      </c>
      <c r="E41" s="42" t="str">
        <v>PR</v>
      </c>
      <c r="F41" s="42" t="str">
        <v>RJO</v>
      </c>
      <c r="G41" s="42" t="str">
        <v>RJ</v>
      </c>
      <c r="H41" s="42" t="str">
        <v>COLSON DO BRASIL LTDA</v>
      </c>
      <c r="I41" s="209" t="str">
        <v>000188941</v>
      </c>
      <c r="J41" s="43">
        <v>5241</v>
      </c>
      <c r="K41" s="44">
        <v>21</v>
      </c>
      <c r="L41" s="45">
        <v>163.856</v>
      </c>
      <c r="M41" s="46">
        <v>243.95</v>
      </c>
      <c r="N41" s="47">
        <v>0.12</v>
      </c>
      <c r="O41" s="48">
        <f t="shared" si="11"/>
        <v>14.74704</v>
      </c>
      <c r="P41" s="49">
        <f t="shared" si="12"/>
        <v>32.7712</v>
      </c>
      <c r="Q41" s="50">
        <f>L41*0.18</f>
        <v>29.49408</v>
      </c>
      <c r="R41" s="50">
        <f>M41*0.22</f>
        <v>53.669</v>
      </c>
      <c r="S41" s="31"/>
      <c r="T41" s="51">
        <v>0</v>
      </c>
      <c r="U41" s="33">
        <f t="shared" si="32"/>
        <v>0</v>
      </c>
      <c r="V41" s="34">
        <f t="shared" si="33"/>
        <v>130.68132</v>
      </c>
      <c r="W41" s="35">
        <f t="shared" si="13"/>
        <v>0.535688952654232</v>
      </c>
      <c r="X41" s="36">
        <f>(L41*'RESULTADO DIRETO'!N$27)/6*4</f>
        <v>22.8373328919315</v>
      </c>
      <c r="Y41" s="35">
        <f t="shared" si="18"/>
        <v>0.0936148099689753</v>
      </c>
      <c r="Z41" s="36">
        <f>(L41*'RESULTADO DIRETO'!N$15)/6*3</f>
        <v>15.6013042447742</v>
      </c>
      <c r="AA41" s="35">
        <f t="shared" si="34"/>
        <v>0.0639528765926387</v>
      </c>
      <c r="AB41" s="36">
        <f t="shared" si="14"/>
        <v>0.56277858</v>
      </c>
      <c r="AC41" s="36">
        <f t="shared" si="35"/>
        <v>0.56277858</v>
      </c>
      <c r="AD41" s="34">
        <f t="shared" si="42"/>
        <v>170.245514296706</v>
      </c>
      <c r="AE41" s="37">
        <f t="shared" si="15"/>
        <v>0.69787052386434</v>
      </c>
      <c r="AF41" s="36">
        <f t="shared" si="36"/>
        <v>29.274</v>
      </c>
      <c r="AG41" s="36"/>
      <c r="AH41" s="36">
        <f t="shared" si="16"/>
        <v>12.6854</v>
      </c>
      <c r="AI41" s="34">
        <f t="shared" si="37"/>
        <v>41.9594</v>
      </c>
      <c r="AJ41" s="38">
        <f t="shared" si="41"/>
        <v>212.204914296706</v>
      </c>
      <c r="AK41" s="39">
        <f t="shared" si="38"/>
        <v>0.86987052386434</v>
      </c>
      <c r="AL41" s="38">
        <f t="shared" si="39"/>
        <v>31.7450857032943</v>
      </c>
      <c r="AM41" s="40">
        <f t="shared" si="43"/>
        <v>0.13012947613566</v>
      </c>
      <c r="AN41" s="38">
        <f t="shared" si="40"/>
        <v>1.48880724538619</v>
      </c>
    </row>
    <row r="42" s="3" customFormat="1" hidden="1" spans="1:40">
      <c r="A42" s="41">
        <v>46240</v>
      </c>
      <c r="B42" s="41" t="str">
        <v>NORMAL</v>
      </c>
      <c r="C42" s="41" t="str">
        <v>DQB8989</v>
      </c>
      <c r="D42" s="42" t="str">
        <v>CTB</v>
      </c>
      <c r="E42" s="42" t="str">
        <v>PR</v>
      </c>
      <c r="F42" s="42" t="str">
        <v>EPS</v>
      </c>
      <c r="G42" s="42" t="str">
        <v>ES</v>
      </c>
      <c r="H42" s="42" t="str">
        <v>COLSON DO BRASIL LTDA</v>
      </c>
      <c r="I42" s="209" t="str">
        <v>000189050</v>
      </c>
      <c r="J42" s="43">
        <v>9428.79</v>
      </c>
      <c r="K42" s="44">
        <v>20</v>
      </c>
      <c r="L42" s="45">
        <v>320</v>
      </c>
      <c r="M42" s="46">
        <v>457.8</v>
      </c>
      <c r="N42" s="47">
        <v>0.07</v>
      </c>
      <c r="O42" s="48">
        <f t="shared" si="11"/>
        <v>28.8</v>
      </c>
      <c r="P42" s="49">
        <f t="shared" si="12"/>
        <v>64</v>
      </c>
      <c r="Q42" s="31"/>
      <c r="R42" s="31"/>
      <c r="S42" s="31"/>
      <c r="T42" s="30">
        <v>219.74</v>
      </c>
      <c r="U42" s="33">
        <f t="shared" si="32"/>
        <v>0.47999126256007</v>
      </c>
      <c r="V42" s="34">
        <f t="shared" si="33"/>
        <v>312.54</v>
      </c>
      <c r="W42" s="35">
        <f t="shared" si="13"/>
        <v>0.682699868938401</v>
      </c>
      <c r="X42" s="36">
        <f>(L42*'RESULTADO DIRETO'!N$27)/6*3</f>
        <v>33.4498577657429</v>
      </c>
      <c r="Y42" s="35">
        <f t="shared" si="18"/>
        <v>0.0730665307246459</v>
      </c>
      <c r="Z42" s="36">
        <f>(L42*'RESULTADO DIRETO'!N$15)/6*4</f>
        <v>40.6244292413481</v>
      </c>
      <c r="AA42" s="35">
        <f t="shared" si="34"/>
        <v>0.088738377547724</v>
      </c>
      <c r="AB42" s="36">
        <f t="shared" si="14"/>
        <v>1.0124634702</v>
      </c>
      <c r="AC42" s="36">
        <f t="shared" si="35"/>
        <v>1.0124634702</v>
      </c>
      <c r="AD42" s="34"/>
      <c r="AE42" s="37">
        <f t="shared" si="15"/>
        <v>0</v>
      </c>
      <c r="AF42" s="36">
        <f t="shared" si="36"/>
        <v>32.046</v>
      </c>
      <c r="AG42" s="36"/>
      <c r="AH42" s="36">
        <f t="shared" si="16"/>
        <v>23.8056</v>
      </c>
      <c r="AI42" s="34">
        <f t="shared" si="37"/>
        <v>55.8516</v>
      </c>
      <c r="AJ42" s="38">
        <f t="shared" si="41"/>
        <v>55.8516</v>
      </c>
      <c r="AK42" s="39">
        <f t="shared" si="38"/>
        <v>0.122</v>
      </c>
      <c r="AL42" s="38">
        <f t="shared" si="39"/>
        <v>401.9484</v>
      </c>
      <c r="AM42" s="40">
        <f t="shared" si="43"/>
        <v>0.878</v>
      </c>
      <c r="AN42" s="38">
        <f t="shared" si="40"/>
        <v>1.430625</v>
      </c>
    </row>
    <row r="43" s="3" customFormat="1" spans="1:40">
      <c r="A43" s="41">
        <v>46240</v>
      </c>
      <c r="B43" s="41" t="str">
        <v>NORMAL</v>
      </c>
      <c r="C43" s="41" t="str">
        <v>DQB8989</v>
      </c>
      <c r="D43" s="42" t="str">
        <v>CTB</v>
      </c>
      <c r="E43" s="42" t="str">
        <v>PR</v>
      </c>
      <c r="F43" s="42" t="str">
        <v>SPO</v>
      </c>
      <c r="G43" s="42" t="str">
        <v>SP</v>
      </c>
      <c r="H43" s="42" t="str">
        <v>COLSON DO BRASIL LTDA</v>
      </c>
      <c r="I43" s="209" t="str">
        <v>000189041</v>
      </c>
      <c r="J43" s="43">
        <v>1642.29</v>
      </c>
      <c r="K43" s="44">
        <v>3</v>
      </c>
      <c r="L43" s="45">
        <v>26.88</v>
      </c>
      <c r="M43" s="46">
        <v>104.43</v>
      </c>
      <c r="N43" s="47">
        <v>0.12</v>
      </c>
      <c r="O43" s="48">
        <f t="shared" si="11"/>
        <v>2.4192</v>
      </c>
      <c r="P43" s="49">
        <f t="shared" si="12"/>
        <v>5.376</v>
      </c>
      <c r="Q43" s="31"/>
      <c r="R43" s="49">
        <f t="shared" si="44"/>
        <v>5.1072</v>
      </c>
      <c r="S43" s="31"/>
      <c r="T43" s="30">
        <v>0</v>
      </c>
      <c r="U43" s="33">
        <f t="shared" si="32"/>
        <v>0</v>
      </c>
      <c r="V43" s="34">
        <f t="shared" si="33"/>
        <v>12.9024</v>
      </c>
      <c r="W43" s="35">
        <f t="shared" si="13"/>
        <v>0.123550703820741</v>
      </c>
      <c r="X43" s="36">
        <f>(L43*'RESULTADO DIRETO'!N$27)/6*3</f>
        <v>2.8097880523224</v>
      </c>
      <c r="Y43" s="35">
        <f t="shared" si="18"/>
        <v>0.0269059470681069</v>
      </c>
      <c r="Z43" s="36">
        <f>(L43*'RESULTADO DIRETO'!N$15)/6*2</f>
        <v>1.70622602813662</v>
      </c>
      <c r="AA43" s="35">
        <f t="shared" si="34"/>
        <v>0.0163384662274884</v>
      </c>
      <c r="AB43" s="36">
        <f t="shared" si="14"/>
        <v>0.1763491002</v>
      </c>
      <c r="AC43" s="36">
        <f t="shared" si="35"/>
        <v>0.1763491002</v>
      </c>
      <c r="AD43" s="34">
        <f t="shared" si="42"/>
        <v>17.771112280859</v>
      </c>
      <c r="AE43" s="37">
        <f t="shared" si="15"/>
        <v>0.170172481862099</v>
      </c>
      <c r="AF43" s="36">
        <f t="shared" si="36"/>
        <v>12.5316</v>
      </c>
      <c r="AG43" s="36"/>
      <c r="AH43" s="36">
        <f t="shared" si="16"/>
        <v>5.43036</v>
      </c>
      <c r="AI43" s="34">
        <f t="shared" si="37"/>
        <v>17.96196</v>
      </c>
      <c r="AJ43" s="38">
        <f t="shared" si="41"/>
        <v>35.733072280859</v>
      </c>
      <c r="AK43" s="39">
        <f t="shared" si="38"/>
        <v>0.342172481862099</v>
      </c>
      <c r="AL43" s="38">
        <f t="shared" si="39"/>
        <v>68.696927719141</v>
      </c>
      <c r="AM43" s="40">
        <f t="shared" si="43"/>
        <v>0.657827518137901</v>
      </c>
      <c r="AN43" s="38">
        <f t="shared" si="40"/>
        <v>3.88504464285714</v>
      </c>
    </row>
    <row r="44" s="3" customFormat="1" spans="1:40">
      <c r="A44" s="41">
        <v>46240</v>
      </c>
      <c r="B44" s="41" t="str">
        <v>NORMAL</v>
      </c>
      <c r="C44" s="41" t="str">
        <v>DQB8989</v>
      </c>
      <c r="D44" s="42" t="str">
        <v>CTB</v>
      </c>
      <c r="E44" s="42" t="str">
        <v>PR</v>
      </c>
      <c r="F44" s="42" t="str">
        <v>SPO</v>
      </c>
      <c r="G44" s="42" t="str">
        <v>SP</v>
      </c>
      <c r="H44" s="42" t="str">
        <v>COLSON DO BRASIL LTDA</v>
      </c>
      <c r="I44" s="209" t="str">
        <v>000189029</v>
      </c>
      <c r="J44" s="43">
        <v>1284.39</v>
      </c>
      <c r="K44" s="44">
        <v>2</v>
      </c>
      <c r="L44" s="45">
        <v>34</v>
      </c>
      <c r="M44" s="46">
        <v>112.55</v>
      </c>
      <c r="N44" s="47">
        <v>0.12</v>
      </c>
      <c r="O44" s="48">
        <f t="shared" si="11"/>
        <v>3.06</v>
      </c>
      <c r="P44" s="49">
        <f t="shared" si="12"/>
        <v>6.8</v>
      </c>
      <c r="Q44" s="31"/>
      <c r="R44" s="49">
        <f t="shared" si="44"/>
        <v>6.46</v>
      </c>
      <c r="S44" s="31"/>
      <c r="T44" s="30">
        <v>0</v>
      </c>
      <c r="U44" s="33">
        <f t="shared" si="32"/>
        <v>0</v>
      </c>
      <c r="V44" s="34">
        <f t="shared" si="33"/>
        <v>16.32</v>
      </c>
      <c r="W44" s="35">
        <f t="shared" si="13"/>
        <v>0.145002221235007</v>
      </c>
      <c r="X44" s="36">
        <f>(L44*'RESULTADO DIRETO'!N$27)/6*3</f>
        <v>3.55404738761018</v>
      </c>
      <c r="Y44" s="35">
        <f t="shared" si="18"/>
        <v>0.0315774978908057</v>
      </c>
      <c r="Z44" s="36">
        <f>(L44*'RESULTADO DIRETO'!N$15)/6*2</f>
        <v>2.15817280344662</v>
      </c>
      <c r="AA44" s="35">
        <f t="shared" si="34"/>
        <v>0.0191752359257807</v>
      </c>
      <c r="AB44" s="36">
        <f t="shared" si="14"/>
        <v>0.1379177982</v>
      </c>
      <c r="AC44" s="36">
        <f t="shared" si="35"/>
        <v>0.1379177982</v>
      </c>
      <c r="AD44" s="34">
        <f t="shared" si="42"/>
        <v>22.3080557874568</v>
      </c>
      <c r="AE44" s="37">
        <f t="shared" si="15"/>
        <v>0.198205737782824</v>
      </c>
      <c r="AF44" s="36">
        <f t="shared" si="36"/>
        <v>13.506</v>
      </c>
      <c r="AG44" s="36"/>
      <c r="AH44" s="36">
        <f t="shared" si="16"/>
        <v>5.8526</v>
      </c>
      <c r="AI44" s="34">
        <f t="shared" si="37"/>
        <v>19.3586</v>
      </c>
      <c r="AJ44" s="38">
        <f t="shared" si="41"/>
        <v>41.6666557874568</v>
      </c>
      <c r="AK44" s="39">
        <f t="shared" si="38"/>
        <v>0.370205737782824</v>
      </c>
      <c r="AL44" s="38">
        <f t="shared" si="39"/>
        <v>70.8833442125432</v>
      </c>
      <c r="AM44" s="40">
        <f t="shared" si="43"/>
        <v>0.629794262217176</v>
      </c>
      <c r="AN44" s="38">
        <f t="shared" si="40"/>
        <v>3.31029411764706</v>
      </c>
    </row>
    <row r="45" s="3" customFormat="1" hidden="1" spans="1:40">
      <c r="A45" s="41">
        <v>46240</v>
      </c>
      <c r="B45" s="41" t="str">
        <v>NORMAL</v>
      </c>
      <c r="C45" s="41" t="str">
        <v>DQB8989</v>
      </c>
      <c r="D45" s="42" t="str">
        <v>CTB</v>
      </c>
      <c r="E45" s="42" t="str">
        <v>PR</v>
      </c>
      <c r="F45" s="42" t="str">
        <v>RSO</v>
      </c>
      <c r="G45" s="42" t="str">
        <v>SP</v>
      </c>
      <c r="H45" s="42" t="str">
        <v>COLSON DO BRASIL LTDA</v>
      </c>
      <c r="I45" s="209" t="str">
        <v>000189033</v>
      </c>
      <c r="J45" s="43">
        <v>11370.45</v>
      </c>
      <c r="K45" s="44">
        <v>25</v>
      </c>
      <c r="L45" s="45">
        <v>288.111</v>
      </c>
      <c r="M45" s="46">
        <v>705.63</v>
      </c>
      <c r="N45" s="47">
        <v>0.12</v>
      </c>
      <c r="O45" s="48">
        <f t="shared" si="11"/>
        <v>25.92999</v>
      </c>
      <c r="P45" s="49">
        <f t="shared" si="12"/>
        <v>57.6222</v>
      </c>
      <c r="Q45" s="31"/>
      <c r="R45" s="49">
        <f>L45*0.09</f>
        <v>25.92999</v>
      </c>
      <c r="S45" s="31"/>
      <c r="T45" s="53">
        <v>247.83</v>
      </c>
      <c r="U45" s="33">
        <f t="shared" si="32"/>
        <v>0.351218060456613</v>
      </c>
      <c r="V45" s="34">
        <f t="shared" si="33"/>
        <v>357.31218</v>
      </c>
      <c r="W45" s="35">
        <f t="shared" si="13"/>
        <v>0.506373283448833</v>
      </c>
      <c r="X45" s="36">
        <f>(L45*'RESULTADO DIRETO'!N$27)/6*3</f>
        <v>30.1164749085811</v>
      </c>
      <c r="Y45" s="35">
        <f t="shared" si="18"/>
        <v>0.0426802643149825</v>
      </c>
      <c r="Z45" s="36">
        <f>(L45*'RESULTADO DIRETO'!N$15)/6*2</f>
        <v>18.2880389580532</v>
      </c>
      <c r="AA45" s="35">
        <f t="shared" si="34"/>
        <v>0.0259173206327015</v>
      </c>
      <c r="AB45" s="36">
        <f t="shared" si="14"/>
        <v>1.220958921</v>
      </c>
      <c r="AC45" s="36">
        <f t="shared" si="35"/>
        <v>1.220958921</v>
      </c>
      <c r="AD45" s="34">
        <f t="shared" si="42"/>
        <v>408.158611708634</v>
      </c>
      <c r="AE45" s="37">
        <f t="shared" si="15"/>
        <v>0.578431489177946</v>
      </c>
      <c r="AF45" s="36">
        <f t="shared" si="36"/>
        <v>84.6756</v>
      </c>
      <c r="AG45" s="36"/>
      <c r="AH45" s="36">
        <f t="shared" si="16"/>
        <v>36.69276</v>
      </c>
      <c r="AI45" s="34">
        <f t="shared" si="37"/>
        <v>121.36836</v>
      </c>
      <c r="AJ45" s="38">
        <f t="shared" si="41"/>
        <v>529.526971708634</v>
      </c>
      <c r="AK45" s="39">
        <f t="shared" si="38"/>
        <v>0.750431489177946</v>
      </c>
      <c r="AL45" s="38">
        <f t="shared" si="39"/>
        <v>176.103028291366</v>
      </c>
      <c r="AM45" s="40">
        <f t="shared" si="43"/>
        <v>0.249568510822054</v>
      </c>
      <c r="AN45" s="38">
        <f t="shared" si="40"/>
        <v>2.44916021949873</v>
      </c>
    </row>
    <row r="46" s="3" customFormat="1" hidden="1" spans="1:40">
      <c r="A46" s="41">
        <v>46240</v>
      </c>
      <c r="B46" s="41" t="str">
        <v>NORMAL</v>
      </c>
      <c r="C46" s="41" t="str">
        <v>DQB8989</v>
      </c>
      <c r="D46" s="42" t="str">
        <v>CTB</v>
      </c>
      <c r="E46" s="42" t="str">
        <v>PR</v>
      </c>
      <c r="F46" s="42" t="str">
        <v>FRJ</v>
      </c>
      <c r="G46" s="42" t="str">
        <v>RJ</v>
      </c>
      <c r="H46" s="42" t="str">
        <v>COLSON DO BRASIL LTDA</v>
      </c>
      <c r="I46" s="209" t="str">
        <v>000188980</v>
      </c>
      <c r="J46" s="43">
        <v>27907.91</v>
      </c>
      <c r="K46" s="44">
        <v>81</v>
      </c>
      <c r="L46" s="45">
        <v>937.882</v>
      </c>
      <c r="M46" s="46">
        <v>1214.45</v>
      </c>
      <c r="N46" s="47">
        <v>0.12</v>
      </c>
      <c r="O46" s="48">
        <f t="shared" si="11"/>
        <v>84.40938</v>
      </c>
      <c r="P46" s="49">
        <f t="shared" si="12"/>
        <v>187.5764</v>
      </c>
      <c r="Q46" s="50">
        <f>L46*0.18</f>
        <v>168.81876</v>
      </c>
      <c r="R46" s="50">
        <f>M46*0.22</f>
        <v>267.179</v>
      </c>
      <c r="S46" s="31"/>
      <c r="T46" s="53">
        <v>438.28</v>
      </c>
      <c r="U46" s="33">
        <f t="shared" si="32"/>
        <v>0.360887644612788</v>
      </c>
      <c r="V46" s="34">
        <f t="shared" si="33"/>
        <v>1146.26354</v>
      </c>
      <c r="W46" s="35">
        <f t="shared" si="13"/>
        <v>0.943854040923875</v>
      </c>
      <c r="X46" s="36">
        <f>(L46*'RESULTADO DIRETO'!N$27)/6*4</f>
        <v>130.716747921044</v>
      </c>
      <c r="Y46" s="35">
        <f t="shared" si="18"/>
        <v>0.107634524205232</v>
      </c>
      <c r="Z46" s="36">
        <f>(L46*'RESULTADO DIRETO'!N$15)/6*3</f>
        <v>89.2990334665641</v>
      </c>
      <c r="AA46" s="35">
        <f t="shared" si="34"/>
        <v>0.0735304322669225</v>
      </c>
      <c r="AB46" s="36">
        <f t="shared" si="14"/>
        <v>2.9967513758</v>
      </c>
      <c r="AC46" s="36">
        <f t="shared" si="35"/>
        <v>2.9967513758</v>
      </c>
      <c r="AD46" s="34">
        <f t="shared" ref="AD46:AD52" si="45">V46+X46+Z46+AB46+AC46</f>
        <v>1372.27282413921</v>
      </c>
      <c r="AE46" s="37">
        <f t="shared" si="15"/>
        <v>1.1299541554936</v>
      </c>
      <c r="AF46" s="36">
        <f t="shared" si="36"/>
        <v>145.734</v>
      </c>
      <c r="AG46" s="36"/>
      <c r="AH46" s="36">
        <f t="shared" si="16"/>
        <v>63.1514</v>
      </c>
      <c r="AI46" s="34">
        <f t="shared" si="37"/>
        <v>208.8854</v>
      </c>
      <c r="AJ46" s="38">
        <f t="shared" si="41"/>
        <v>1581.15822413921</v>
      </c>
      <c r="AK46" s="39">
        <f t="shared" si="38"/>
        <v>1.3019541554936</v>
      </c>
      <c r="AL46" s="38">
        <f t="shared" si="39"/>
        <v>-366.708224139207</v>
      </c>
      <c r="AM46" s="40">
        <f t="shared" si="43"/>
        <v>-0.301954155493604</v>
      </c>
      <c r="AN46" s="38">
        <f t="shared" si="40"/>
        <v>1.29488571056913</v>
      </c>
    </row>
    <row r="47" s="3" customFormat="1" hidden="1" spans="1:40">
      <c r="A47" s="41">
        <v>46241</v>
      </c>
      <c r="B47" s="41" t="str">
        <v>NORMAL</v>
      </c>
      <c r="C47" s="41" t="str">
        <v>DQB8989</v>
      </c>
      <c r="D47" s="42" t="str">
        <v>CTB</v>
      </c>
      <c r="E47" s="42" t="str">
        <v>PR</v>
      </c>
      <c r="F47" s="42" t="str">
        <v>TRU</v>
      </c>
      <c r="G47" s="42" t="str">
        <v>MG</v>
      </c>
      <c r="H47" s="42" t="str">
        <v>COLSON DO BRASIL LTDA</v>
      </c>
      <c r="I47" s="209" t="str">
        <v>000189110</v>
      </c>
      <c r="J47" s="43">
        <v>10065.1</v>
      </c>
      <c r="K47" s="44">
        <v>35</v>
      </c>
      <c r="L47" s="45">
        <v>281.765</v>
      </c>
      <c r="M47" s="46">
        <v>778.44</v>
      </c>
      <c r="N47" s="47">
        <v>0.12</v>
      </c>
      <c r="O47" s="48">
        <f t="shared" si="11"/>
        <v>25.35885</v>
      </c>
      <c r="P47" s="49">
        <f t="shared" si="12"/>
        <v>56.353</v>
      </c>
      <c r="Q47" s="31"/>
      <c r="R47" s="49">
        <f t="shared" ref="R47:R52" si="46">L47*0.09</f>
        <v>25.35885</v>
      </c>
      <c r="S47" s="31"/>
      <c r="T47" s="53">
        <v>329.85</v>
      </c>
      <c r="U47" s="33">
        <f t="shared" si="32"/>
        <v>0.423732079543703</v>
      </c>
      <c r="V47" s="34">
        <f t="shared" si="33"/>
        <v>436.9207</v>
      </c>
      <c r="W47" s="35">
        <f t="shared" si="13"/>
        <v>0.561277298186116</v>
      </c>
      <c r="X47" s="36">
        <f>(L47*'RESULTADO DIRETO'!N$27)/6*3</f>
        <v>29.4531224167642</v>
      </c>
      <c r="Y47" s="35">
        <f t="shared" si="18"/>
        <v>0.0378360855258776</v>
      </c>
      <c r="Z47" s="36">
        <f>(L47*'RESULTADO DIRETO'!N$15)/6*2</f>
        <v>17.8852223518569</v>
      </c>
      <c r="AA47" s="35">
        <f t="shared" si="34"/>
        <v>0.0229757236933571</v>
      </c>
      <c r="AB47" s="36">
        <f t="shared" si="14"/>
        <v>1.080790438</v>
      </c>
      <c r="AC47" s="36">
        <f t="shared" si="35"/>
        <v>1.080790438</v>
      </c>
      <c r="AD47" s="34">
        <f t="shared" si="45"/>
        <v>486.420625644621</v>
      </c>
      <c r="AE47" s="37">
        <f t="shared" si="15"/>
        <v>0.624865918560995</v>
      </c>
      <c r="AF47" s="36">
        <f t="shared" si="36"/>
        <v>93.4128</v>
      </c>
      <c r="AG47" s="36"/>
      <c r="AH47" s="36">
        <f t="shared" si="16"/>
        <v>40.47888</v>
      </c>
      <c r="AI47" s="34">
        <f t="shared" si="37"/>
        <v>133.89168</v>
      </c>
      <c r="AJ47" s="38">
        <f t="shared" si="41"/>
        <v>620.312305644621</v>
      </c>
      <c r="AK47" s="39">
        <f t="shared" si="38"/>
        <v>0.796865918560995</v>
      </c>
      <c r="AL47" s="38">
        <f t="shared" si="39"/>
        <v>158.127694355379</v>
      </c>
      <c r="AM47" s="40">
        <f t="shared" si="43"/>
        <v>0.203134081439005</v>
      </c>
      <c r="AN47" s="38">
        <f t="shared" si="40"/>
        <v>2.7627278050858</v>
      </c>
    </row>
    <row r="48" s="3" customFormat="1" hidden="1" spans="1:40">
      <c r="A48" s="41">
        <v>46241</v>
      </c>
      <c r="B48" s="41" t="str">
        <v>NORMAL</v>
      </c>
      <c r="C48" s="41" t="str">
        <v>DQB8989</v>
      </c>
      <c r="D48" s="42" t="str">
        <v>CTB</v>
      </c>
      <c r="E48" s="42" t="str">
        <v>PR</v>
      </c>
      <c r="F48" s="42" t="str">
        <v>RJO</v>
      </c>
      <c r="G48" s="42" t="str">
        <v>RJ</v>
      </c>
      <c r="H48" s="42" t="str">
        <v>COLSON DO BRASIL LTDA</v>
      </c>
      <c r="I48" s="209" t="str">
        <v>000189072</v>
      </c>
      <c r="J48" s="43">
        <v>8674.44</v>
      </c>
      <c r="K48" s="44">
        <v>28</v>
      </c>
      <c r="L48" s="45">
        <v>311.35</v>
      </c>
      <c r="M48" s="46">
        <v>426.83</v>
      </c>
      <c r="N48" s="47">
        <v>0.12</v>
      </c>
      <c r="O48" s="48">
        <f t="shared" si="11"/>
        <v>28.0215</v>
      </c>
      <c r="P48" s="49">
        <f t="shared" si="12"/>
        <v>62.27</v>
      </c>
      <c r="Q48" s="50">
        <f>L48*0.18</f>
        <v>56.043</v>
      </c>
      <c r="R48" s="50">
        <f>M48*0.22</f>
        <v>93.9026</v>
      </c>
      <c r="S48" s="31"/>
      <c r="T48" s="51">
        <v>0</v>
      </c>
      <c r="U48" s="33">
        <f t="shared" si="32"/>
        <v>0</v>
      </c>
      <c r="V48" s="34">
        <f t="shared" si="33"/>
        <v>240.2371</v>
      </c>
      <c r="W48" s="35">
        <f t="shared" si="13"/>
        <v>0.562840240845301</v>
      </c>
      <c r="X48" s="36">
        <f>(L48*'RESULTADO DIRETO'!N$27)/6*4</f>
        <v>43.3942217306835</v>
      </c>
      <c r="Y48" s="35">
        <f t="shared" si="18"/>
        <v>0.101666288055393</v>
      </c>
      <c r="Z48" s="36">
        <f>(L48*'RESULTADO DIRETO'!N$15)/6*3</f>
        <v>29.6447251038134</v>
      </c>
      <c r="AA48" s="35">
        <f t="shared" si="34"/>
        <v>0.0694532368948139</v>
      </c>
      <c r="AB48" s="36">
        <f t="shared" si="14"/>
        <v>0.9314613672</v>
      </c>
      <c r="AC48" s="36">
        <f t="shared" si="35"/>
        <v>0.9314613672</v>
      </c>
      <c r="AD48" s="34">
        <f t="shared" si="45"/>
        <v>315.138969568897</v>
      </c>
      <c r="AE48" s="37">
        <f t="shared" si="15"/>
        <v>0.738324320148295</v>
      </c>
      <c r="AF48" s="36">
        <f t="shared" si="36"/>
        <v>51.2196</v>
      </c>
      <c r="AG48" s="36"/>
      <c r="AH48" s="36">
        <f t="shared" si="16"/>
        <v>22.19516</v>
      </c>
      <c r="AI48" s="34">
        <f t="shared" si="37"/>
        <v>73.41476</v>
      </c>
      <c r="AJ48" s="38">
        <f t="shared" si="41"/>
        <v>388.553729568897</v>
      </c>
      <c r="AK48" s="39">
        <f t="shared" si="38"/>
        <v>0.910324320148295</v>
      </c>
      <c r="AL48" s="38">
        <f t="shared" si="39"/>
        <v>38.2762704311031</v>
      </c>
      <c r="AM48" s="40">
        <f t="shared" si="43"/>
        <v>0.0896756798517047</v>
      </c>
      <c r="AN48" s="38">
        <f t="shared" si="40"/>
        <v>1.37090091536856</v>
      </c>
    </row>
    <row r="49" s="3" customFormat="1" hidden="1" spans="1:40">
      <c r="A49" s="41">
        <v>46241</v>
      </c>
      <c r="B49" s="41" t="str">
        <v>NORMAL</v>
      </c>
      <c r="C49" s="41" t="str">
        <v>DQB8989</v>
      </c>
      <c r="D49" s="42" t="str">
        <v>CTB</v>
      </c>
      <c r="E49" s="42" t="str">
        <v>PR</v>
      </c>
      <c r="F49" s="42" t="str">
        <v>SPO</v>
      </c>
      <c r="G49" s="42" t="str">
        <v>SP</v>
      </c>
      <c r="H49" s="42" t="str">
        <v>COLSON DO BRASIL LTDA</v>
      </c>
      <c r="I49" s="209" t="str">
        <v>000188134</v>
      </c>
      <c r="J49" s="43">
        <v>2285.34</v>
      </c>
      <c r="K49" s="44">
        <v>6</v>
      </c>
      <c r="L49" s="45">
        <v>75.21</v>
      </c>
      <c r="M49" s="46">
        <v>450.93</v>
      </c>
      <c r="N49" s="47">
        <v>0.12</v>
      </c>
      <c r="O49" s="48">
        <f t="shared" si="11"/>
        <v>6.7689</v>
      </c>
      <c r="P49" s="49">
        <f t="shared" si="12"/>
        <v>15.042</v>
      </c>
      <c r="Q49" s="31"/>
      <c r="R49" s="49">
        <f>L49*0.19</f>
        <v>14.2899</v>
      </c>
      <c r="S49" s="31"/>
      <c r="T49" s="30">
        <v>0</v>
      </c>
      <c r="U49" s="33">
        <f t="shared" si="32"/>
        <v>0</v>
      </c>
      <c r="V49" s="34">
        <f t="shared" si="33"/>
        <v>36.1008</v>
      </c>
      <c r="W49" s="35">
        <f t="shared" si="13"/>
        <v>0.0800585456722773</v>
      </c>
      <c r="X49" s="36">
        <f>(L49*'RESULTADO DIRETO'!N$27)/6*3</f>
        <v>7.86176188300476</v>
      </c>
      <c r="Y49" s="35">
        <f t="shared" si="18"/>
        <v>0.0174345505577468</v>
      </c>
      <c r="Z49" s="36">
        <f>(L49*'RESULTADO DIRETO'!N$15)/6*2</f>
        <v>4.77400519256529</v>
      </c>
      <c r="AA49" s="35">
        <f t="shared" si="34"/>
        <v>0.0105870205853798</v>
      </c>
      <c r="AB49" s="36">
        <f t="shared" si="14"/>
        <v>0.2453998092</v>
      </c>
      <c r="AC49" s="36">
        <f t="shared" si="35"/>
        <v>0.2453998092</v>
      </c>
      <c r="AD49" s="34">
        <f t="shared" si="45"/>
        <v>49.22736669397</v>
      </c>
      <c r="AE49" s="37">
        <f t="shared" si="15"/>
        <v>0.109168533240126</v>
      </c>
      <c r="AF49" s="36">
        <f t="shared" si="36"/>
        <v>54.1116</v>
      </c>
      <c r="AG49" s="36"/>
      <c r="AH49" s="36">
        <f t="shared" si="16"/>
        <v>23.44836</v>
      </c>
      <c r="AI49" s="34">
        <f t="shared" si="37"/>
        <v>77.55996</v>
      </c>
      <c r="AJ49" s="38">
        <f t="shared" si="41"/>
        <v>126.78732669397</v>
      </c>
      <c r="AK49" s="39">
        <f t="shared" si="38"/>
        <v>0.281168533240126</v>
      </c>
      <c r="AL49" s="38">
        <f t="shared" si="39"/>
        <v>324.14267330603</v>
      </c>
      <c r="AM49" s="40">
        <f t="shared" si="43"/>
        <v>0.718831466759874</v>
      </c>
      <c r="AN49" s="38">
        <f t="shared" si="40"/>
        <v>5.99561228560032</v>
      </c>
    </row>
    <row r="50" s="3" customFormat="1" spans="1:40">
      <c r="A50" s="41">
        <v>46241</v>
      </c>
      <c r="B50" s="41" t="str">
        <v>NORMAL</v>
      </c>
      <c r="C50" s="41" t="str">
        <v>DQB8989</v>
      </c>
      <c r="D50" s="42" t="str">
        <v>CTB</v>
      </c>
      <c r="E50" s="42" t="str">
        <v>PR</v>
      </c>
      <c r="F50" s="42" t="str">
        <v>SVP</v>
      </c>
      <c r="G50" s="42" t="str">
        <v>SP</v>
      </c>
      <c r="H50" s="42" t="str">
        <v>COLSON DO BRASIL LTDA</v>
      </c>
      <c r="I50" s="209" t="str">
        <v>000188177</v>
      </c>
      <c r="J50" s="43">
        <v>1396.82</v>
      </c>
      <c r="K50" s="44">
        <v>4</v>
      </c>
      <c r="L50" s="45">
        <v>35.05</v>
      </c>
      <c r="M50" s="46">
        <v>397.08</v>
      </c>
      <c r="N50" s="47">
        <v>0.12</v>
      </c>
      <c r="O50" s="48">
        <f t="shared" si="11"/>
        <v>3.1545</v>
      </c>
      <c r="P50" s="49">
        <f t="shared" si="12"/>
        <v>7.01</v>
      </c>
      <c r="Q50" s="31"/>
      <c r="R50" s="49">
        <f t="shared" si="46"/>
        <v>3.1545</v>
      </c>
      <c r="S50" s="31"/>
      <c r="T50" s="53">
        <v>519</v>
      </c>
      <c r="U50" s="33">
        <f t="shared" si="32"/>
        <v>1.30704140223633</v>
      </c>
      <c r="V50" s="34">
        <f t="shared" si="33"/>
        <v>532.319</v>
      </c>
      <c r="W50" s="35">
        <f t="shared" si="13"/>
        <v>1.34058376145865</v>
      </c>
      <c r="X50" s="36">
        <f>(L50*'RESULTADO DIRETO'!N$27)/6*3</f>
        <v>3.66380473340402</v>
      </c>
      <c r="Y50" s="35">
        <f t="shared" si="18"/>
        <v>0.00922686796968879</v>
      </c>
      <c r="Z50" s="36">
        <f>(L50*'RESULTADO DIRETO'!N$15)/6*2</f>
        <v>2.2248222576707</v>
      </c>
      <c r="AA50" s="35">
        <f t="shared" si="34"/>
        <v>0.00560295723197014</v>
      </c>
      <c r="AB50" s="36">
        <f t="shared" si="14"/>
        <v>0.1499905316</v>
      </c>
      <c r="AC50" s="36">
        <f t="shared" si="35"/>
        <v>0.1499905316</v>
      </c>
      <c r="AD50" s="34">
        <f t="shared" si="45"/>
        <v>538.507608054275</v>
      </c>
      <c r="AE50" s="37">
        <f t="shared" si="15"/>
        <v>1.35616905423158</v>
      </c>
      <c r="AF50" s="36">
        <f t="shared" si="36"/>
        <v>47.6496</v>
      </c>
      <c r="AG50" s="36"/>
      <c r="AH50" s="36">
        <f t="shared" si="16"/>
        <v>20.64816</v>
      </c>
      <c r="AI50" s="34">
        <f t="shared" si="37"/>
        <v>68.29776</v>
      </c>
      <c r="AJ50" s="38">
        <f t="shared" si="41"/>
        <v>606.805368054275</v>
      </c>
      <c r="AK50" s="39">
        <f t="shared" si="38"/>
        <v>1.52816905423158</v>
      </c>
      <c r="AL50" s="38">
        <f t="shared" si="39"/>
        <v>-209.725368054275</v>
      </c>
      <c r="AM50" s="40">
        <f t="shared" si="43"/>
        <v>-0.528169054231577</v>
      </c>
      <c r="AN50" s="38">
        <f t="shared" si="40"/>
        <v>11.3289586305278</v>
      </c>
    </row>
    <row r="51" s="3" customFormat="1" hidden="1" spans="1:40">
      <c r="A51" s="41">
        <v>46241</v>
      </c>
      <c r="B51" s="41" t="str">
        <v>NORMAL</v>
      </c>
      <c r="C51" s="41" t="str">
        <v>DQB8989</v>
      </c>
      <c r="D51" s="42" t="str">
        <v>CTB</v>
      </c>
      <c r="E51" s="42" t="str">
        <v>PR</v>
      </c>
      <c r="F51" s="42" t="str">
        <v>PSP</v>
      </c>
      <c r="G51" s="42" t="str">
        <v>SP</v>
      </c>
      <c r="H51" s="42" t="str">
        <v>COLSON DO BRASIL LTDA</v>
      </c>
      <c r="I51" s="209" t="str">
        <v>000189067</v>
      </c>
      <c r="J51" s="43">
        <v>1860.49</v>
      </c>
      <c r="K51" s="44">
        <v>6</v>
      </c>
      <c r="L51" s="45">
        <v>59.91</v>
      </c>
      <c r="M51" s="46">
        <v>166.92</v>
      </c>
      <c r="N51" s="47">
        <v>0.12</v>
      </c>
      <c r="O51" s="48">
        <f t="shared" si="11"/>
        <v>5.3919</v>
      </c>
      <c r="P51" s="49">
        <f t="shared" si="12"/>
        <v>11.982</v>
      </c>
      <c r="Q51" s="31"/>
      <c r="R51" s="49">
        <f>L51*0</f>
        <v>0</v>
      </c>
      <c r="S51" s="31"/>
      <c r="T51" s="53">
        <v>60.5</v>
      </c>
      <c r="U51" s="33">
        <f t="shared" si="32"/>
        <v>0.362449077402348</v>
      </c>
      <c r="V51" s="34">
        <f t="shared" si="33"/>
        <v>77.8739</v>
      </c>
      <c r="W51" s="35">
        <f t="shared" si="13"/>
        <v>0.466534267912773</v>
      </c>
      <c r="X51" s="36">
        <f>(L51*'RESULTADO DIRETO'!N$27)/6*3</f>
        <v>6.26244055858017</v>
      </c>
      <c r="Y51" s="35">
        <f t="shared" si="18"/>
        <v>0.0375176165742881</v>
      </c>
      <c r="Z51" s="36">
        <f>(L51*'RESULTADO DIRETO'!N$15)/6*2</f>
        <v>3.80282743101431</v>
      </c>
      <c r="AA51" s="35">
        <f t="shared" si="34"/>
        <v>0.0227823354362228</v>
      </c>
      <c r="AB51" s="36">
        <f t="shared" si="14"/>
        <v>0.1997794162</v>
      </c>
      <c r="AC51" s="36">
        <f t="shared" si="35"/>
        <v>0.1997794162</v>
      </c>
      <c r="AD51" s="34">
        <f t="shared" si="45"/>
        <v>88.3387268219945</v>
      </c>
      <c r="AE51" s="37">
        <f t="shared" si="15"/>
        <v>0.52922793447157</v>
      </c>
      <c r="AF51" s="36">
        <f t="shared" si="36"/>
        <v>20.0304</v>
      </c>
      <c r="AG51" s="36"/>
      <c r="AH51" s="36">
        <f t="shared" si="16"/>
        <v>8.67984</v>
      </c>
      <c r="AI51" s="34">
        <f t="shared" si="37"/>
        <v>28.71024</v>
      </c>
      <c r="AJ51" s="38">
        <f t="shared" si="41"/>
        <v>117.048966821994</v>
      </c>
      <c r="AK51" s="39">
        <f t="shared" si="38"/>
        <v>0.70122793447157</v>
      </c>
      <c r="AL51" s="38">
        <f t="shared" si="39"/>
        <v>49.8710331780055</v>
      </c>
      <c r="AM51" s="40">
        <f t="shared" si="43"/>
        <v>0.29877206552843</v>
      </c>
      <c r="AN51" s="38">
        <f t="shared" si="40"/>
        <v>2.78617926890335</v>
      </c>
    </row>
    <row r="52" s="3" customFormat="1" hidden="1" spans="1:40">
      <c r="A52" s="41">
        <v>46241</v>
      </c>
      <c r="B52" s="41" t="str">
        <v>NORMAL</v>
      </c>
      <c r="C52" s="41" t="str">
        <v>DQB8989</v>
      </c>
      <c r="D52" s="42" t="str">
        <v>CTB</v>
      </c>
      <c r="E52" s="42" t="str">
        <v>PR</v>
      </c>
      <c r="F52" s="42" t="str">
        <v>NSL</v>
      </c>
      <c r="G52" s="42" t="str">
        <v>SP</v>
      </c>
      <c r="H52" s="42" t="str">
        <v>COLSON DO BRASIL LTDA</v>
      </c>
      <c r="I52" s="209" t="str">
        <v>000189108</v>
      </c>
      <c r="J52" s="43">
        <v>2632.1</v>
      </c>
      <c r="K52" s="44">
        <v>2</v>
      </c>
      <c r="L52" s="45">
        <v>80</v>
      </c>
      <c r="M52" s="46">
        <v>207.67</v>
      </c>
      <c r="N52" s="47">
        <v>0.12</v>
      </c>
      <c r="O52" s="48">
        <f t="shared" si="11"/>
        <v>7.2</v>
      </c>
      <c r="P52" s="49">
        <f t="shared" si="12"/>
        <v>16</v>
      </c>
      <c r="Q52" s="31"/>
      <c r="R52" s="49">
        <f t="shared" si="46"/>
        <v>7.2</v>
      </c>
      <c r="S52" s="31"/>
      <c r="T52" s="53">
        <v>94.43</v>
      </c>
      <c r="U52" s="33">
        <f t="shared" si="32"/>
        <v>0.454711802378774</v>
      </c>
      <c r="V52" s="34">
        <f t="shared" si="33"/>
        <v>124.83</v>
      </c>
      <c r="W52" s="35">
        <f t="shared" si="13"/>
        <v>0.601097895699909</v>
      </c>
      <c r="X52" s="36">
        <f>(L52*'RESULTADO DIRETO'!N$27)/6*3</f>
        <v>8.36246444143572</v>
      </c>
      <c r="Y52" s="35">
        <f t="shared" si="18"/>
        <v>0.0402680427670618</v>
      </c>
      <c r="Z52" s="36">
        <f>(L52*'RESULTADO DIRETO'!N$15)/6*2</f>
        <v>5.07805365516851</v>
      </c>
      <c r="AA52" s="35">
        <f t="shared" si="34"/>
        <v>0.0244525143505008</v>
      </c>
      <c r="AB52" s="36">
        <f t="shared" si="14"/>
        <v>0.282634898</v>
      </c>
      <c r="AC52" s="36">
        <f t="shared" si="35"/>
        <v>0.282634898</v>
      </c>
      <c r="AD52" s="34">
        <f t="shared" si="45"/>
        <v>138.835787892604</v>
      </c>
      <c r="AE52" s="37">
        <f t="shared" si="15"/>
        <v>0.668540414564474</v>
      </c>
      <c r="AF52" s="36">
        <f t="shared" si="36"/>
        <v>24.9204</v>
      </c>
      <c r="AG52" s="36"/>
      <c r="AH52" s="36">
        <f t="shared" si="16"/>
        <v>10.79884</v>
      </c>
      <c r="AI52" s="34">
        <f t="shared" si="37"/>
        <v>35.71924</v>
      </c>
      <c r="AJ52" s="38">
        <f t="shared" si="41"/>
        <v>174.555027892604</v>
      </c>
      <c r="AK52" s="39">
        <f t="shared" si="38"/>
        <v>0.840540414564474</v>
      </c>
      <c r="AL52" s="38">
        <f t="shared" si="39"/>
        <v>33.1149721073957</v>
      </c>
      <c r="AM52" s="40">
        <f t="shared" si="43"/>
        <v>0.159459585435526</v>
      </c>
      <c r="AN52" s="38">
        <f t="shared" si="40"/>
        <v>2.595875</v>
      </c>
    </row>
    <row r="53" s="3" customFormat="1" hidden="1" spans="1:40">
      <c r="A53" s="41">
        <v>46241</v>
      </c>
      <c r="B53" s="41" t="str">
        <v>NORMAL</v>
      </c>
      <c r="C53" s="41" t="str">
        <v>DQB8989</v>
      </c>
      <c r="D53" s="42" t="str">
        <v>CTB</v>
      </c>
      <c r="E53" s="42" t="str">
        <v>PR</v>
      </c>
      <c r="F53" s="42" t="str">
        <v>VEA</v>
      </c>
      <c r="G53" s="42" t="str">
        <v>MG</v>
      </c>
      <c r="H53" s="42" t="str">
        <v>COLSON DO BRASIL LTDA</v>
      </c>
      <c r="I53" s="209" t="str">
        <v>000189116</v>
      </c>
      <c r="J53" s="43">
        <v>2704.86</v>
      </c>
      <c r="K53" s="44">
        <v>13</v>
      </c>
      <c r="L53" s="45">
        <v>89.32</v>
      </c>
      <c r="M53" s="46">
        <v>252.52</v>
      </c>
      <c r="N53" s="47">
        <v>0.12</v>
      </c>
      <c r="O53" s="48">
        <f t="shared" si="11"/>
        <v>8.0388</v>
      </c>
      <c r="P53" s="49">
        <f t="shared" si="12"/>
        <v>17.864</v>
      </c>
      <c r="Q53" s="55">
        <f>L53*0.18</f>
        <v>16.0776</v>
      </c>
      <c r="R53" s="55">
        <f>L53*0.06</f>
        <v>5.3592</v>
      </c>
      <c r="S53" s="31"/>
      <c r="T53" s="53">
        <v>75.76</v>
      </c>
      <c r="U53" s="33">
        <f t="shared" si="32"/>
        <v>0.300015840329479</v>
      </c>
      <c r="V53" s="34">
        <f t="shared" si="33"/>
        <v>123.0996</v>
      </c>
      <c r="W53" s="35">
        <f t="shared" si="13"/>
        <v>0.487484555678758</v>
      </c>
      <c r="X53" s="36">
        <f>(L53*'RESULTADO DIRETO'!N$27)/6*4</f>
        <v>12.4489220651506</v>
      </c>
      <c r="Y53" s="35">
        <f t="shared" si="18"/>
        <v>0.0492987567921378</v>
      </c>
      <c r="Z53" s="36">
        <f>(L53*'RESULTADO DIRETO'!N$15)/6*3</f>
        <v>8.50447035899346</v>
      </c>
      <c r="AA53" s="35">
        <f t="shared" si="34"/>
        <v>0.0336784031323992</v>
      </c>
      <c r="AB53" s="36">
        <f t="shared" si="14"/>
        <v>0.2904478668</v>
      </c>
      <c r="AC53" s="36">
        <f t="shared" si="35"/>
        <v>0.2904478668</v>
      </c>
      <c r="AD53" s="34">
        <f t="shared" ref="AD53:AD56" si="47">V53+X53+Z53+AB53+AC53</f>
        <v>144.633888157744</v>
      </c>
      <c r="AE53" s="37">
        <f t="shared" si="15"/>
        <v>0.572762110556566</v>
      </c>
      <c r="AF53" s="36">
        <f t="shared" si="36"/>
        <v>30.3024</v>
      </c>
      <c r="AG53" s="36"/>
      <c r="AH53" s="36">
        <f t="shared" si="16"/>
        <v>13.13104</v>
      </c>
      <c r="AI53" s="34">
        <f t="shared" si="37"/>
        <v>43.43344</v>
      </c>
      <c r="AJ53" s="38">
        <f t="shared" si="41"/>
        <v>188.067328157744</v>
      </c>
      <c r="AK53" s="39">
        <f t="shared" si="38"/>
        <v>0.744762110556566</v>
      </c>
      <c r="AL53" s="38">
        <f t="shared" si="39"/>
        <v>64.4526718422559</v>
      </c>
      <c r="AM53" s="40">
        <f t="shared" si="43"/>
        <v>0.255237889443434</v>
      </c>
      <c r="AN53" s="38">
        <f t="shared" si="40"/>
        <v>2.82713837886252</v>
      </c>
    </row>
    <row r="54" s="3" customFormat="1" spans="1:40">
      <c r="A54" s="41">
        <v>46241</v>
      </c>
      <c r="B54" s="41" t="str">
        <v>NORMAL</v>
      </c>
      <c r="C54" s="41" t="str">
        <v>DQB8989</v>
      </c>
      <c r="D54" s="42" t="str">
        <v>CTB</v>
      </c>
      <c r="E54" s="42" t="str">
        <v>PR</v>
      </c>
      <c r="F54" s="42" t="str">
        <v>SPO</v>
      </c>
      <c r="G54" s="42" t="str">
        <v>SP</v>
      </c>
      <c r="H54" s="42" t="str">
        <v>COLSON DO BRASIL LTDA</v>
      </c>
      <c r="I54" s="209" t="str">
        <v>000189070</v>
      </c>
      <c r="J54" s="43">
        <v>1412.09</v>
      </c>
      <c r="K54" s="44">
        <v>3</v>
      </c>
      <c r="L54" s="45">
        <v>23.4</v>
      </c>
      <c r="M54" s="46">
        <v>103.27</v>
      </c>
      <c r="N54" s="47">
        <v>0.12</v>
      </c>
      <c r="O54" s="48">
        <f t="shared" si="11"/>
        <v>2.106</v>
      </c>
      <c r="P54" s="49">
        <f t="shared" si="12"/>
        <v>4.68</v>
      </c>
      <c r="Q54" s="31"/>
      <c r="R54" s="49">
        <f t="shared" ref="R54:R56" si="48">L54*0.19</f>
        <v>4.446</v>
      </c>
      <c r="S54" s="31"/>
      <c r="T54" s="30">
        <v>0</v>
      </c>
      <c r="U54" s="33">
        <f t="shared" si="32"/>
        <v>0</v>
      </c>
      <c r="V54" s="34">
        <f t="shared" si="33"/>
        <v>11.232</v>
      </c>
      <c r="W54" s="35">
        <f t="shared" si="13"/>
        <v>0.108763435654111</v>
      </c>
      <c r="X54" s="36">
        <f>(L54*'RESULTADO DIRETO'!N$27)/6*3</f>
        <v>2.44602084911995</v>
      </c>
      <c r="Y54" s="35">
        <f t="shared" si="18"/>
        <v>0.023685686541299</v>
      </c>
      <c r="Z54" s="36">
        <f>(L54*'RESULTADO DIRETO'!N$15)/6*2</f>
        <v>1.48533069413679</v>
      </c>
      <c r="AA54" s="35">
        <f t="shared" si="34"/>
        <v>0.0143829833846886</v>
      </c>
      <c r="AB54" s="36">
        <f t="shared" si="14"/>
        <v>0.1516302242</v>
      </c>
      <c r="AC54" s="36">
        <f t="shared" si="35"/>
        <v>0.1516302242</v>
      </c>
      <c r="AD54" s="34">
        <f t="shared" si="47"/>
        <v>15.4666119916567</v>
      </c>
      <c r="AE54" s="37">
        <f t="shared" si="15"/>
        <v>0.149768683951358</v>
      </c>
      <c r="AF54" s="36">
        <f t="shared" si="36"/>
        <v>12.3924</v>
      </c>
      <c r="AG54" s="36"/>
      <c r="AH54" s="36">
        <f t="shared" si="16"/>
        <v>5.37004</v>
      </c>
      <c r="AI54" s="34">
        <f t="shared" si="37"/>
        <v>17.76244</v>
      </c>
      <c r="AJ54" s="38">
        <f t="shared" si="41"/>
        <v>33.2290519916567</v>
      </c>
      <c r="AK54" s="39">
        <f t="shared" si="38"/>
        <v>0.321768683951358</v>
      </c>
      <c r="AL54" s="38">
        <f t="shared" si="39"/>
        <v>70.0409480083433</v>
      </c>
      <c r="AM54" s="40">
        <f t="shared" si="43"/>
        <v>0.678231316048642</v>
      </c>
      <c r="AN54" s="38">
        <f t="shared" si="40"/>
        <v>4.41324786324786</v>
      </c>
    </row>
    <row r="55" s="3" customFormat="1" spans="1:40">
      <c r="A55" s="41">
        <v>46241</v>
      </c>
      <c r="B55" s="41" t="str">
        <v>NORMAL</v>
      </c>
      <c r="C55" s="41" t="str">
        <v>DQB8989</v>
      </c>
      <c r="D55" s="42" t="str">
        <v>CTB</v>
      </c>
      <c r="E55" s="42" t="str">
        <v>PR</v>
      </c>
      <c r="F55" s="42" t="str">
        <v>SPO</v>
      </c>
      <c r="G55" s="42" t="str">
        <v>SP</v>
      </c>
      <c r="H55" s="42" t="str">
        <v>COLSON DO BRASIL LTDA</v>
      </c>
      <c r="I55" s="209" t="str">
        <v>000189077</v>
      </c>
      <c r="J55" s="43">
        <v>2127.43</v>
      </c>
      <c r="K55" s="44">
        <v>1</v>
      </c>
      <c r="L55" s="45">
        <v>14.81</v>
      </c>
      <c r="M55" s="46">
        <v>381.63</v>
      </c>
      <c r="N55" s="47">
        <v>0.12</v>
      </c>
      <c r="O55" s="48">
        <f t="shared" si="11"/>
        <v>1.3329</v>
      </c>
      <c r="P55" s="49">
        <f t="shared" si="12"/>
        <v>2.962</v>
      </c>
      <c r="Q55" s="31"/>
      <c r="R55" s="49">
        <f t="shared" si="48"/>
        <v>2.8139</v>
      </c>
      <c r="S55" s="31"/>
      <c r="T55" s="30">
        <v>0</v>
      </c>
      <c r="U55" s="33">
        <f t="shared" si="32"/>
        <v>0</v>
      </c>
      <c r="V55" s="34">
        <f t="shared" si="33"/>
        <v>7.1088</v>
      </c>
      <c r="W55" s="35">
        <f t="shared" si="13"/>
        <v>0.0186274663941514</v>
      </c>
      <c r="X55" s="36">
        <f>(L55*'RESULTADO DIRETO'!N$27)/6*3</f>
        <v>1.54810122972079</v>
      </c>
      <c r="Y55" s="35">
        <f t="shared" si="18"/>
        <v>0.00405655013945651</v>
      </c>
      <c r="Z55" s="36">
        <f>(L55*'RESULTADO DIRETO'!N$15)/6*2</f>
        <v>0.94007468291307</v>
      </c>
      <c r="AA55" s="35">
        <f t="shared" si="34"/>
        <v>0.00246331442211847</v>
      </c>
      <c r="AB55" s="36">
        <f t="shared" si="14"/>
        <v>0.2284434334</v>
      </c>
      <c r="AC55" s="36">
        <f t="shared" si="35"/>
        <v>0.2284434334</v>
      </c>
      <c r="AD55" s="34">
        <f t="shared" si="47"/>
        <v>10.0538627794339</v>
      </c>
      <c r="AE55" s="37">
        <f t="shared" si="15"/>
        <v>0.0263445294642294</v>
      </c>
      <c r="AF55" s="36">
        <f t="shared" si="36"/>
        <v>45.7956</v>
      </c>
      <c r="AG55" s="36"/>
      <c r="AH55" s="36">
        <f t="shared" si="16"/>
        <v>19.84476</v>
      </c>
      <c r="AI55" s="34">
        <f t="shared" si="37"/>
        <v>65.64036</v>
      </c>
      <c r="AJ55" s="38">
        <f t="shared" si="41"/>
        <v>75.6942227794339</v>
      </c>
      <c r="AK55" s="39">
        <f t="shared" si="38"/>
        <v>0.198344529464229</v>
      </c>
      <c r="AL55" s="38">
        <f t="shared" si="39"/>
        <v>305.935777220566</v>
      </c>
      <c r="AM55" s="40">
        <f t="shared" si="43"/>
        <v>0.801655470535771</v>
      </c>
      <c r="AN55" s="38">
        <f t="shared" si="40"/>
        <v>25.7683997299122</v>
      </c>
    </row>
    <row r="56" s="3" customFormat="1" spans="1:40">
      <c r="A56" s="41">
        <v>46241</v>
      </c>
      <c r="B56" s="41" t="str">
        <v>NORMAL</v>
      </c>
      <c r="C56" s="41" t="str">
        <v>DQB8989</v>
      </c>
      <c r="D56" s="42" t="str">
        <v>CTB</v>
      </c>
      <c r="E56" s="42" t="str">
        <v>PR</v>
      </c>
      <c r="F56" s="42" t="str">
        <v>SPO</v>
      </c>
      <c r="G56" s="42" t="str">
        <v>SP</v>
      </c>
      <c r="H56" s="42" t="str">
        <v>COLSON DO BRASIL LTDA</v>
      </c>
      <c r="I56" s="209" t="str">
        <v>000189064</v>
      </c>
      <c r="J56" s="43">
        <v>1537.29</v>
      </c>
      <c r="K56" s="44">
        <v>6</v>
      </c>
      <c r="L56" s="45">
        <v>39.5</v>
      </c>
      <c r="M56" s="46">
        <v>113.61</v>
      </c>
      <c r="N56" s="47">
        <v>0.12</v>
      </c>
      <c r="O56" s="48">
        <f t="shared" si="11"/>
        <v>3.555</v>
      </c>
      <c r="P56" s="49">
        <f t="shared" si="12"/>
        <v>7.9</v>
      </c>
      <c r="Q56" s="31"/>
      <c r="R56" s="49">
        <f t="shared" si="48"/>
        <v>7.505</v>
      </c>
      <c r="S56" s="31"/>
      <c r="T56" s="30">
        <v>0</v>
      </c>
      <c r="U56" s="33">
        <f t="shared" si="32"/>
        <v>0</v>
      </c>
      <c r="V56" s="34">
        <f t="shared" si="33"/>
        <v>18.96</v>
      </c>
      <c r="W56" s="35">
        <f t="shared" si="13"/>
        <v>0.166886717718511</v>
      </c>
      <c r="X56" s="36">
        <f>(L56*'RESULTADO DIRETO'!N$27)/6*3</f>
        <v>4.12896681795889</v>
      </c>
      <c r="Y56" s="35">
        <f t="shared" si="18"/>
        <v>0.0363433396528377</v>
      </c>
      <c r="Z56" s="36">
        <f>(L56*'RESULTADO DIRETO'!N$15)/6*2</f>
        <v>2.50728899223945</v>
      </c>
      <c r="AA56" s="35">
        <f t="shared" si="34"/>
        <v>0.0220692632007697</v>
      </c>
      <c r="AB56" s="36">
        <f t="shared" si="14"/>
        <v>0.1650742002</v>
      </c>
      <c r="AC56" s="36">
        <f t="shared" si="35"/>
        <v>0.1650742002</v>
      </c>
      <c r="AD56" s="34">
        <f t="shared" si="47"/>
        <v>25.9264042105983</v>
      </c>
      <c r="AE56" s="37">
        <f t="shared" si="15"/>
        <v>0.228205300683024</v>
      </c>
      <c r="AF56" s="36">
        <f t="shared" si="36"/>
        <v>13.6332</v>
      </c>
      <c r="AG56" s="36"/>
      <c r="AH56" s="36">
        <f t="shared" si="16"/>
        <v>5.90772</v>
      </c>
      <c r="AI56" s="34">
        <f t="shared" si="37"/>
        <v>19.54092</v>
      </c>
      <c r="AJ56" s="38">
        <f t="shared" si="41"/>
        <v>45.4673242105983</v>
      </c>
      <c r="AK56" s="39">
        <f t="shared" si="38"/>
        <v>0.400205300683024</v>
      </c>
      <c r="AL56" s="38">
        <f t="shared" si="39"/>
        <v>68.1426757894017</v>
      </c>
      <c r="AM56" s="40">
        <f t="shared" si="43"/>
        <v>0.599794699316976</v>
      </c>
      <c r="AN56" s="38">
        <f t="shared" si="40"/>
        <v>2.87620253164557</v>
      </c>
    </row>
    <row r="57" s="3" customFormat="1" hidden="1" spans="1:40">
      <c r="A57" s="41">
        <v>46244</v>
      </c>
      <c r="B57" s="41" t="str">
        <v>NORMAL</v>
      </c>
      <c r="C57" s="41" t="str">
        <v>DQB8989</v>
      </c>
      <c r="D57" s="42" t="str">
        <v>CTB</v>
      </c>
      <c r="E57" s="42" t="str">
        <v>PR</v>
      </c>
      <c r="F57" s="42" t="str">
        <v>RJO</v>
      </c>
      <c r="G57" s="42" t="str">
        <v>RJ</v>
      </c>
      <c r="H57" s="42" t="str">
        <v>COLSON DO BRASIL LTDA</v>
      </c>
      <c r="I57" s="209" t="str">
        <v>000189166</v>
      </c>
      <c r="J57" s="43">
        <v>3643.03</v>
      </c>
      <c r="K57" s="44">
        <v>16</v>
      </c>
      <c r="L57" s="45">
        <v>131.9</v>
      </c>
      <c r="M57" s="46">
        <v>202.18</v>
      </c>
      <c r="N57" s="47">
        <v>0.12</v>
      </c>
      <c r="O57" s="48">
        <f t="shared" si="11"/>
        <v>11.871</v>
      </c>
      <c r="P57" s="49">
        <f t="shared" si="12"/>
        <v>26.38</v>
      </c>
      <c r="Q57" s="50">
        <f t="shared" ref="Q57:Q61" si="49">L57*0.18</f>
        <v>23.742</v>
      </c>
      <c r="R57" s="50">
        <f t="shared" ref="R57:R61" si="50">M57*0.22</f>
        <v>44.4796</v>
      </c>
      <c r="S57" s="31"/>
      <c r="T57" s="51">
        <v>0</v>
      </c>
      <c r="U57" s="33">
        <f t="shared" si="32"/>
        <v>0</v>
      </c>
      <c r="V57" s="34">
        <f t="shared" si="33"/>
        <v>106.4726</v>
      </c>
      <c r="W57" s="35">
        <f t="shared" si="13"/>
        <v>0.526622811356217</v>
      </c>
      <c r="X57" s="36">
        <f>(L57*'RESULTADO DIRETO'!N$27)/6*4</f>
        <v>18.3834843304229</v>
      </c>
      <c r="Y57" s="35">
        <f t="shared" si="18"/>
        <v>0.0909263247127454</v>
      </c>
      <c r="Z57" s="36">
        <f>(L57*'RESULTADO DIRETO'!N$15)/6*3</f>
        <v>12.5586614459386</v>
      </c>
      <c r="AA57" s="35">
        <f t="shared" si="34"/>
        <v>0.0621162402113889</v>
      </c>
      <c r="AB57" s="36">
        <f t="shared" si="14"/>
        <v>0.3911885614</v>
      </c>
      <c r="AC57" s="36">
        <f t="shared" si="35"/>
        <v>0.3911885614</v>
      </c>
      <c r="AD57" s="34">
        <f t="shared" ref="AD57:AD60" si="51">V57+X57+Z57+AB57+AC57</f>
        <v>138.197122899162</v>
      </c>
      <c r="AE57" s="37">
        <f t="shared" si="15"/>
        <v>0.683535082100908</v>
      </c>
      <c r="AF57" s="36">
        <f t="shared" si="36"/>
        <v>24.2616</v>
      </c>
      <c r="AG57" s="36"/>
      <c r="AH57" s="36">
        <f t="shared" si="16"/>
        <v>10.51336</v>
      </c>
      <c r="AI57" s="34">
        <f t="shared" si="37"/>
        <v>34.77496</v>
      </c>
      <c r="AJ57" s="38">
        <f t="shared" si="41"/>
        <v>172.972082899162</v>
      </c>
      <c r="AK57" s="39">
        <f t="shared" si="38"/>
        <v>0.855535082100908</v>
      </c>
      <c r="AL57" s="38">
        <f t="shared" si="39"/>
        <v>29.2079171008385</v>
      </c>
      <c r="AM57" s="40">
        <f t="shared" si="43"/>
        <v>0.144464917899092</v>
      </c>
      <c r="AN57" s="38">
        <f t="shared" si="40"/>
        <v>1.53282789992418</v>
      </c>
    </row>
    <row r="58" s="3" customFormat="1" hidden="1" spans="1:40">
      <c r="A58" s="41">
        <v>46244</v>
      </c>
      <c r="B58" s="41" t="str">
        <v>NORMAL</v>
      </c>
      <c r="C58" s="41" t="str">
        <v>DQB8989</v>
      </c>
      <c r="D58" s="42" t="str">
        <v>CTB</v>
      </c>
      <c r="E58" s="42" t="str">
        <v>PR</v>
      </c>
      <c r="F58" s="42" t="str">
        <v>RJO</v>
      </c>
      <c r="G58" s="42" t="str">
        <v>RJ</v>
      </c>
      <c r="H58" s="42" t="str">
        <v>COLSON DO BRASIL LTDA</v>
      </c>
      <c r="I58" s="209" t="str">
        <v>000189131</v>
      </c>
      <c r="J58" s="43">
        <v>4786.75</v>
      </c>
      <c r="K58" s="44">
        <v>14</v>
      </c>
      <c r="L58" s="45">
        <v>146.45</v>
      </c>
      <c r="M58" s="46">
        <v>223.57</v>
      </c>
      <c r="N58" s="47">
        <v>0.12</v>
      </c>
      <c r="O58" s="48">
        <f t="shared" si="11"/>
        <v>13.1805</v>
      </c>
      <c r="P58" s="49">
        <f t="shared" si="12"/>
        <v>29.29</v>
      </c>
      <c r="Q58" s="50">
        <f t="shared" si="49"/>
        <v>26.361</v>
      </c>
      <c r="R58" s="50">
        <f t="shared" si="50"/>
        <v>49.1854</v>
      </c>
      <c r="S58" s="31"/>
      <c r="T58" s="51">
        <v>0</v>
      </c>
      <c r="U58" s="33">
        <f t="shared" si="32"/>
        <v>0</v>
      </c>
      <c r="V58" s="34">
        <f t="shared" si="33"/>
        <v>118.0169</v>
      </c>
      <c r="W58" s="35">
        <f t="shared" si="13"/>
        <v>0.527874491210807</v>
      </c>
      <c r="X58" s="36">
        <f>(L58*'RESULTADO DIRETO'!N$27)/6*4</f>
        <v>20.411381957471</v>
      </c>
      <c r="Y58" s="35">
        <f t="shared" si="18"/>
        <v>0.0912974994743079</v>
      </c>
      <c r="Z58" s="36">
        <f>(L58*'RESULTADO DIRETO'!N$15)/6*3</f>
        <v>13.9440179587393</v>
      </c>
      <c r="AA58" s="35">
        <f t="shared" si="34"/>
        <v>0.0623698079292359</v>
      </c>
      <c r="AB58" s="36">
        <f t="shared" si="14"/>
        <v>0.514001215</v>
      </c>
      <c r="AC58" s="36">
        <f t="shared" si="35"/>
        <v>0.514001215</v>
      </c>
      <c r="AD58" s="34">
        <f t="shared" si="51"/>
        <v>153.40030234621</v>
      </c>
      <c r="AE58" s="37">
        <f t="shared" si="15"/>
        <v>0.686139921931432</v>
      </c>
      <c r="AF58" s="36">
        <f t="shared" si="36"/>
        <v>26.8284</v>
      </c>
      <c r="AG58" s="36"/>
      <c r="AH58" s="36">
        <f t="shared" si="16"/>
        <v>11.62564</v>
      </c>
      <c r="AI58" s="34">
        <f t="shared" si="37"/>
        <v>38.45404</v>
      </c>
      <c r="AJ58" s="38">
        <f t="shared" si="41"/>
        <v>191.85434234621</v>
      </c>
      <c r="AK58" s="39">
        <f t="shared" si="38"/>
        <v>0.858139921931432</v>
      </c>
      <c r="AL58" s="38">
        <f t="shared" si="39"/>
        <v>31.7156576537897</v>
      </c>
      <c r="AM58" s="40">
        <f t="shared" si="43"/>
        <v>0.141860078068568</v>
      </c>
      <c r="AN58" s="38">
        <f t="shared" si="40"/>
        <v>1.52659610788665</v>
      </c>
    </row>
    <row r="59" s="3" customFormat="1" hidden="1" spans="1:40">
      <c r="A59" s="41">
        <v>46244</v>
      </c>
      <c r="B59" s="41" t="str">
        <v>NORMAL</v>
      </c>
      <c r="C59" s="41" t="str">
        <v>DQB8989</v>
      </c>
      <c r="D59" s="42" t="str">
        <v>CTB</v>
      </c>
      <c r="E59" s="42" t="str">
        <v>PR</v>
      </c>
      <c r="F59" s="42" t="str">
        <v>PSP</v>
      </c>
      <c r="G59" s="42" t="str">
        <v>SP</v>
      </c>
      <c r="H59" s="42" t="str">
        <v>COLSON DO BRASIL LTDA</v>
      </c>
      <c r="I59" s="209" t="str">
        <v>000189164</v>
      </c>
      <c r="J59" s="43">
        <v>1955.67</v>
      </c>
      <c r="K59" s="44">
        <v>7</v>
      </c>
      <c r="L59" s="45">
        <v>55.15</v>
      </c>
      <c r="M59" s="46">
        <v>451.55</v>
      </c>
      <c r="N59" s="47">
        <v>0.12</v>
      </c>
      <c r="O59" s="48">
        <f t="shared" si="11"/>
        <v>4.9635</v>
      </c>
      <c r="P59" s="49">
        <f t="shared" si="12"/>
        <v>11.03</v>
      </c>
      <c r="Q59" s="31"/>
      <c r="R59" s="49">
        <f>L59*0</f>
        <v>0</v>
      </c>
      <c r="S59" s="31"/>
      <c r="T59" s="53">
        <v>225.5</v>
      </c>
      <c r="U59" s="33">
        <f t="shared" si="32"/>
        <v>0.499390986601705</v>
      </c>
      <c r="V59" s="34">
        <f t="shared" si="33"/>
        <v>241.4935</v>
      </c>
      <c r="W59" s="35">
        <f t="shared" si="13"/>
        <v>0.534810098549441</v>
      </c>
      <c r="X59" s="36">
        <f>(L59*'RESULTADO DIRETO'!N$27)/6*3</f>
        <v>5.76487392431475</v>
      </c>
      <c r="Y59" s="35">
        <f t="shared" si="18"/>
        <v>0.0127668562159556</v>
      </c>
      <c r="Z59" s="36">
        <f>(L59*'RESULTADO DIRETO'!N$15)/6*2</f>
        <v>3.50068323853179</v>
      </c>
      <c r="AA59" s="35">
        <f t="shared" si="34"/>
        <v>0.00775259271073367</v>
      </c>
      <c r="AB59" s="36">
        <f t="shared" si="14"/>
        <v>0.2099998446</v>
      </c>
      <c r="AC59" s="36">
        <f t="shared" si="35"/>
        <v>0.2099998446</v>
      </c>
      <c r="AD59" s="34">
        <f t="shared" si="51"/>
        <v>251.179056852047</v>
      </c>
      <c r="AE59" s="37">
        <f t="shared" si="15"/>
        <v>0.556259676341593</v>
      </c>
      <c r="AF59" s="36">
        <f t="shared" si="36"/>
        <v>54.186</v>
      </c>
      <c r="AG59" s="36"/>
      <c r="AH59" s="36">
        <f t="shared" si="16"/>
        <v>23.4806</v>
      </c>
      <c r="AI59" s="34">
        <f t="shared" si="37"/>
        <v>77.6666</v>
      </c>
      <c r="AJ59" s="38">
        <f t="shared" si="41"/>
        <v>328.845656852047</v>
      </c>
      <c r="AK59" s="39">
        <f t="shared" si="38"/>
        <v>0.728259676341593</v>
      </c>
      <c r="AL59" s="38">
        <f t="shared" si="39"/>
        <v>122.704343147953</v>
      </c>
      <c r="AM59" s="40">
        <f t="shared" si="43"/>
        <v>0.271740323658407</v>
      </c>
      <c r="AN59" s="38">
        <f t="shared" si="40"/>
        <v>8.18766999093382</v>
      </c>
    </row>
    <row r="60" s="3" customFormat="1" spans="1:40">
      <c r="A60" s="41">
        <v>46244</v>
      </c>
      <c r="B60" s="41" t="str">
        <v>NORMAL</v>
      </c>
      <c r="C60" s="41" t="str">
        <v>DQB8989</v>
      </c>
      <c r="D60" s="42" t="str">
        <v>CTB</v>
      </c>
      <c r="E60" s="42" t="str">
        <v>PR</v>
      </c>
      <c r="F60" s="42" t="str">
        <v>PSP</v>
      </c>
      <c r="G60" s="42" t="str">
        <v>SP</v>
      </c>
      <c r="H60" s="42" t="str">
        <v>COLSON DO BRASIL LTDA</v>
      </c>
      <c r="I60" s="209" t="str">
        <v>000189118</v>
      </c>
      <c r="J60" s="43">
        <v>1782</v>
      </c>
      <c r="K60" s="44">
        <v>6</v>
      </c>
      <c r="L60" s="45">
        <v>41.981</v>
      </c>
      <c r="M60" s="46">
        <v>294.75</v>
      </c>
      <c r="N60" s="47">
        <v>0.12</v>
      </c>
      <c r="O60" s="48">
        <f t="shared" si="11"/>
        <v>3.77829</v>
      </c>
      <c r="P60" s="49">
        <f t="shared" si="12"/>
        <v>8.3962</v>
      </c>
      <c r="Q60" s="31"/>
      <c r="R60" s="49">
        <f>L60*0</f>
        <v>0</v>
      </c>
      <c r="S60" s="31"/>
      <c r="T60" s="53">
        <v>49.5</v>
      </c>
      <c r="U60" s="33">
        <f t="shared" si="32"/>
        <v>0.16793893129771</v>
      </c>
      <c r="V60" s="34">
        <f t="shared" si="33"/>
        <v>61.67449</v>
      </c>
      <c r="W60" s="35">
        <f t="shared" si="13"/>
        <v>0.209243392705683</v>
      </c>
      <c r="X60" s="36">
        <f>(L60*'RESULTADO DIRETO'!N$27)/6*3</f>
        <v>4.38830774644891</v>
      </c>
      <c r="Y60" s="35">
        <f t="shared" si="18"/>
        <v>0.0148882366291736</v>
      </c>
      <c r="Z60" s="36">
        <f>(L60*'RESULTADO DIRETO'!N$15)/6*2</f>
        <v>2.66477213122036</v>
      </c>
      <c r="AA60" s="35">
        <f t="shared" si="34"/>
        <v>0.00904078755291048</v>
      </c>
      <c r="AB60" s="36">
        <f t="shared" si="14"/>
        <v>0.19135116</v>
      </c>
      <c r="AC60" s="36">
        <f t="shared" si="35"/>
        <v>0.19135116</v>
      </c>
      <c r="AD60" s="34">
        <f t="shared" si="51"/>
        <v>69.1102721976693</v>
      </c>
      <c r="AE60" s="37">
        <f t="shared" si="15"/>
        <v>0.234470813223645</v>
      </c>
      <c r="AF60" s="36">
        <f t="shared" si="36"/>
        <v>35.37</v>
      </c>
      <c r="AG60" s="36"/>
      <c r="AH60" s="36">
        <f t="shared" si="16"/>
        <v>15.327</v>
      </c>
      <c r="AI60" s="34">
        <f t="shared" si="37"/>
        <v>50.697</v>
      </c>
      <c r="AJ60" s="38">
        <f t="shared" si="41"/>
        <v>119.807272197669</v>
      </c>
      <c r="AK60" s="39">
        <f t="shared" si="38"/>
        <v>0.406470813223645</v>
      </c>
      <c r="AL60" s="38">
        <f t="shared" si="39"/>
        <v>174.942727802331</v>
      </c>
      <c r="AM60" s="40">
        <f t="shared" si="43"/>
        <v>0.593529186776355</v>
      </c>
      <c r="AN60" s="38">
        <f t="shared" si="40"/>
        <v>7.02103332459922</v>
      </c>
    </row>
    <row r="61" s="3" customFormat="1" hidden="1" spans="1:40">
      <c r="A61" s="41">
        <v>46244</v>
      </c>
      <c r="B61" s="41" t="str">
        <v>NORMAL</v>
      </c>
      <c r="C61" s="41" t="str">
        <v>DQB8989</v>
      </c>
      <c r="D61" s="42" t="str">
        <v>CTB</v>
      </c>
      <c r="E61" s="42" t="str">
        <v>PR</v>
      </c>
      <c r="F61" s="42" t="str">
        <v>RJO</v>
      </c>
      <c r="G61" s="42" t="str">
        <v>RJ</v>
      </c>
      <c r="H61" s="42" t="str">
        <v>COLSON DO BRASIL LTDA</v>
      </c>
      <c r="I61" s="209" t="str">
        <v>000189081</v>
      </c>
      <c r="J61" s="43">
        <v>2416.6</v>
      </c>
      <c r="K61" s="44">
        <v>6</v>
      </c>
      <c r="L61" s="45">
        <v>69.85</v>
      </c>
      <c r="M61" s="46">
        <v>432.01</v>
      </c>
      <c r="N61" s="47">
        <v>0.12</v>
      </c>
      <c r="O61" s="48">
        <f t="shared" si="11"/>
        <v>6.2865</v>
      </c>
      <c r="P61" s="49">
        <f t="shared" si="12"/>
        <v>13.97</v>
      </c>
      <c r="Q61" s="50">
        <f t="shared" si="49"/>
        <v>12.573</v>
      </c>
      <c r="R61" s="50">
        <f t="shared" si="50"/>
        <v>95.0422</v>
      </c>
      <c r="S61" s="31"/>
      <c r="T61" s="51">
        <v>0</v>
      </c>
      <c r="U61" s="33">
        <f t="shared" si="32"/>
        <v>0</v>
      </c>
      <c r="V61" s="34">
        <f t="shared" si="33"/>
        <v>127.8717</v>
      </c>
      <c r="W61" s="35">
        <f t="shared" si="13"/>
        <v>0.295992453878382</v>
      </c>
      <c r="X61" s="36">
        <f>(L61*'RESULTADO DIRETO'!N$27)/6*4</f>
        <v>9.73530235390475</v>
      </c>
      <c r="Y61" s="35">
        <f t="shared" si="18"/>
        <v>0.0225349004743056</v>
      </c>
      <c r="Z61" s="36">
        <f>(L61*'RESULTADO DIRETO'!N$15)/6*3</f>
        <v>6.6506633965035</v>
      </c>
      <c r="AA61" s="35">
        <f t="shared" si="34"/>
        <v>0.0153946977998276</v>
      </c>
      <c r="AB61" s="36">
        <f t="shared" si="14"/>
        <v>0.259494508</v>
      </c>
      <c r="AC61" s="36">
        <f t="shared" si="35"/>
        <v>0.259494508</v>
      </c>
      <c r="AD61" s="34">
        <f t="shared" ref="AD61:AD63" si="52">V61+X61+Z61+AB61+AC61</f>
        <v>144.776654766408</v>
      </c>
      <c r="AE61" s="37">
        <f t="shared" si="15"/>
        <v>0.335123387806783</v>
      </c>
      <c r="AF61" s="36">
        <f t="shared" si="36"/>
        <v>51.8412</v>
      </c>
      <c r="AG61" s="36"/>
      <c r="AH61" s="36">
        <f t="shared" si="16"/>
        <v>22.46452</v>
      </c>
      <c r="AI61" s="34">
        <f t="shared" si="37"/>
        <v>74.30572</v>
      </c>
      <c r="AJ61" s="38">
        <f t="shared" si="41"/>
        <v>219.082374766408</v>
      </c>
      <c r="AK61" s="39">
        <f t="shared" si="38"/>
        <v>0.507123387806783</v>
      </c>
      <c r="AL61" s="38">
        <f t="shared" si="39"/>
        <v>212.927625233592</v>
      </c>
      <c r="AM61" s="40">
        <f t="shared" si="43"/>
        <v>0.492876612193217</v>
      </c>
      <c r="AN61" s="38">
        <f t="shared" si="40"/>
        <v>6.1848246241947</v>
      </c>
    </row>
    <row r="62" s="3" customFormat="1" hidden="1" spans="1:40">
      <c r="A62" s="41">
        <v>46244</v>
      </c>
      <c r="B62" s="41" t="str">
        <v>NORMAL</v>
      </c>
      <c r="C62" s="41" t="str">
        <v>DQB8989</v>
      </c>
      <c r="D62" s="42" t="str">
        <v>CTB</v>
      </c>
      <c r="E62" s="42" t="str">
        <v>PR</v>
      </c>
      <c r="F62" s="42" t="str">
        <v>TRU</v>
      </c>
      <c r="G62" s="42" t="str">
        <v>MG</v>
      </c>
      <c r="H62" s="42" t="str">
        <v>COLSON DO BRASIL LTDA</v>
      </c>
      <c r="I62" s="209" t="str">
        <v>000188597</v>
      </c>
      <c r="J62" s="43">
        <v>2926.63</v>
      </c>
      <c r="K62" s="44">
        <v>8</v>
      </c>
      <c r="L62" s="45">
        <v>87</v>
      </c>
      <c r="M62" s="46">
        <v>537.86</v>
      </c>
      <c r="N62" s="47">
        <v>0.12</v>
      </c>
      <c r="O62" s="48">
        <f t="shared" si="11"/>
        <v>7.83</v>
      </c>
      <c r="P62" s="49">
        <f t="shared" si="12"/>
        <v>17.4</v>
      </c>
      <c r="Q62" s="31"/>
      <c r="R62" s="49">
        <f>L62*0.09</f>
        <v>7.83</v>
      </c>
      <c r="S62" s="31"/>
      <c r="T62" s="53">
        <v>487.52</v>
      </c>
      <c r="U62" s="33">
        <f t="shared" si="32"/>
        <v>0.906406871676644</v>
      </c>
      <c r="V62" s="34">
        <f t="shared" si="33"/>
        <v>520.58</v>
      </c>
      <c r="W62" s="35">
        <f t="shared" si="13"/>
        <v>0.96787268062321</v>
      </c>
      <c r="X62" s="36">
        <f>(L62*'RESULTADO DIRETO'!N$27)/6*3</f>
        <v>9.09418008006135</v>
      </c>
      <c r="Y62" s="35">
        <f t="shared" si="18"/>
        <v>0.0169080803184125</v>
      </c>
      <c r="Z62" s="36">
        <f>(L62*'RESULTADO DIRETO'!N$15)/6*2</f>
        <v>5.52238334999575</v>
      </c>
      <c r="AA62" s="35">
        <f t="shared" si="34"/>
        <v>0.0102673248614802</v>
      </c>
      <c r="AB62" s="36">
        <f t="shared" si="14"/>
        <v>0.3142615294</v>
      </c>
      <c r="AC62" s="36">
        <f t="shared" si="35"/>
        <v>0.3142615294</v>
      </c>
      <c r="AD62" s="34">
        <f t="shared" si="52"/>
        <v>535.825086488857</v>
      </c>
      <c r="AE62" s="37">
        <f t="shared" si="15"/>
        <v>0.996216648363621</v>
      </c>
      <c r="AF62" s="36">
        <f t="shared" si="36"/>
        <v>64.5432</v>
      </c>
      <c r="AG62" s="36"/>
      <c r="AH62" s="36">
        <f t="shared" si="16"/>
        <v>27.96872</v>
      </c>
      <c r="AI62" s="34">
        <f t="shared" si="37"/>
        <v>92.51192</v>
      </c>
      <c r="AJ62" s="38">
        <f t="shared" si="41"/>
        <v>628.337006488857</v>
      </c>
      <c r="AK62" s="39">
        <f t="shared" si="38"/>
        <v>1.16821664836362</v>
      </c>
      <c r="AL62" s="38">
        <f t="shared" si="39"/>
        <v>-90.4770064888571</v>
      </c>
      <c r="AM62" s="40">
        <f t="shared" si="43"/>
        <v>-0.168216648363621</v>
      </c>
      <c r="AN62" s="38">
        <f t="shared" si="40"/>
        <v>6.18229885057471</v>
      </c>
    </row>
    <row r="63" s="3" customFormat="1" hidden="1" spans="1:40">
      <c r="A63" s="41">
        <v>46244</v>
      </c>
      <c r="B63" s="41" t="str">
        <v>NORMAL</v>
      </c>
      <c r="C63" s="41" t="str">
        <v>DQB8989</v>
      </c>
      <c r="D63" s="42" t="str">
        <v>CTB</v>
      </c>
      <c r="E63" s="42" t="str">
        <v>PR</v>
      </c>
      <c r="F63" s="42" t="str">
        <v>SVP</v>
      </c>
      <c r="G63" s="42" t="str">
        <v>SP</v>
      </c>
      <c r="H63" s="42" t="str">
        <v>COLSON DO BRASIL LTDA</v>
      </c>
      <c r="I63" s="209" t="str">
        <v>000188727</v>
      </c>
      <c r="J63" s="43">
        <v>3348.91</v>
      </c>
      <c r="K63" s="44">
        <v>10</v>
      </c>
      <c r="L63" s="45">
        <v>95.035</v>
      </c>
      <c r="M63" s="46">
        <v>456.97</v>
      </c>
      <c r="N63" s="47">
        <v>0.12</v>
      </c>
      <c r="O63" s="48">
        <f t="shared" si="11"/>
        <v>8.55315</v>
      </c>
      <c r="P63" s="49">
        <f t="shared" si="12"/>
        <v>19.007</v>
      </c>
      <c r="Q63" s="31"/>
      <c r="R63" s="49">
        <f>L63*0.09</f>
        <v>8.55315</v>
      </c>
      <c r="S63" s="31"/>
      <c r="T63" s="53">
        <v>519</v>
      </c>
      <c r="U63" s="33">
        <f t="shared" si="32"/>
        <v>1.13574195242576</v>
      </c>
      <c r="V63" s="34">
        <f t="shared" si="33"/>
        <v>555.1133</v>
      </c>
      <c r="W63" s="35">
        <f t="shared" si="13"/>
        <v>1.2147696785347</v>
      </c>
      <c r="X63" s="36">
        <f>(L63*'RESULTADO DIRETO'!N$27)/6*3</f>
        <v>9.93408510239805</v>
      </c>
      <c r="Y63" s="35">
        <f t="shared" si="18"/>
        <v>0.0217390312326806</v>
      </c>
      <c r="Z63" s="36">
        <f>(L63*'RESULTADO DIRETO'!N$15)/6*2</f>
        <v>6.03241036398674</v>
      </c>
      <c r="AA63" s="35">
        <f t="shared" si="34"/>
        <v>0.0132008892574715</v>
      </c>
      <c r="AB63" s="36">
        <f t="shared" si="14"/>
        <v>0.3596059558</v>
      </c>
      <c r="AC63" s="36">
        <f t="shared" si="35"/>
        <v>0.3596059558</v>
      </c>
      <c r="AD63" s="34">
        <f t="shared" si="52"/>
        <v>571.799007377985</v>
      </c>
      <c r="AE63" s="37">
        <f t="shared" si="15"/>
        <v>1.25128347020151</v>
      </c>
      <c r="AF63" s="36">
        <f t="shared" si="36"/>
        <v>54.8364</v>
      </c>
      <c r="AG63" s="36"/>
      <c r="AH63" s="36">
        <f t="shared" si="16"/>
        <v>23.76244</v>
      </c>
      <c r="AI63" s="34">
        <f t="shared" si="37"/>
        <v>78.59884</v>
      </c>
      <c r="AJ63" s="38">
        <f t="shared" si="41"/>
        <v>650.397847377985</v>
      </c>
      <c r="AK63" s="39">
        <f t="shared" si="38"/>
        <v>1.42328347020151</v>
      </c>
      <c r="AL63" s="38">
        <f t="shared" si="39"/>
        <v>-193.427847377985</v>
      </c>
      <c r="AM63" s="40">
        <f t="shared" si="43"/>
        <v>-0.423283470201512</v>
      </c>
      <c r="AN63" s="38">
        <f t="shared" si="40"/>
        <v>4.80843899615931</v>
      </c>
    </row>
    <row r="64" s="3" customFormat="1" hidden="1" spans="1:40">
      <c r="A64" s="41">
        <v>46244</v>
      </c>
      <c r="B64" s="41" t="str">
        <v>NORMAL</v>
      </c>
      <c r="C64" s="41" t="str">
        <v>DQB8989</v>
      </c>
      <c r="D64" s="42" t="str">
        <v>CTB</v>
      </c>
      <c r="E64" s="42" t="str">
        <v>PR</v>
      </c>
      <c r="F64" s="42" t="str">
        <v>TRU</v>
      </c>
      <c r="G64" s="42" t="str">
        <v>MG</v>
      </c>
      <c r="H64" s="42" t="str">
        <v>COLSON DO BRASIL LTDA</v>
      </c>
      <c r="I64" s="209" t="str">
        <v>000188735</v>
      </c>
      <c r="J64" s="43">
        <v>3345.15</v>
      </c>
      <c r="K64" s="44">
        <v>7</v>
      </c>
      <c r="L64" s="45">
        <v>85.185</v>
      </c>
      <c r="M64" s="46">
        <v>540.25</v>
      </c>
      <c r="N64" s="47">
        <v>0.12</v>
      </c>
      <c r="O64" s="48">
        <f t="shared" si="11"/>
        <v>7.66665</v>
      </c>
      <c r="P64" s="49">
        <f t="shared" si="12"/>
        <v>17.037</v>
      </c>
      <c r="Q64" s="31"/>
      <c r="R64" s="49">
        <f>L64*0.09</f>
        <v>7.66665</v>
      </c>
      <c r="S64" s="31"/>
      <c r="T64" s="53">
        <v>488.43</v>
      </c>
      <c r="U64" s="33">
        <f t="shared" si="32"/>
        <v>0.90408144377603</v>
      </c>
      <c r="V64" s="34">
        <f t="shared" si="33"/>
        <v>520.8003</v>
      </c>
      <c r="W64" s="35">
        <f t="shared" si="13"/>
        <v>0.963998704303563</v>
      </c>
      <c r="X64" s="36">
        <f>(L64*'RESULTADO DIRETO'!N$27)/6*3</f>
        <v>8.90445666804627</v>
      </c>
      <c r="Y64" s="35">
        <f t="shared" si="18"/>
        <v>0.0164821039667677</v>
      </c>
      <c r="Z64" s="36">
        <f>(L64*'RESULTADO DIRETO'!N$15)/6*2</f>
        <v>5.40717500769412</v>
      </c>
      <c r="AA64" s="35">
        <f t="shared" si="34"/>
        <v>0.0100086534154449</v>
      </c>
      <c r="AB64" s="36">
        <f t="shared" si="14"/>
        <v>0.359202207</v>
      </c>
      <c r="AC64" s="36">
        <f t="shared" si="35"/>
        <v>0.359202207</v>
      </c>
      <c r="AD64" s="34">
        <f t="shared" ref="AD64:AD68" si="53">V64+X64+Z64+AB64+AC64</f>
        <v>535.83033608974</v>
      </c>
      <c r="AE64" s="37">
        <f t="shared" si="15"/>
        <v>0.991819224599242</v>
      </c>
      <c r="AF64" s="36">
        <f t="shared" si="36"/>
        <v>64.83</v>
      </c>
      <c r="AG64" s="36"/>
      <c r="AH64" s="36">
        <f t="shared" si="16"/>
        <v>28.093</v>
      </c>
      <c r="AI64" s="34">
        <f t="shared" si="37"/>
        <v>92.923</v>
      </c>
      <c r="AJ64" s="38">
        <f t="shared" si="41"/>
        <v>628.75333608974</v>
      </c>
      <c r="AK64" s="39">
        <f t="shared" si="38"/>
        <v>1.16381922459924</v>
      </c>
      <c r="AL64" s="38">
        <f t="shared" si="39"/>
        <v>-88.5033360897403</v>
      </c>
      <c r="AM64" s="40">
        <f t="shared" si="43"/>
        <v>-0.163819224599242</v>
      </c>
      <c r="AN64" s="38">
        <f t="shared" si="40"/>
        <v>6.34207900451957</v>
      </c>
    </row>
    <row r="65" s="3" customFormat="1" hidden="1" spans="1:40">
      <c r="A65" s="41">
        <v>46244</v>
      </c>
      <c r="B65" s="41" t="str">
        <v>NORMAL</v>
      </c>
      <c r="C65" s="41" t="str">
        <v>DQB8989</v>
      </c>
      <c r="D65" s="42" t="str">
        <v>CTB</v>
      </c>
      <c r="E65" s="42" t="str">
        <v>PR</v>
      </c>
      <c r="F65" s="42" t="str">
        <v>EPS</v>
      </c>
      <c r="G65" s="42" t="str">
        <v>ES</v>
      </c>
      <c r="H65" s="42" t="str">
        <v>COLSON DO BRASIL LTDA</v>
      </c>
      <c r="I65" s="209" t="str">
        <v>000189145</v>
      </c>
      <c r="J65" s="43">
        <v>2812.38</v>
      </c>
      <c r="K65" s="44">
        <v>6</v>
      </c>
      <c r="L65" s="45">
        <v>81.265</v>
      </c>
      <c r="M65" s="46">
        <v>446.61</v>
      </c>
      <c r="N65" s="47">
        <v>0.07</v>
      </c>
      <c r="O65" s="48">
        <f t="shared" si="11"/>
        <v>7.31385</v>
      </c>
      <c r="P65" s="49">
        <f t="shared" si="12"/>
        <v>16.253</v>
      </c>
      <c r="Q65" s="31"/>
      <c r="R65" s="31"/>
      <c r="S65" s="31"/>
      <c r="T65" s="30">
        <v>214.37</v>
      </c>
      <c r="U65" s="33">
        <f t="shared" si="32"/>
        <v>0.479993730547905</v>
      </c>
      <c r="V65" s="34">
        <f t="shared" si="33"/>
        <v>237.93685</v>
      </c>
      <c r="W65" s="35">
        <f t="shared" si="13"/>
        <v>0.532762029511207</v>
      </c>
      <c r="X65" s="36">
        <f>(L65*'RESULTADO DIRETO'!N$27)/6*3</f>
        <v>8.49469591041592</v>
      </c>
      <c r="Y65" s="35">
        <f t="shared" si="18"/>
        <v>0.0190203889532611</v>
      </c>
      <c r="Z65" s="36">
        <f>(L65*'RESULTADO DIRETO'!N$15)/6*4</f>
        <v>10.3167007571817</v>
      </c>
      <c r="AA65" s="35">
        <f t="shared" si="34"/>
        <v>0.0231000218472083</v>
      </c>
      <c r="AB65" s="36">
        <f t="shared" si="14"/>
        <v>0.3019933644</v>
      </c>
      <c r="AC65" s="36">
        <f t="shared" si="35"/>
        <v>0.3019933644</v>
      </c>
      <c r="AD65" s="34"/>
      <c r="AE65" s="37">
        <f t="shared" si="15"/>
        <v>0</v>
      </c>
      <c r="AF65" s="36">
        <f t="shared" si="36"/>
        <v>31.2627</v>
      </c>
      <c r="AG65" s="36"/>
      <c r="AH65" s="36">
        <f t="shared" si="16"/>
        <v>23.22372</v>
      </c>
      <c r="AI65" s="34">
        <f t="shared" si="37"/>
        <v>54.48642</v>
      </c>
      <c r="AJ65" s="38">
        <f t="shared" si="41"/>
        <v>54.48642</v>
      </c>
      <c r="AK65" s="39">
        <f t="shared" si="38"/>
        <v>0.122</v>
      </c>
      <c r="AL65" s="38">
        <f t="shared" si="39"/>
        <v>392.12358</v>
      </c>
      <c r="AM65" s="40">
        <f t="shared" si="43"/>
        <v>0.878</v>
      </c>
      <c r="AN65" s="38">
        <f t="shared" si="40"/>
        <v>5.49572386636313</v>
      </c>
    </row>
    <row r="66" s="3" customFormat="1" hidden="1" spans="1:40">
      <c r="A66" s="41">
        <v>46244</v>
      </c>
      <c r="B66" s="41" t="str">
        <v>NORMAL</v>
      </c>
      <c r="C66" s="41" t="str">
        <v>DQB8989</v>
      </c>
      <c r="D66" s="42" t="str">
        <v>CTB</v>
      </c>
      <c r="E66" s="42" t="str">
        <v>PR</v>
      </c>
      <c r="F66" s="42" t="str">
        <v>RCG</v>
      </c>
      <c r="G66" s="42" t="str">
        <v>RJ</v>
      </c>
      <c r="H66" s="42" t="str">
        <v>COLSON DO BRASIL LTDA</v>
      </c>
      <c r="I66" s="209" t="str">
        <v>000189142</v>
      </c>
      <c r="J66" s="43">
        <v>6053.16</v>
      </c>
      <c r="K66" s="44">
        <v>15</v>
      </c>
      <c r="L66" s="45">
        <v>217.5</v>
      </c>
      <c r="M66" s="46">
        <v>376.41</v>
      </c>
      <c r="N66" s="47">
        <v>0.12</v>
      </c>
      <c r="O66" s="48">
        <f t="shared" si="11"/>
        <v>19.575</v>
      </c>
      <c r="P66" s="49">
        <f t="shared" si="12"/>
        <v>43.5</v>
      </c>
      <c r="Q66" s="50">
        <f t="shared" ref="Q66:Q72" si="54">L66*0.18</f>
        <v>39.15</v>
      </c>
      <c r="R66" s="50">
        <f t="shared" ref="R66:R72" si="55">M66*0.22</f>
        <v>82.8102</v>
      </c>
      <c r="S66" s="31"/>
      <c r="T66" s="53">
        <v>145.66</v>
      </c>
      <c r="U66" s="33">
        <f t="shared" si="32"/>
        <v>0.386971653250445</v>
      </c>
      <c r="V66" s="34">
        <f t="shared" si="33"/>
        <v>330.6952</v>
      </c>
      <c r="W66" s="35">
        <f t="shared" si="13"/>
        <v>0.878550516723785</v>
      </c>
      <c r="X66" s="36">
        <f>(L66*'RESULTADO DIRETO'!N$27)/6*4</f>
        <v>30.3139336002045</v>
      </c>
      <c r="Y66" s="35">
        <f t="shared" si="18"/>
        <v>0.0805343471220331</v>
      </c>
      <c r="Z66" s="36">
        <f>(L66*'RESULTADO DIRETO'!N$15)/6*3</f>
        <v>20.7089375624841</v>
      </c>
      <c r="AA66" s="35">
        <f t="shared" si="34"/>
        <v>0.0550169696939084</v>
      </c>
      <c r="AB66" s="36">
        <f t="shared" si="14"/>
        <v>0.6499883208</v>
      </c>
      <c r="AC66" s="36">
        <f t="shared" si="35"/>
        <v>0.6499883208</v>
      </c>
      <c r="AD66" s="34">
        <f t="shared" si="53"/>
        <v>383.018047804289</v>
      </c>
      <c r="AE66" s="37">
        <f t="shared" si="15"/>
        <v>1.01755545231075</v>
      </c>
      <c r="AF66" s="36">
        <f t="shared" si="36"/>
        <v>45.1692</v>
      </c>
      <c r="AG66" s="36"/>
      <c r="AH66" s="36">
        <f t="shared" si="16"/>
        <v>19.57332</v>
      </c>
      <c r="AI66" s="34">
        <f t="shared" si="37"/>
        <v>64.74252</v>
      </c>
      <c r="AJ66" s="38">
        <f t="shared" si="41"/>
        <v>447.760567804289</v>
      </c>
      <c r="AK66" s="39">
        <f t="shared" si="38"/>
        <v>1.18955545231075</v>
      </c>
      <c r="AL66" s="38">
        <f t="shared" si="39"/>
        <v>-71.3505678042886</v>
      </c>
      <c r="AM66" s="40">
        <f t="shared" si="43"/>
        <v>-0.189555452310748</v>
      </c>
      <c r="AN66" s="38">
        <f t="shared" si="40"/>
        <v>1.73062068965517</v>
      </c>
    </row>
    <row r="67" s="3" customFormat="1" hidden="1" spans="1:40">
      <c r="A67" s="41">
        <v>46245</v>
      </c>
      <c r="B67" s="41" t="str">
        <v>NORMAL</v>
      </c>
      <c r="C67" s="41" t="str">
        <v>DQB8989</v>
      </c>
      <c r="D67" s="42" t="str">
        <v>CTB</v>
      </c>
      <c r="E67" s="42" t="str">
        <v>PR</v>
      </c>
      <c r="F67" s="42" t="str">
        <v>PSP</v>
      </c>
      <c r="G67" s="42" t="str">
        <v>SP</v>
      </c>
      <c r="H67" s="42" t="str">
        <v>COLSON DO BRASIL LTDA</v>
      </c>
      <c r="I67" s="209" t="str">
        <v>000189216</v>
      </c>
      <c r="J67" s="43">
        <v>3192.9</v>
      </c>
      <c r="K67" s="44">
        <v>7</v>
      </c>
      <c r="L67" s="45">
        <v>77.45</v>
      </c>
      <c r="M67" s="46">
        <v>261.38</v>
      </c>
      <c r="N67" s="47">
        <v>0.12</v>
      </c>
      <c r="O67" s="48">
        <f t="shared" si="11"/>
        <v>6.9705</v>
      </c>
      <c r="P67" s="49">
        <f t="shared" si="12"/>
        <v>15.49</v>
      </c>
      <c r="Q67" s="31"/>
      <c r="R67" s="49">
        <f>L67*0</f>
        <v>0</v>
      </c>
      <c r="S67" s="31"/>
      <c r="T67" s="53">
        <v>66</v>
      </c>
      <c r="U67" s="33">
        <f t="shared" ref="U67:U85" si="56">T67/M67</f>
        <v>0.252505930063509</v>
      </c>
      <c r="V67" s="34">
        <f t="shared" ref="V67:V84" si="57">O67+P67+Q67+R67+S67+T67</f>
        <v>88.4605</v>
      </c>
      <c r="W67" s="35">
        <f t="shared" si="13"/>
        <v>0.338436376157319</v>
      </c>
      <c r="X67" s="36">
        <f>(L67*'RESULTADO DIRETO'!N$27)/6*3</f>
        <v>8.09591088736496</v>
      </c>
      <c r="Y67" s="35">
        <f t="shared" si="18"/>
        <v>0.0309737198231118</v>
      </c>
      <c r="Z67" s="36">
        <f>(L67*'RESULTADO DIRETO'!N$15)/6*2</f>
        <v>4.91619069491001</v>
      </c>
      <c r="AA67" s="35">
        <f t="shared" ref="AA67:AA98" si="58">Z67/M67</f>
        <v>0.0188085955119367</v>
      </c>
      <c r="AB67" s="36">
        <f t="shared" si="14"/>
        <v>0.342853602</v>
      </c>
      <c r="AC67" s="36">
        <f t="shared" ref="AC67:AC83" si="59">(J67*0.01%)*7.38%+(J67*0.01%)</f>
        <v>0.342853602</v>
      </c>
      <c r="AD67" s="34">
        <f t="shared" si="53"/>
        <v>102.158308786275</v>
      </c>
      <c r="AE67" s="37">
        <f t="shared" si="15"/>
        <v>0.390842102633235</v>
      </c>
      <c r="AF67" s="36">
        <f t="shared" ref="AF67:AF83" si="60">M67*N67</f>
        <v>31.3656</v>
      </c>
      <c r="AG67" s="36"/>
      <c r="AH67" s="36">
        <f t="shared" si="16"/>
        <v>13.59176</v>
      </c>
      <c r="AI67" s="34">
        <f t="shared" ref="AI67:AI83" si="61">AF67+AG67+AH67</f>
        <v>44.95736</v>
      </c>
      <c r="AJ67" s="38">
        <f t="shared" si="41"/>
        <v>147.115668786275</v>
      </c>
      <c r="AK67" s="39">
        <f t="shared" ref="AK67:AK98" si="62">AJ67/M67</f>
        <v>0.562842102633235</v>
      </c>
      <c r="AL67" s="38">
        <f t="shared" ref="AL67:AL83" si="63">M67-AJ67</f>
        <v>114.264331213725</v>
      </c>
      <c r="AM67" s="40">
        <f t="shared" si="43"/>
        <v>0.437157897366765</v>
      </c>
      <c r="AN67" s="38">
        <f t="shared" ref="AN67:AN83" si="64">M67/L67</f>
        <v>3.37482246610717</v>
      </c>
    </row>
    <row r="68" s="3" customFormat="1" spans="1:40">
      <c r="A68" s="41">
        <v>46245</v>
      </c>
      <c r="B68" s="41" t="str">
        <v>COMPLEMENTAR FRETE</v>
      </c>
      <c r="C68" s="41" t="str">
        <v>BFE7A89</v>
      </c>
      <c r="D68" s="42" t="str">
        <v>CTB</v>
      </c>
      <c r="E68" s="42" t="str">
        <v>PR</v>
      </c>
      <c r="F68" s="42" t="str">
        <v>SPO</v>
      </c>
      <c r="G68" s="42" t="str">
        <v>SP</v>
      </c>
      <c r="H68" s="42" t="str">
        <v>COLSON DO BRASIL LTDA</v>
      </c>
      <c r="I68" s="209" t="str">
        <v>000188960</v>
      </c>
      <c r="J68" s="43">
        <v>1517.68</v>
      </c>
      <c r="K68" s="44">
        <v>3</v>
      </c>
      <c r="L68" s="45">
        <v>35.061</v>
      </c>
      <c r="M68" s="46">
        <v>284.09</v>
      </c>
      <c r="N68" s="47">
        <v>0.12</v>
      </c>
      <c r="O68" s="48">
        <f t="shared" ref="O68:O131" si="65">L68*0.09</f>
        <v>3.15549</v>
      </c>
      <c r="P68" s="49">
        <f t="shared" si="12"/>
        <v>7.0122</v>
      </c>
      <c r="Q68" s="31"/>
      <c r="R68" s="49">
        <f>L68*0.19</f>
        <v>6.66159</v>
      </c>
      <c r="S68" s="31"/>
      <c r="T68" s="30">
        <v>0</v>
      </c>
      <c r="U68" s="33">
        <f t="shared" si="56"/>
        <v>0</v>
      </c>
      <c r="V68" s="34">
        <f t="shared" si="57"/>
        <v>16.82928</v>
      </c>
      <c r="W68" s="35">
        <f t="shared" ref="W68:W131" si="66">V68/M68</f>
        <v>0.0592392551656165</v>
      </c>
      <c r="X68" s="36">
        <f>(L68*'RESULTADO DIRETO'!N$27)/6*3</f>
        <v>3.66495457226472</v>
      </c>
      <c r="Y68" s="35">
        <f t="shared" si="18"/>
        <v>0.0129006813765522</v>
      </c>
      <c r="Z68" s="36">
        <f>(L68*'RESULTADO DIRETO'!N$15)/6*2</f>
        <v>2.22552049004829</v>
      </c>
      <c r="AA68" s="35">
        <f t="shared" si="58"/>
        <v>0.00783385719331299</v>
      </c>
      <c r="AB68" s="36">
        <f t="shared" ref="AB68:AB131" si="67">(J68*0.01%)*7.38%+(J68*0.01%)</f>
        <v>0.1629684784</v>
      </c>
      <c r="AC68" s="36">
        <f t="shared" si="59"/>
        <v>0.1629684784</v>
      </c>
      <c r="AD68" s="34">
        <f t="shared" si="53"/>
        <v>23.045692019113</v>
      </c>
      <c r="AE68" s="37">
        <f t="shared" ref="AE68:AE131" si="68">AD68/M68</f>
        <v>0.0811210954947834</v>
      </c>
      <c r="AF68" s="36">
        <f t="shared" si="60"/>
        <v>34.0908</v>
      </c>
      <c r="AG68" s="36"/>
      <c r="AH68" s="36">
        <f t="shared" ref="AH68:AH131" si="69">M68*0.052</f>
        <v>14.77268</v>
      </c>
      <c r="AI68" s="34">
        <f t="shared" si="61"/>
        <v>48.86348</v>
      </c>
      <c r="AJ68" s="38">
        <f t="shared" ref="AJ68:AJ92" si="70">AD68+AI68</f>
        <v>71.909172019113</v>
      </c>
      <c r="AK68" s="39">
        <f t="shared" si="62"/>
        <v>0.253121095494783</v>
      </c>
      <c r="AL68" s="38">
        <f t="shared" si="63"/>
        <v>212.180827980887</v>
      </c>
      <c r="AM68" s="40">
        <f t="shared" si="43"/>
        <v>0.746878904505217</v>
      </c>
      <c r="AN68" s="38">
        <f t="shared" si="64"/>
        <v>8.10273523287984</v>
      </c>
    </row>
    <row r="69" s="3" customFormat="1" hidden="1" spans="1:40">
      <c r="A69" s="41">
        <v>46245</v>
      </c>
      <c r="B69" s="41" t="str">
        <v>NORMAL</v>
      </c>
      <c r="C69" s="41" t="str">
        <v>DQB8989</v>
      </c>
      <c r="D69" s="42" t="str">
        <v>CTB</v>
      </c>
      <c r="E69" s="42" t="str">
        <v>PR</v>
      </c>
      <c r="F69" s="42" t="str">
        <v>BHZ</v>
      </c>
      <c r="G69" s="42" t="str">
        <v>MG</v>
      </c>
      <c r="H69" s="42" t="str">
        <v>COLSON DO BRASIL LTDA</v>
      </c>
      <c r="I69" s="209" t="str">
        <v>000189254</v>
      </c>
      <c r="J69" s="43">
        <v>3324.17</v>
      </c>
      <c r="K69" s="44">
        <v>11</v>
      </c>
      <c r="L69" s="45">
        <v>151.4</v>
      </c>
      <c r="M69" s="46">
        <v>501.11</v>
      </c>
      <c r="N69" s="47">
        <v>0.12</v>
      </c>
      <c r="O69" s="48">
        <f t="shared" si="65"/>
        <v>13.626</v>
      </c>
      <c r="P69" s="49">
        <f t="shared" ref="P69:P132" si="71">L69*0.2</f>
        <v>30.28</v>
      </c>
      <c r="Q69" s="52">
        <f>L69*0.18</f>
        <v>27.252</v>
      </c>
      <c r="R69" s="52">
        <f>L69*0.15</f>
        <v>22.71</v>
      </c>
      <c r="S69" s="31"/>
      <c r="T69" s="54">
        <v>0</v>
      </c>
      <c r="U69" s="33">
        <f t="shared" si="56"/>
        <v>0</v>
      </c>
      <c r="V69" s="34">
        <f t="shared" si="57"/>
        <v>93.868</v>
      </c>
      <c r="W69" s="35">
        <f t="shared" si="66"/>
        <v>0.187320149268624</v>
      </c>
      <c r="X69" s="36">
        <f>(L69*'RESULTADO DIRETO'!N$27)/6*4</f>
        <v>21.1012852738895</v>
      </c>
      <c r="Y69" s="35">
        <f t="shared" si="18"/>
        <v>0.042109088371594</v>
      </c>
      <c r="Z69" s="36">
        <f>(L69*'RESULTADO DIRETO'!N$15)/6*3</f>
        <v>14.4153248136096</v>
      </c>
      <c r="AA69" s="35">
        <f t="shared" si="58"/>
        <v>0.0287667873592816</v>
      </c>
      <c r="AB69" s="36">
        <f t="shared" si="67"/>
        <v>0.3569493746</v>
      </c>
      <c r="AC69" s="36">
        <f t="shared" si="59"/>
        <v>0.3569493746</v>
      </c>
      <c r="AD69" s="34">
        <f t="shared" ref="AD69:AD79" si="72">V69+X69+Z69+AB69+AC69</f>
        <v>130.098508836699</v>
      </c>
      <c r="AE69" s="37">
        <f t="shared" si="68"/>
        <v>0.259620659808623</v>
      </c>
      <c r="AF69" s="36">
        <f t="shared" si="60"/>
        <v>60.1332</v>
      </c>
      <c r="AG69" s="36"/>
      <c r="AH69" s="36">
        <f t="shared" si="69"/>
        <v>26.05772</v>
      </c>
      <c r="AI69" s="34">
        <f t="shared" si="61"/>
        <v>86.19092</v>
      </c>
      <c r="AJ69" s="38">
        <f t="shared" si="70"/>
        <v>216.289428836699</v>
      </c>
      <c r="AK69" s="39">
        <f t="shared" si="62"/>
        <v>0.431620659808623</v>
      </c>
      <c r="AL69" s="38">
        <f t="shared" si="63"/>
        <v>284.820571163301</v>
      </c>
      <c r="AM69" s="40">
        <f t="shared" si="43"/>
        <v>0.568379340191377</v>
      </c>
      <c r="AN69" s="38">
        <f t="shared" si="64"/>
        <v>3.30984147952444</v>
      </c>
    </row>
    <row r="70" s="3" customFormat="1" hidden="1" spans="1:40">
      <c r="A70" s="41">
        <v>46245</v>
      </c>
      <c r="B70" s="41" t="str">
        <v>NORMAL</v>
      </c>
      <c r="C70" s="41" t="str">
        <v>DQB8989</v>
      </c>
      <c r="D70" s="42" t="str">
        <v>CTB</v>
      </c>
      <c r="E70" s="42" t="str">
        <v>PR</v>
      </c>
      <c r="F70" s="42" t="str">
        <v>RJO</v>
      </c>
      <c r="G70" s="42" t="str">
        <v>RJ</v>
      </c>
      <c r="H70" s="42" t="str">
        <v>COLSON DO BRASIL LTDA</v>
      </c>
      <c r="I70" s="209" t="str">
        <v>000189146</v>
      </c>
      <c r="J70" s="43">
        <v>2649.85</v>
      </c>
      <c r="K70" s="44">
        <v>6</v>
      </c>
      <c r="L70" s="45">
        <v>83.425</v>
      </c>
      <c r="M70" s="46">
        <v>453.33</v>
      </c>
      <c r="N70" s="47">
        <v>0.12</v>
      </c>
      <c r="O70" s="48">
        <f t="shared" si="65"/>
        <v>7.50825</v>
      </c>
      <c r="P70" s="49">
        <f t="shared" si="71"/>
        <v>16.685</v>
      </c>
      <c r="Q70" s="50">
        <f t="shared" si="54"/>
        <v>15.0165</v>
      </c>
      <c r="R70" s="50">
        <f t="shared" si="55"/>
        <v>99.7326</v>
      </c>
      <c r="S70" s="31"/>
      <c r="T70" s="51">
        <v>0</v>
      </c>
      <c r="U70" s="33">
        <f t="shared" si="56"/>
        <v>0</v>
      </c>
      <c r="V70" s="34">
        <f t="shared" si="57"/>
        <v>138.94235</v>
      </c>
      <c r="W70" s="35">
        <f t="shared" si="66"/>
        <v>0.306492731564203</v>
      </c>
      <c r="X70" s="36">
        <f>(L70*'RESULTADO DIRETO'!N$27)/6*4</f>
        <v>11.6273099337796</v>
      </c>
      <c r="Y70" s="35">
        <f t="shared" si="18"/>
        <v>0.0256486663882372</v>
      </c>
      <c r="Z70" s="36">
        <f>(L70*'RESULTADO DIRETO'!N$15)/6*3</f>
        <v>7.94318674092061</v>
      </c>
      <c r="AA70" s="35">
        <f t="shared" si="58"/>
        <v>0.0175218642951506</v>
      </c>
      <c r="AB70" s="36">
        <f t="shared" si="67"/>
        <v>0.284540893</v>
      </c>
      <c r="AC70" s="36">
        <f t="shared" si="59"/>
        <v>0.284540893</v>
      </c>
      <c r="AD70" s="34">
        <f t="shared" si="72"/>
        <v>159.0819284607</v>
      </c>
      <c r="AE70" s="37">
        <f t="shared" si="68"/>
        <v>0.350918598947125</v>
      </c>
      <c r="AF70" s="36">
        <f t="shared" si="60"/>
        <v>54.3996</v>
      </c>
      <c r="AG70" s="36"/>
      <c r="AH70" s="36">
        <f t="shared" si="69"/>
        <v>23.57316</v>
      </c>
      <c r="AI70" s="34">
        <f t="shared" si="61"/>
        <v>77.97276</v>
      </c>
      <c r="AJ70" s="38">
        <f t="shared" si="70"/>
        <v>237.0546884607</v>
      </c>
      <c r="AK70" s="39">
        <f t="shared" si="62"/>
        <v>0.522918598947125</v>
      </c>
      <c r="AL70" s="38">
        <f t="shared" si="63"/>
        <v>216.2753115393</v>
      </c>
      <c r="AM70" s="40">
        <f t="shared" si="43"/>
        <v>0.477081401052875</v>
      </c>
      <c r="AN70" s="38">
        <f t="shared" si="64"/>
        <v>5.43398261911897</v>
      </c>
    </row>
    <row r="71" s="3" customFormat="1" hidden="1" spans="1:40">
      <c r="A71" s="41">
        <v>46245</v>
      </c>
      <c r="B71" s="41" t="str">
        <v>NORMAL</v>
      </c>
      <c r="C71" s="41" t="str">
        <v>DQB8989</v>
      </c>
      <c r="D71" s="42" t="str">
        <v>CTB</v>
      </c>
      <c r="E71" s="42" t="str">
        <v>PR</v>
      </c>
      <c r="F71" s="42" t="str">
        <v>RJO</v>
      </c>
      <c r="G71" s="42" t="str">
        <v>RJ</v>
      </c>
      <c r="H71" s="42" t="str">
        <v>COLSON DO BRASIL LTDA</v>
      </c>
      <c r="I71" s="209" t="str">
        <v>000189184</v>
      </c>
      <c r="J71" s="43">
        <v>17118.02</v>
      </c>
      <c r="K71" s="44">
        <v>70</v>
      </c>
      <c r="L71" s="45">
        <v>606.721</v>
      </c>
      <c r="M71" s="46">
        <v>795.67</v>
      </c>
      <c r="N71" s="47">
        <v>0.12</v>
      </c>
      <c r="O71" s="48">
        <f t="shared" si="65"/>
        <v>54.60489</v>
      </c>
      <c r="P71" s="49">
        <f t="shared" si="71"/>
        <v>121.3442</v>
      </c>
      <c r="Q71" s="50">
        <f t="shared" si="54"/>
        <v>109.20978</v>
      </c>
      <c r="R71" s="50">
        <f t="shared" si="55"/>
        <v>175.0474</v>
      </c>
      <c r="S71" s="31"/>
      <c r="T71" s="51">
        <v>0</v>
      </c>
      <c r="U71" s="33">
        <f t="shared" si="56"/>
        <v>0</v>
      </c>
      <c r="V71" s="34">
        <f t="shared" si="57"/>
        <v>460.20627</v>
      </c>
      <c r="W71" s="35">
        <f t="shared" si="66"/>
        <v>0.578388364522981</v>
      </c>
      <c r="X71" s="36">
        <f>(L71*'RESULTADO DIRETO'!N$27)/6*4</f>
        <v>84.5613798062054</v>
      </c>
      <c r="Y71" s="35">
        <f t="shared" ref="Y71:Y134" si="73">X71/M71</f>
        <v>0.106276948742827</v>
      </c>
      <c r="Z71" s="36">
        <f>(L71*'RESULTADO DIRETO'!N$15)/6*3</f>
        <v>57.768033594703</v>
      </c>
      <c r="AA71" s="35">
        <f t="shared" si="58"/>
        <v>0.0726030057620659</v>
      </c>
      <c r="AB71" s="36">
        <f t="shared" si="67"/>
        <v>1.8381329876</v>
      </c>
      <c r="AC71" s="36">
        <f t="shared" si="59"/>
        <v>1.8381329876</v>
      </c>
      <c r="AD71" s="34">
        <f t="shared" si="72"/>
        <v>606.211949376108</v>
      </c>
      <c r="AE71" s="37">
        <f t="shared" si="68"/>
        <v>0.761888659087446</v>
      </c>
      <c r="AF71" s="36">
        <f t="shared" si="60"/>
        <v>95.4804</v>
      </c>
      <c r="AG71" s="36"/>
      <c r="AH71" s="36">
        <f t="shared" si="69"/>
        <v>41.37484</v>
      </c>
      <c r="AI71" s="34">
        <f t="shared" si="61"/>
        <v>136.85524</v>
      </c>
      <c r="AJ71" s="38">
        <f t="shared" si="70"/>
        <v>743.067189376108</v>
      </c>
      <c r="AK71" s="39">
        <f t="shared" si="62"/>
        <v>0.933888659087446</v>
      </c>
      <c r="AL71" s="38">
        <f t="shared" si="63"/>
        <v>52.6028106238916</v>
      </c>
      <c r="AM71" s="40">
        <f t="shared" si="43"/>
        <v>0.0661113409125537</v>
      </c>
      <c r="AN71" s="38">
        <f t="shared" si="64"/>
        <v>1.3114265041098</v>
      </c>
    </row>
    <row r="72" s="3" customFormat="1" hidden="1" spans="1:40">
      <c r="A72" s="41">
        <v>46245</v>
      </c>
      <c r="B72" s="41" t="str">
        <v>NORMAL</v>
      </c>
      <c r="C72" s="41" t="str">
        <v>DQB8989</v>
      </c>
      <c r="D72" s="42" t="str">
        <v>CTB</v>
      </c>
      <c r="E72" s="42" t="str">
        <v>PR</v>
      </c>
      <c r="F72" s="42" t="str">
        <v>MVG</v>
      </c>
      <c r="G72" s="42" t="str">
        <v>RJ</v>
      </c>
      <c r="H72" s="42" t="str">
        <v>COLSON DO BRASIL LTDA</v>
      </c>
      <c r="I72" s="209" t="str">
        <v>000189206</v>
      </c>
      <c r="J72" s="43">
        <v>5645.07</v>
      </c>
      <c r="K72" s="44">
        <v>22</v>
      </c>
      <c r="L72" s="45">
        <v>158.413</v>
      </c>
      <c r="M72" s="46">
        <v>289.27</v>
      </c>
      <c r="N72" s="47">
        <v>0.12</v>
      </c>
      <c r="O72" s="48">
        <f t="shared" si="65"/>
        <v>14.25717</v>
      </c>
      <c r="P72" s="49">
        <f t="shared" si="71"/>
        <v>31.6826</v>
      </c>
      <c r="Q72" s="50">
        <f t="shared" si="54"/>
        <v>28.51434</v>
      </c>
      <c r="R72" s="50">
        <f t="shared" si="55"/>
        <v>63.6394</v>
      </c>
      <c r="S72" s="31"/>
      <c r="T72" s="53">
        <v>95.1</v>
      </c>
      <c r="U72" s="33">
        <f t="shared" si="56"/>
        <v>0.328758599232551</v>
      </c>
      <c r="V72" s="34">
        <f t="shared" si="57"/>
        <v>233.19351</v>
      </c>
      <c r="W72" s="35">
        <f t="shared" si="66"/>
        <v>0.806144812804646</v>
      </c>
      <c r="X72" s="36">
        <f>(L72*'RESULTADO DIRETO'!N$27)/6*4</f>
        <v>22.0787179926859</v>
      </c>
      <c r="Y72" s="35">
        <f t="shared" si="73"/>
        <v>0.0763256403798733</v>
      </c>
      <c r="Z72" s="36">
        <f>(L72*'RESULTADO DIRETO'!N$15)/6*3</f>
        <v>15.0830571314289</v>
      </c>
      <c r="AA72" s="35">
        <f t="shared" si="58"/>
        <v>0.0521417953172777</v>
      </c>
      <c r="AB72" s="36">
        <f t="shared" si="67"/>
        <v>0.6061676166</v>
      </c>
      <c r="AC72" s="36">
        <f t="shared" si="59"/>
        <v>0.6061676166</v>
      </c>
      <c r="AD72" s="34">
        <f t="shared" si="72"/>
        <v>271.567620357315</v>
      </c>
      <c r="AE72" s="37">
        <f t="shared" si="68"/>
        <v>0.938803264622376</v>
      </c>
      <c r="AF72" s="36">
        <f t="shared" si="60"/>
        <v>34.7124</v>
      </c>
      <c r="AG72" s="36"/>
      <c r="AH72" s="36">
        <f t="shared" si="69"/>
        <v>15.04204</v>
      </c>
      <c r="AI72" s="34">
        <f t="shared" si="61"/>
        <v>49.75444</v>
      </c>
      <c r="AJ72" s="38">
        <f t="shared" si="70"/>
        <v>321.322060357315</v>
      </c>
      <c r="AK72" s="39">
        <f t="shared" si="62"/>
        <v>1.11080326462238</v>
      </c>
      <c r="AL72" s="38">
        <f t="shared" si="63"/>
        <v>-32.0520603573148</v>
      </c>
      <c r="AM72" s="40">
        <f t="shared" si="43"/>
        <v>-0.110803264622376</v>
      </c>
      <c r="AN72" s="38">
        <f t="shared" si="64"/>
        <v>1.82604962976523</v>
      </c>
    </row>
    <row r="73" s="3" customFormat="1" hidden="1" spans="1:40">
      <c r="A73" s="41">
        <v>46245</v>
      </c>
      <c r="B73" s="41" t="str">
        <v>NORMAL</v>
      </c>
      <c r="C73" s="41" t="str">
        <v>DQB8989</v>
      </c>
      <c r="D73" s="42" t="str">
        <v>CTB</v>
      </c>
      <c r="E73" s="42" t="str">
        <v>PR</v>
      </c>
      <c r="F73" s="42" t="str">
        <v>NSL</v>
      </c>
      <c r="G73" s="42" t="str">
        <v>SP</v>
      </c>
      <c r="H73" s="42" t="str">
        <v>COLSON DO BRASIL LTDA</v>
      </c>
      <c r="I73" s="209" t="str">
        <v>000189258</v>
      </c>
      <c r="J73" s="43">
        <v>4640.43</v>
      </c>
      <c r="K73" s="44">
        <v>13</v>
      </c>
      <c r="L73" s="45">
        <v>215.8</v>
      </c>
      <c r="M73" s="46">
        <v>380.83</v>
      </c>
      <c r="N73" s="47">
        <v>0.12</v>
      </c>
      <c r="O73" s="48">
        <f t="shared" si="65"/>
        <v>19.422</v>
      </c>
      <c r="P73" s="49">
        <f t="shared" si="71"/>
        <v>43.16</v>
      </c>
      <c r="Q73" s="31"/>
      <c r="R73" s="49">
        <f>L73*0.09</f>
        <v>19.422</v>
      </c>
      <c r="S73" s="31"/>
      <c r="T73" s="53">
        <v>196.1</v>
      </c>
      <c r="U73" s="33">
        <f t="shared" si="56"/>
        <v>0.514927920594491</v>
      </c>
      <c r="V73" s="34">
        <f t="shared" si="57"/>
        <v>278.104</v>
      </c>
      <c r="W73" s="35">
        <f t="shared" si="66"/>
        <v>0.730257595252475</v>
      </c>
      <c r="X73" s="36">
        <f>(L73*'RESULTADO DIRETO'!N$27)/6*3</f>
        <v>22.5577478307729</v>
      </c>
      <c r="Y73" s="35">
        <f t="shared" si="73"/>
        <v>0.0592331166945169</v>
      </c>
      <c r="Z73" s="36">
        <f>(L73*'RESULTADO DIRETO'!N$15)/6*2</f>
        <v>13.698049734817</v>
      </c>
      <c r="AA73" s="35">
        <f t="shared" si="58"/>
        <v>0.035968935574448</v>
      </c>
      <c r="AB73" s="36">
        <f t="shared" si="67"/>
        <v>0.4982893734</v>
      </c>
      <c r="AC73" s="36">
        <f t="shared" si="59"/>
        <v>0.4982893734</v>
      </c>
      <c r="AD73" s="34">
        <f t="shared" si="72"/>
        <v>315.35637631239</v>
      </c>
      <c r="AE73" s="37">
        <f t="shared" si="68"/>
        <v>0.828076507398025</v>
      </c>
      <c r="AF73" s="36">
        <f t="shared" si="60"/>
        <v>45.6996</v>
      </c>
      <c r="AG73" s="36"/>
      <c r="AH73" s="36">
        <f t="shared" si="69"/>
        <v>19.80316</v>
      </c>
      <c r="AI73" s="34">
        <f t="shared" si="61"/>
        <v>65.50276</v>
      </c>
      <c r="AJ73" s="38">
        <f t="shared" si="70"/>
        <v>380.85913631239</v>
      </c>
      <c r="AK73" s="39">
        <f t="shared" si="62"/>
        <v>1.00007650739803</v>
      </c>
      <c r="AL73" s="38">
        <f t="shared" si="63"/>
        <v>-0.0291363123898805</v>
      </c>
      <c r="AM73" s="40">
        <f t="shared" si="43"/>
        <v>-7.65073980250518e-5</v>
      </c>
      <c r="AN73" s="38">
        <f t="shared" si="64"/>
        <v>1.7647358665431</v>
      </c>
    </row>
    <row r="74" s="3" customFormat="1" hidden="1" spans="1:40">
      <c r="A74" s="41">
        <v>46245</v>
      </c>
      <c r="B74" s="41" t="str">
        <v>NORMAL</v>
      </c>
      <c r="C74" s="41" t="str">
        <v>DQB8989</v>
      </c>
      <c r="D74" s="42" t="str">
        <v>CTB</v>
      </c>
      <c r="E74" s="42" t="str">
        <v>PR</v>
      </c>
      <c r="F74" s="42" t="str">
        <v>SPO</v>
      </c>
      <c r="G74" s="42" t="str">
        <v>SP</v>
      </c>
      <c r="H74" s="42" t="str">
        <v>COLSON DO BRASIL LTDA</v>
      </c>
      <c r="I74" s="209" t="str">
        <v>000189262</v>
      </c>
      <c r="J74" s="43">
        <v>7775.76</v>
      </c>
      <c r="K74" s="44">
        <v>4</v>
      </c>
      <c r="L74" s="45">
        <v>59.5</v>
      </c>
      <c r="M74" s="46">
        <v>238.76</v>
      </c>
      <c r="N74" s="47">
        <v>0.12</v>
      </c>
      <c r="O74" s="48">
        <f t="shared" si="65"/>
        <v>5.355</v>
      </c>
      <c r="P74" s="49">
        <f t="shared" si="71"/>
        <v>11.9</v>
      </c>
      <c r="Q74" s="31"/>
      <c r="R74" s="49">
        <f t="shared" ref="R74:R78" si="74">L74*0.19</f>
        <v>11.305</v>
      </c>
      <c r="S74" s="31"/>
      <c r="T74" s="30">
        <v>0</v>
      </c>
      <c r="U74" s="33">
        <f t="shared" si="56"/>
        <v>0</v>
      </c>
      <c r="V74" s="34">
        <f t="shared" si="57"/>
        <v>28.56</v>
      </c>
      <c r="W74" s="35">
        <f t="shared" si="66"/>
        <v>0.119618026470095</v>
      </c>
      <c r="X74" s="36">
        <f>(L74*'RESULTADO DIRETO'!N$27)/6*3</f>
        <v>6.21958292831782</v>
      </c>
      <c r="Y74" s="35">
        <f t="shared" si="73"/>
        <v>0.0260495180445544</v>
      </c>
      <c r="Z74" s="36">
        <f>(L74*'RESULTADO DIRETO'!N$15)/6*2</f>
        <v>3.77680240603158</v>
      </c>
      <c r="AA74" s="35">
        <f t="shared" si="58"/>
        <v>0.0158184051182425</v>
      </c>
      <c r="AB74" s="36">
        <f t="shared" si="67"/>
        <v>0.8349611088</v>
      </c>
      <c r="AC74" s="36">
        <f t="shared" si="59"/>
        <v>0.8349611088</v>
      </c>
      <c r="AD74" s="34">
        <f t="shared" si="72"/>
        <v>40.2263075519494</v>
      </c>
      <c r="AE74" s="37">
        <f t="shared" si="68"/>
        <v>0.168480095292132</v>
      </c>
      <c r="AF74" s="36">
        <f t="shared" si="60"/>
        <v>28.6512</v>
      </c>
      <c r="AG74" s="36"/>
      <c r="AH74" s="36">
        <f t="shared" si="69"/>
        <v>12.41552</v>
      </c>
      <c r="AI74" s="34">
        <f t="shared" si="61"/>
        <v>41.06672</v>
      </c>
      <c r="AJ74" s="38">
        <f t="shared" si="70"/>
        <v>81.2930275519494</v>
      </c>
      <c r="AK74" s="39">
        <f t="shared" si="62"/>
        <v>0.340480095292132</v>
      </c>
      <c r="AL74" s="38">
        <f t="shared" si="63"/>
        <v>157.466972448051</v>
      </c>
      <c r="AM74" s="40">
        <f t="shared" si="43"/>
        <v>0.659519904707868</v>
      </c>
      <c r="AN74" s="38">
        <f t="shared" si="64"/>
        <v>4.0127731092437</v>
      </c>
    </row>
    <row r="75" s="3" customFormat="1" hidden="1" spans="1:40">
      <c r="A75" s="41">
        <v>46245</v>
      </c>
      <c r="B75" s="41" t="str">
        <v>NORMAL</v>
      </c>
      <c r="C75" s="41" t="str">
        <v>DQB8989</v>
      </c>
      <c r="D75" s="42" t="str">
        <v>CTB</v>
      </c>
      <c r="E75" s="42" t="str">
        <v>PR</v>
      </c>
      <c r="F75" s="42" t="str">
        <v>SPO</v>
      </c>
      <c r="G75" s="42" t="str">
        <v>SP</v>
      </c>
      <c r="H75" s="42" t="str">
        <v>COLSON DO BRASIL LTDA</v>
      </c>
      <c r="I75" s="209" t="str">
        <v>000189257</v>
      </c>
      <c r="J75" s="43">
        <v>44224</v>
      </c>
      <c r="K75" s="44">
        <v>80</v>
      </c>
      <c r="L75" s="45">
        <v>1045.2</v>
      </c>
      <c r="M75" s="46">
        <v>1411.06</v>
      </c>
      <c r="N75" s="47">
        <v>0.12</v>
      </c>
      <c r="O75" s="48">
        <f t="shared" si="65"/>
        <v>94.068</v>
      </c>
      <c r="P75" s="49">
        <f t="shared" si="71"/>
        <v>209.04</v>
      </c>
      <c r="Q75" s="31"/>
      <c r="R75" s="49">
        <f t="shared" si="74"/>
        <v>198.588</v>
      </c>
      <c r="S75" s="31"/>
      <c r="T75" s="30">
        <v>0</v>
      </c>
      <c r="U75" s="33">
        <f t="shared" si="56"/>
        <v>0</v>
      </c>
      <c r="V75" s="34">
        <f t="shared" si="57"/>
        <v>501.696</v>
      </c>
      <c r="W75" s="35">
        <f t="shared" si="66"/>
        <v>0.355545476450328</v>
      </c>
      <c r="X75" s="36">
        <f>(L75*'RESULTADO DIRETO'!N$27)/6*3</f>
        <v>109.255597927358</v>
      </c>
      <c r="Y75" s="35">
        <f t="shared" si="73"/>
        <v>0.077428031357531</v>
      </c>
      <c r="Z75" s="36">
        <f>(L75*'RESULTADO DIRETO'!N$15)/6*2</f>
        <v>66.3447710047765</v>
      </c>
      <c r="AA75" s="35">
        <f t="shared" si="58"/>
        <v>0.0470176824548754</v>
      </c>
      <c r="AB75" s="36">
        <f t="shared" si="67"/>
        <v>4.74877312</v>
      </c>
      <c r="AC75" s="36">
        <f t="shared" si="59"/>
        <v>4.74877312</v>
      </c>
      <c r="AD75" s="34">
        <f t="shared" si="72"/>
        <v>686.793915172134</v>
      </c>
      <c r="AE75" s="37">
        <f t="shared" si="68"/>
        <v>0.486721978634597</v>
      </c>
      <c r="AF75" s="36">
        <f t="shared" si="60"/>
        <v>169.3272</v>
      </c>
      <c r="AG75" s="36"/>
      <c r="AH75" s="36">
        <f t="shared" si="69"/>
        <v>73.37512</v>
      </c>
      <c r="AI75" s="34">
        <f t="shared" si="61"/>
        <v>242.70232</v>
      </c>
      <c r="AJ75" s="38">
        <f t="shared" si="70"/>
        <v>929.496235172134</v>
      </c>
      <c r="AK75" s="39">
        <f t="shared" si="62"/>
        <v>0.658721978634597</v>
      </c>
      <c r="AL75" s="38">
        <f t="shared" si="63"/>
        <v>481.563764827866</v>
      </c>
      <c r="AM75" s="40">
        <f t="shared" si="43"/>
        <v>0.341278021365403</v>
      </c>
      <c r="AN75" s="38">
        <f t="shared" si="64"/>
        <v>1.35003827018752</v>
      </c>
    </row>
    <row r="76" s="3" customFormat="1" hidden="1" spans="1:40">
      <c r="A76" s="41">
        <v>46245</v>
      </c>
      <c r="B76" s="41" t="str">
        <v>NORMAL</v>
      </c>
      <c r="C76" s="41" t="str">
        <v>DQB8989</v>
      </c>
      <c r="D76" s="42" t="str">
        <v>CTB</v>
      </c>
      <c r="E76" s="42" t="str">
        <v>PR</v>
      </c>
      <c r="F76" s="42" t="str">
        <v>SPO</v>
      </c>
      <c r="G76" s="42" t="str">
        <v>SP</v>
      </c>
      <c r="H76" s="42" t="str">
        <v>COLSON DO BRASIL LTDA</v>
      </c>
      <c r="I76" s="209" t="str">
        <v>000189269</v>
      </c>
      <c r="J76" s="43">
        <v>10258.19</v>
      </c>
      <c r="K76" s="44">
        <v>12</v>
      </c>
      <c r="L76" s="45">
        <v>130.05</v>
      </c>
      <c r="M76" s="46">
        <v>279.39</v>
      </c>
      <c r="N76" s="47">
        <v>0.12</v>
      </c>
      <c r="O76" s="48">
        <f t="shared" si="65"/>
        <v>11.7045</v>
      </c>
      <c r="P76" s="49">
        <f t="shared" si="71"/>
        <v>26.01</v>
      </c>
      <c r="Q76" s="31"/>
      <c r="R76" s="49">
        <f t="shared" si="74"/>
        <v>24.7095</v>
      </c>
      <c r="S76" s="31"/>
      <c r="T76" s="30">
        <v>0</v>
      </c>
      <c r="U76" s="33">
        <f t="shared" si="56"/>
        <v>0</v>
      </c>
      <c r="V76" s="34">
        <f t="shared" si="57"/>
        <v>62.424</v>
      </c>
      <c r="W76" s="35">
        <f t="shared" si="66"/>
        <v>0.223429614517341</v>
      </c>
      <c r="X76" s="36">
        <f>(L76*'RESULTADO DIRETO'!N$27)/6*3</f>
        <v>13.5942312576089</v>
      </c>
      <c r="Y76" s="35">
        <f t="shared" si="73"/>
        <v>0.0486568282959624</v>
      </c>
      <c r="Z76" s="36">
        <f>(L76*'RESULTADO DIRETO'!N$15)/6*2</f>
        <v>8.2550109731833</v>
      </c>
      <c r="AA76" s="35">
        <f t="shared" si="58"/>
        <v>0.0295465513196009</v>
      </c>
      <c r="AB76" s="36">
        <f t="shared" si="67"/>
        <v>1.1015244422</v>
      </c>
      <c r="AC76" s="36">
        <f t="shared" si="59"/>
        <v>1.1015244422</v>
      </c>
      <c r="AD76" s="34">
        <f t="shared" si="72"/>
        <v>86.4762911151923</v>
      </c>
      <c r="AE76" s="37">
        <f t="shared" si="68"/>
        <v>0.309518204356606</v>
      </c>
      <c r="AF76" s="36">
        <f t="shared" si="60"/>
        <v>33.5268</v>
      </c>
      <c r="AG76" s="36"/>
      <c r="AH76" s="36">
        <f t="shared" si="69"/>
        <v>14.52828</v>
      </c>
      <c r="AI76" s="34">
        <f t="shared" si="61"/>
        <v>48.05508</v>
      </c>
      <c r="AJ76" s="38">
        <f t="shared" si="70"/>
        <v>134.531371115192</v>
      </c>
      <c r="AK76" s="39">
        <f t="shared" si="62"/>
        <v>0.481518204356606</v>
      </c>
      <c r="AL76" s="38">
        <f t="shared" si="63"/>
        <v>144.858628884808</v>
      </c>
      <c r="AM76" s="40">
        <f t="shared" si="43"/>
        <v>0.518481795643394</v>
      </c>
      <c r="AN76" s="38">
        <f t="shared" si="64"/>
        <v>2.14832756632065</v>
      </c>
    </row>
    <row r="77" s="3" customFormat="1" spans="1:40">
      <c r="A77" s="41">
        <v>46245</v>
      </c>
      <c r="B77" s="41" t="str">
        <v>NORMAL</v>
      </c>
      <c r="C77" s="41" t="str">
        <v>DQB8989</v>
      </c>
      <c r="D77" s="42" t="str">
        <v>CTB</v>
      </c>
      <c r="E77" s="42" t="str">
        <v>PR</v>
      </c>
      <c r="F77" s="42" t="str">
        <v>SPO</v>
      </c>
      <c r="G77" s="42" t="str">
        <v>SP</v>
      </c>
      <c r="H77" s="42" t="str">
        <v>COLSON DO BRASIL LTDA</v>
      </c>
      <c r="I77" s="209" t="str">
        <v>000189219</v>
      </c>
      <c r="J77" s="43">
        <v>1528.28</v>
      </c>
      <c r="K77" s="44">
        <v>3</v>
      </c>
      <c r="L77" s="45">
        <v>33.62</v>
      </c>
      <c r="M77" s="46">
        <v>113.56</v>
      </c>
      <c r="N77" s="47">
        <v>0.12</v>
      </c>
      <c r="O77" s="48">
        <f t="shared" si="65"/>
        <v>3.0258</v>
      </c>
      <c r="P77" s="49">
        <f t="shared" si="71"/>
        <v>6.724</v>
      </c>
      <c r="Q77" s="31"/>
      <c r="R77" s="49">
        <f t="shared" si="74"/>
        <v>6.3878</v>
      </c>
      <c r="S77" s="31"/>
      <c r="T77" s="30">
        <v>0</v>
      </c>
      <c r="U77" s="33">
        <f t="shared" si="56"/>
        <v>0</v>
      </c>
      <c r="V77" s="34">
        <f t="shared" si="57"/>
        <v>16.1376</v>
      </c>
      <c r="W77" s="35">
        <f t="shared" si="66"/>
        <v>0.142106375484325</v>
      </c>
      <c r="X77" s="36">
        <f>(L77*'RESULTADO DIRETO'!N$27)/6*3</f>
        <v>3.51432568151336</v>
      </c>
      <c r="Y77" s="35">
        <f t="shared" si="73"/>
        <v>0.0309468622887756</v>
      </c>
      <c r="Z77" s="36">
        <f>(L77*'RESULTADO DIRETO'!N$15)/6*2</f>
        <v>2.13405204858456</v>
      </c>
      <c r="AA77" s="35">
        <f t="shared" si="58"/>
        <v>0.0187922864440346</v>
      </c>
      <c r="AB77" s="36">
        <f t="shared" si="67"/>
        <v>0.1641067064</v>
      </c>
      <c r="AC77" s="36">
        <f t="shared" si="59"/>
        <v>0.1641067064</v>
      </c>
      <c r="AD77" s="34">
        <f t="shared" si="72"/>
        <v>22.1141911428979</v>
      </c>
      <c r="AE77" s="37">
        <f t="shared" si="68"/>
        <v>0.194735744477791</v>
      </c>
      <c r="AF77" s="36">
        <f t="shared" si="60"/>
        <v>13.6272</v>
      </c>
      <c r="AG77" s="36"/>
      <c r="AH77" s="36">
        <f t="shared" si="69"/>
        <v>5.90512</v>
      </c>
      <c r="AI77" s="34">
        <f t="shared" si="61"/>
        <v>19.53232</v>
      </c>
      <c r="AJ77" s="38">
        <f t="shared" si="70"/>
        <v>41.6465111428979</v>
      </c>
      <c r="AK77" s="39">
        <f t="shared" si="62"/>
        <v>0.366735744477791</v>
      </c>
      <c r="AL77" s="38">
        <f t="shared" si="63"/>
        <v>71.9134888571021</v>
      </c>
      <c r="AM77" s="40">
        <f t="shared" si="43"/>
        <v>0.633264255522209</v>
      </c>
      <c r="AN77" s="38">
        <f t="shared" si="64"/>
        <v>3.37775133848899</v>
      </c>
    </row>
    <row r="78" s="3" customFormat="1" spans="1:40">
      <c r="A78" s="41">
        <v>46245</v>
      </c>
      <c r="B78" s="41" t="str">
        <v>NORMAL</v>
      </c>
      <c r="C78" s="41" t="str">
        <v>DQB8989</v>
      </c>
      <c r="D78" s="42" t="str">
        <v>CTB</v>
      </c>
      <c r="E78" s="42" t="str">
        <v>PR</v>
      </c>
      <c r="F78" s="42" t="str">
        <v>SPO</v>
      </c>
      <c r="G78" s="42" t="str">
        <v>SP</v>
      </c>
      <c r="H78" s="42" t="str">
        <v>COLSON DO BRASIL LTDA</v>
      </c>
      <c r="I78" s="209" t="str">
        <v>000189240</v>
      </c>
      <c r="J78" s="43">
        <v>1503.59</v>
      </c>
      <c r="K78" s="44">
        <v>6</v>
      </c>
      <c r="L78" s="45">
        <v>40.3</v>
      </c>
      <c r="M78" s="46">
        <v>113.42</v>
      </c>
      <c r="N78" s="47">
        <v>0.12</v>
      </c>
      <c r="O78" s="48">
        <f t="shared" si="65"/>
        <v>3.627</v>
      </c>
      <c r="P78" s="49">
        <f t="shared" si="71"/>
        <v>8.06</v>
      </c>
      <c r="Q78" s="31"/>
      <c r="R78" s="49">
        <f t="shared" si="74"/>
        <v>7.657</v>
      </c>
      <c r="S78" s="31"/>
      <c r="T78" s="30">
        <v>0</v>
      </c>
      <c r="U78" s="33">
        <f t="shared" si="56"/>
        <v>0</v>
      </c>
      <c r="V78" s="34">
        <f t="shared" si="57"/>
        <v>19.344</v>
      </c>
      <c r="W78" s="35">
        <f t="shared" si="66"/>
        <v>0.170551930876389</v>
      </c>
      <c r="X78" s="36">
        <f>(L78*'RESULTADO DIRETO'!N$27)/6*3</f>
        <v>4.21259146237324</v>
      </c>
      <c r="Y78" s="35">
        <f t="shared" si="73"/>
        <v>0.0371415223273959</v>
      </c>
      <c r="Z78" s="36">
        <f>(L78*'RESULTADO DIRETO'!N$15)/6*2</f>
        <v>2.55806952879114</v>
      </c>
      <c r="AA78" s="35">
        <f t="shared" si="58"/>
        <v>0.0225539545828878</v>
      </c>
      <c r="AB78" s="36">
        <f t="shared" si="67"/>
        <v>0.1614554942</v>
      </c>
      <c r="AC78" s="36">
        <f t="shared" si="59"/>
        <v>0.1614554942</v>
      </c>
      <c r="AD78" s="34">
        <f t="shared" si="72"/>
        <v>26.4375719795644</v>
      </c>
      <c r="AE78" s="37">
        <f t="shared" si="68"/>
        <v>0.233094445243911</v>
      </c>
      <c r="AF78" s="36">
        <f t="shared" si="60"/>
        <v>13.6104</v>
      </c>
      <c r="AG78" s="36"/>
      <c r="AH78" s="36">
        <f t="shared" si="69"/>
        <v>5.89784</v>
      </c>
      <c r="AI78" s="34">
        <f t="shared" si="61"/>
        <v>19.50824</v>
      </c>
      <c r="AJ78" s="38">
        <f t="shared" si="70"/>
        <v>45.9458119795644</v>
      </c>
      <c r="AK78" s="39">
        <f t="shared" si="62"/>
        <v>0.405094445243911</v>
      </c>
      <c r="AL78" s="38">
        <f t="shared" si="63"/>
        <v>67.4741880204356</v>
      </c>
      <c r="AM78" s="40">
        <f t="shared" si="43"/>
        <v>0.594905554756089</v>
      </c>
      <c r="AN78" s="38">
        <f t="shared" si="64"/>
        <v>2.81439205955335</v>
      </c>
    </row>
    <row r="79" s="3" customFormat="1" hidden="1" spans="1:40">
      <c r="A79" s="41">
        <v>46246</v>
      </c>
      <c r="B79" s="41" t="str">
        <v>NORMAL</v>
      </c>
      <c r="C79" s="41" t="str">
        <v>DQB8989</v>
      </c>
      <c r="D79" s="42" t="str">
        <v>CTB</v>
      </c>
      <c r="E79" s="42" t="str">
        <v>PR</v>
      </c>
      <c r="F79" s="42" t="str">
        <v>PSP</v>
      </c>
      <c r="G79" s="42" t="str">
        <v>SP</v>
      </c>
      <c r="H79" s="42" t="str">
        <v>COLSON DO BRASIL LTDA</v>
      </c>
      <c r="I79" s="209" t="str">
        <v>000189313</v>
      </c>
      <c r="J79" s="43">
        <v>30557.03</v>
      </c>
      <c r="K79" s="44">
        <v>118</v>
      </c>
      <c r="L79" s="45">
        <v>1188.4</v>
      </c>
      <c r="M79" s="46">
        <v>1537.01</v>
      </c>
      <c r="N79" s="47">
        <v>0.12</v>
      </c>
      <c r="O79" s="48">
        <f t="shared" si="65"/>
        <v>106.956</v>
      </c>
      <c r="P79" s="49">
        <f t="shared" si="71"/>
        <v>237.68</v>
      </c>
      <c r="Q79" s="31"/>
      <c r="R79" s="49">
        <f>L79*0</f>
        <v>0</v>
      </c>
      <c r="S79" s="31"/>
      <c r="T79" s="53">
        <v>501.36</v>
      </c>
      <c r="U79" s="33">
        <f t="shared" si="56"/>
        <v>0.326191761927378</v>
      </c>
      <c r="V79" s="34">
        <f t="shared" si="57"/>
        <v>845.996</v>
      </c>
      <c r="W79" s="35">
        <f t="shared" si="66"/>
        <v>0.550416718173597</v>
      </c>
      <c r="X79" s="36">
        <f>(L79*'RESULTADO DIRETO'!N$27)/6*3</f>
        <v>124.224409277528</v>
      </c>
      <c r="Y79" s="35">
        <f t="shared" si="73"/>
        <v>0.080822121702219</v>
      </c>
      <c r="Z79" s="36">
        <f>(L79*'RESULTADO DIRETO'!N$15)/6*2</f>
        <v>75.4344870475282</v>
      </c>
      <c r="AA79" s="35">
        <f t="shared" si="58"/>
        <v>0.0490787223554357</v>
      </c>
      <c r="AB79" s="36">
        <f t="shared" si="67"/>
        <v>3.2812138814</v>
      </c>
      <c r="AC79" s="36">
        <f t="shared" si="59"/>
        <v>3.2812138814</v>
      </c>
      <c r="AD79" s="34">
        <f t="shared" si="72"/>
        <v>1052.21732408786</v>
      </c>
      <c r="AE79" s="37">
        <f t="shared" si="68"/>
        <v>0.684587168650728</v>
      </c>
      <c r="AF79" s="36">
        <f t="shared" si="60"/>
        <v>184.4412</v>
      </c>
      <c r="AG79" s="36"/>
      <c r="AH79" s="36">
        <f t="shared" si="69"/>
        <v>79.92452</v>
      </c>
      <c r="AI79" s="34">
        <f t="shared" si="61"/>
        <v>264.36572</v>
      </c>
      <c r="AJ79" s="38">
        <f t="shared" si="70"/>
        <v>1316.58304408786</v>
      </c>
      <c r="AK79" s="39">
        <f t="shared" si="62"/>
        <v>0.856587168650728</v>
      </c>
      <c r="AL79" s="38">
        <f t="shared" si="63"/>
        <v>220.426955912144</v>
      </c>
      <c r="AM79" s="40">
        <f t="shared" si="43"/>
        <v>0.143412831349272</v>
      </c>
      <c r="AN79" s="38">
        <f t="shared" si="64"/>
        <v>1.29334399192191</v>
      </c>
    </row>
    <row r="80" s="3" customFormat="1" hidden="1" spans="1:40">
      <c r="A80" s="41">
        <v>46246</v>
      </c>
      <c r="B80" s="41" t="str">
        <v>NORMAL</v>
      </c>
      <c r="C80" s="41" t="str">
        <v>DQB8989</v>
      </c>
      <c r="D80" s="42" t="str">
        <v>CTB</v>
      </c>
      <c r="E80" s="42" t="str">
        <v>PR</v>
      </c>
      <c r="F80" s="42" t="str">
        <v>RJO</v>
      </c>
      <c r="G80" s="42" t="str">
        <v>RJ</v>
      </c>
      <c r="H80" s="42" t="str">
        <v>COLSON DO BRASIL LTDA</v>
      </c>
      <c r="I80" s="209" t="str">
        <v>000189377</v>
      </c>
      <c r="J80" s="43">
        <v>1625.98</v>
      </c>
      <c r="K80" s="44">
        <v>5</v>
      </c>
      <c r="L80" s="45">
        <v>56.3</v>
      </c>
      <c r="M80" s="46">
        <v>143.43</v>
      </c>
      <c r="N80" s="47">
        <v>0.12</v>
      </c>
      <c r="O80" s="48">
        <f t="shared" si="65"/>
        <v>5.067</v>
      </c>
      <c r="P80" s="49">
        <f t="shared" si="71"/>
        <v>11.26</v>
      </c>
      <c r="Q80" s="50">
        <f t="shared" ref="Q80:Q84" si="75">L80*0.18</f>
        <v>10.134</v>
      </c>
      <c r="R80" s="50">
        <f t="shared" ref="R80:R84" si="76">M80*0.22</f>
        <v>31.5546</v>
      </c>
      <c r="S80" s="31"/>
      <c r="T80" s="51">
        <v>0</v>
      </c>
      <c r="U80" s="33">
        <f t="shared" si="56"/>
        <v>0</v>
      </c>
      <c r="V80" s="34">
        <f t="shared" si="57"/>
        <v>58.0156</v>
      </c>
      <c r="W80" s="35">
        <f t="shared" si="66"/>
        <v>0.404487206302726</v>
      </c>
      <c r="X80" s="36">
        <f>(L80*'RESULTADO DIRETO'!N$27)/6*4</f>
        <v>7.84677913421385</v>
      </c>
      <c r="Y80" s="35">
        <f t="shared" si="73"/>
        <v>0.0547080745605093</v>
      </c>
      <c r="Z80" s="36">
        <f>(L80*'RESULTADO DIRETO'!N$15)/6*3</f>
        <v>5.36052038973726</v>
      </c>
      <c r="AA80" s="35">
        <f t="shared" si="58"/>
        <v>0.0373737738948425</v>
      </c>
      <c r="AB80" s="36">
        <f t="shared" si="67"/>
        <v>0.1745977324</v>
      </c>
      <c r="AC80" s="36">
        <f t="shared" si="59"/>
        <v>0.1745977324</v>
      </c>
      <c r="AD80" s="34">
        <f t="shared" ref="AD80:AD82" si="77">V80+X80+Z80+AB80+AC80</f>
        <v>71.5720949887511</v>
      </c>
      <c r="AE80" s="37">
        <f t="shared" si="68"/>
        <v>0.499003660243681</v>
      </c>
      <c r="AF80" s="36">
        <f t="shared" si="60"/>
        <v>17.2116</v>
      </c>
      <c r="AG80" s="36"/>
      <c r="AH80" s="36">
        <f t="shared" si="69"/>
        <v>7.45836</v>
      </c>
      <c r="AI80" s="34">
        <f t="shared" si="61"/>
        <v>24.66996</v>
      </c>
      <c r="AJ80" s="38">
        <f t="shared" si="70"/>
        <v>96.2420549887511</v>
      </c>
      <c r="AK80" s="39">
        <f t="shared" si="62"/>
        <v>0.671003660243681</v>
      </c>
      <c r="AL80" s="38">
        <f t="shared" si="63"/>
        <v>47.1879450112489</v>
      </c>
      <c r="AM80" s="40">
        <f t="shared" si="43"/>
        <v>0.328996339756319</v>
      </c>
      <c r="AN80" s="38">
        <f t="shared" si="64"/>
        <v>2.54760213143872</v>
      </c>
    </row>
    <row r="81" s="3" customFormat="1" hidden="1" spans="1:40">
      <c r="A81" s="41">
        <v>46251</v>
      </c>
      <c r="B81" s="41" t="str">
        <v>NORMAL</v>
      </c>
      <c r="C81" s="41" t="str">
        <v>DQB8989</v>
      </c>
      <c r="D81" s="42" t="str">
        <v>CTB</v>
      </c>
      <c r="E81" s="42" t="str">
        <v>PR</v>
      </c>
      <c r="F81" s="42" t="str">
        <v>PSP</v>
      </c>
      <c r="G81" s="42" t="str">
        <v>SP</v>
      </c>
      <c r="H81" s="42" t="str">
        <v>COLSON DO BRASIL LTDA</v>
      </c>
      <c r="I81" s="209" t="str">
        <v>000189565</v>
      </c>
      <c r="J81" s="43">
        <v>3306.35</v>
      </c>
      <c r="K81" s="44">
        <v>8</v>
      </c>
      <c r="L81" s="45">
        <v>98.675</v>
      </c>
      <c r="M81" s="46">
        <v>495.59</v>
      </c>
      <c r="N81" s="47">
        <v>0.12</v>
      </c>
      <c r="O81" s="48">
        <f t="shared" si="65"/>
        <v>8.88075</v>
      </c>
      <c r="P81" s="49">
        <f t="shared" si="71"/>
        <v>19.735</v>
      </c>
      <c r="Q81" s="31"/>
      <c r="R81" s="49">
        <f>L81*0</f>
        <v>0</v>
      </c>
      <c r="S81" s="31"/>
      <c r="T81" s="53">
        <v>231</v>
      </c>
      <c r="U81" s="33">
        <f t="shared" si="56"/>
        <v>0.466111099901128</v>
      </c>
      <c r="V81" s="34">
        <f t="shared" si="57"/>
        <v>259.61575</v>
      </c>
      <c r="W81" s="35">
        <f t="shared" si="66"/>
        <v>0.523851873524486</v>
      </c>
      <c r="X81" s="36">
        <f>(L81*'RESULTADO DIRETO'!N$27)/6*3</f>
        <v>10.3145772344834</v>
      </c>
      <c r="Y81" s="35">
        <f t="shared" si="73"/>
        <v>0.0208127226830311</v>
      </c>
      <c r="Z81" s="36">
        <f>(L81*'RESULTADO DIRETO'!N$15)/6*2</f>
        <v>6.26346180529691</v>
      </c>
      <c r="AA81" s="35">
        <f t="shared" si="58"/>
        <v>0.0126383942478599</v>
      </c>
      <c r="AB81" s="36">
        <f t="shared" si="67"/>
        <v>0.355035863</v>
      </c>
      <c r="AC81" s="36">
        <f t="shared" si="59"/>
        <v>0.355035863</v>
      </c>
      <c r="AD81" s="34">
        <f t="shared" si="77"/>
        <v>276.90386076578</v>
      </c>
      <c r="AE81" s="37">
        <f t="shared" si="68"/>
        <v>0.558735771032063</v>
      </c>
      <c r="AF81" s="36">
        <f t="shared" si="60"/>
        <v>59.4708</v>
      </c>
      <c r="AG81" s="36"/>
      <c r="AH81" s="36">
        <f t="shared" si="69"/>
        <v>25.77068</v>
      </c>
      <c r="AI81" s="34">
        <f t="shared" si="61"/>
        <v>85.24148</v>
      </c>
      <c r="AJ81" s="38">
        <f t="shared" si="70"/>
        <v>362.14534076578</v>
      </c>
      <c r="AK81" s="39">
        <f t="shared" si="62"/>
        <v>0.730735771032063</v>
      </c>
      <c r="AL81" s="38">
        <f t="shared" si="63"/>
        <v>133.44465923422</v>
      </c>
      <c r="AM81" s="40">
        <f t="shared" si="43"/>
        <v>0.269264228967937</v>
      </c>
      <c r="AN81" s="38">
        <f t="shared" si="64"/>
        <v>5.02244742842665</v>
      </c>
    </row>
    <row r="82" s="3" customFormat="1" spans="1:40">
      <c r="A82" s="41">
        <v>46246</v>
      </c>
      <c r="B82" s="41" t="str">
        <v>NORMAL</v>
      </c>
      <c r="C82" s="41" t="str">
        <v>DQB8989</v>
      </c>
      <c r="D82" s="42" t="str">
        <v>CTB</v>
      </c>
      <c r="E82" s="42" t="str">
        <v>PR</v>
      </c>
      <c r="F82" s="42" t="str">
        <v>SPO</v>
      </c>
      <c r="G82" s="42" t="str">
        <v>SP</v>
      </c>
      <c r="H82" s="42" t="str">
        <v>COLSON DO BRASIL LTDA</v>
      </c>
      <c r="I82" s="209" t="str">
        <v>000189314</v>
      </c>
      <c r="J82" s="43">
        <v>1575.11</v>
      </c>
      <c r="K82" s="44">
        <v>4</v>
      </c>
      <c r="L82" s="45">
        <v>35.68</v>
      </c>
      <c r="M82" s="46">
        <v>113.82</v>
      </c>
      <c r="N82" s="47">
        <v>0.12</v>
      </c>
      <c r="O82" s="48">
        <f t="shared" si="65"/>
        <v>3.2112</v>
      </c>
      <c r="P82" s="49">
        <f t="shared" si="71"/>
        <v>7.136</v>
      </c>
      <c r="Q82" s="31"/>
      <c r="R82" s="49">
        <f>L82*0.19</f>
        <v>6.7792</v>
      </c>
      <c r="S82" s="31"/>
      <c r="T82" s="30">
        <v>0</v>
      </c>
      <c r="U82" s="33">
        <f t="shared" si="56"/>
        <v>0</v>
      </c>
      <c r="V82" s="34">
        <f t="shared" si="57"/>
        <v>17.1264</v>
      </c>
      <c r="W82" s="35">
        <f t="shared" si="66"/>
        <v>0.150469161834476</v>
      </c>
      <c r="X82" s="36">
        <f>(L82*'RESULTADO DIRETO'!N$27)/6*3</f>
        <v>3.72965914088033</v>
      </c>
      <c r="Y82" s="35">
        <f t="shared" si="73"/>
        <v>0.0327680472753499</v>
      </c>
      <c r="Z82" s="36">
        <f>(L82*'RESULTADO DIRETO'!N$15)/6*2</f>
        <v>2.26481193020515</v>
      </c>
      <c r="AA82" s="35">
        <f t="shared" si="58"/>
        <v>0.0198981895115547</v>
      </c>
      <c r="AB82" s="36">
        <f t="shared" si="67"/>
        <v>0.1691353118</v>
      </c>
      <c r="AC82" s="36">
        <f t="shared" si="59"/>
        <v>0.1691353118</v>
      </c>
      <c r="AD82" s="34">
        <f t="shared" si="77"/>
        <v>23.4591416946855</v>
      </c>
      <c r="AE82" s="37">
        <f t="shared" si="68"/>
        <v>0.206107377391368</v>
      </c>
      <c r="AF82" s="36">
        <f t="shared" si="60"/>
        <v>13.6584</v>
      </c>
      <c r="AG82" s="36"/>
      <c r="AH82" s="36">
        <f t="shared" si="69"/>
        <v>5.91864</v>
      </c>
      <c r="AI82" s="34">
        <f t="shared" si="61"/>
        <v>19.57704</v>
      </c>
      <c r="AJ82" s="38">
        <f t="shared" si="70"/>
        <v>43.0361816946855</v>
      </c>
      <c r="AK82" s="39">
        <f t="shared" si="62"/>
        <v>0.378107377391368</v>
      </c>
      <c r="AL82" s="38">
        <f t="shared" si="63"/>
        <v>70.7838183053145</v>
      </c>
      <c r="AM82" s="40">
        <f t="shared" si="43"/>
        <v>0.621892622608632</v>
      </c>
      <c r="AN82" s="38">
        <f t="shared" si="64"/>
        <v>3.19002242152466</v>
      </c>
    </row>
    <row r="83" s="3" customFormat="1" hidden="1" spans="1:40">
      <c r="A83" s="41">
        <v>46246</v>
      </c>
      <c r="B83" s="41" t="str">
        <v>NORMAL</v>
      </c>
      <c r="C83" s="41" t="str">
        <v>DQB8989</v>
      </c>
      <c r="D83" s="42" t="str">
        <v>CTB</v>
      </c>
      <c r="E83" s="42" t="str">
        <v>PR</v>
      </c>
      <c r="F83" s="42" t="str">
        <v>RJO</v>
      </c>
      <c r="G83" s="42" t="str">
        <v>RJ</v>
      </c>
      <c r="H83" s="42" t="str">
        <v>COLSON DO BRASIL LTDA</v>
      </c>
      <c r="I83" s="209" t="str">
        <v>000189284</v>
      </c>
      <c r="J83" s="43">
        <v>22343.36</v>
      </c>
      <c r="K83" s="44">
        <v>75</v>
      </c>
      <c r="L83" s="45">
        <v>808.331</v>
      </c>
      <c r="M83" s="46">
        <v>1328.17</v>
      </c>
      <c r="N83" s="47">
        <v>0.12</v>
      </c>
      <c r="O83" s="48">
        <f t="shared" si="65"/>
        <v>72.74979</v>
      </c>
      <c r="P83" s="49">
        <f t="shared" si="71"/>
        <v>161.6662</v>
      </c>
      <c r="Q83" s="50">
        <f t="shared" si="75"/>
        <v>145.49958</v>
      </c>
      <c r="R83" s="50">
        <f t="shared" si="76"/>
        <v>292.1974</v>
      </c>
      <c r="S83" s="31"/>
      <c r="T83" s="51">
        <v>0</v>
      </c>
      <c r="U83" s="33">
        <f t="shared" si="56"/>
        <v>0</v>
      </c>
      <c r="V83" s="34">
        <f t="shared" si="57"/>
        <v>672.11297</v>
      </c>
      <c r="W83" s="35">
        <f t="shared" si="66"/>
        <v>0.506044384378506</v>
      </c>
      <c r="X83" s="36">
        <f>(L83*'RESULTADO DIRETO'!N$27)/6*4</f>
        <v>112.660654073503</v>
      </c>
      <c r="Y83" s="35">
        <f t="shared" si="73"/>
        <v>0.084823971384313</v>
      </c>
      <c r="Z83" s="36">
        <f>(L83*'RESULTADO DIRETO'!N$15)/6*3</f>
        <v>76.9640285463003</v>
      </c>
      <c r="AA83" s="35">
        <f t="shared" si="58"/>
        <v>0.0579474228045358</v>
      </c>
      <c r="AB83" s="36">
        <f t="shared" si="67"/>
        <v>2.3992299968</v>
      </c>
      <c r="AC83" s="36">
        <f t="shared" si="59"/>
        <v>2.3992299968</v>
      </c>
      <c r="AD83" s="34">
        <f t="shared" ref="AD83:AD87" si="78">V83+X83+Z83+AB83+AC83</f>
        <v>866.536112613403</v>
      </c>
      <c r="AE83" s="37">
        <f t="shared" si="68"/>
        <v>0.652428614268808</v>
      </c>
      <c r="AF83" s="36">
        <f t="shared" si="60"/>
        <v>159.3804</v>
      </c>
      <c r="AG83" s="36"/>
      <c r="AH83" s="36">
        <f t="shared" si="69"/>
        <v>69.06484</v>
      </c>
      <c r="AI83" s="34">
        <f t="shared" si="61"/>
        <v>228.44524</v>
      </c>
      <c r="AJ83" s="38">
        <f t="shared" si="70"/>
        <v>1094.9813526134</v>
      </c>
      <c r="AK83" s="39">
        <f t="shared" si="62"/>
        <v>0.824428614268809</v>
      </c>
      <c r="AL83" s="38">
        <f t="shared" si="63"/>
        <v>233.188647386597</v>
      </c>
      <c r="AM83" s="40">
        <f t="shared" si="43"/>
        <v>0.175571385731191</v>
      </c>
      <c r="AN83" s="38">
        <f t="shared" si="64"/>
        <v>1.64310165019033</v>
      </c>
    </row>
    <row r="84" s="3" customFormat="1" hidden="1" spans="1:40">
      <c r="A84" s="41">
        <v>46246</v>
      </c>
      <c r="B84" s="41" t="str">
        <v>NORMAL</v>
      </c>
      <c r="C84" s="41" t="str">
        <v>DQB8989</v>
      </c>
      <c r="D84" s="42" t="str">
        <v>CTB</v>
      </c>
      <c r="E84" s="42" t="str">
        <v>PR</v>
      </c>
      <c r="F84" s="42" t="str">
        <v>RJO</v>
      </c>
      <c r="G84" s="42" t="str">
        <v>RJ</v>
      </c>
      <c r="H84" s="42" t="str">
        <v>COLSON DO BRASIL LTDA</v>
      </c>
      <c r="I84" s="209" t="str">
        <v>000189282</v>
      </c>
      <c r="J84" s="43">
        <v>23899.67</v>
      </c>
      <c r="K84" s="44">
        <v>80</v>
      </c>
      <c r="L84" s="45">
        <v>930.236</v>
      </c>
      <c r="M84" s="46">
        <v>1467.95</v>
      </c>
      <c r="N84" s="47">
        <v>0.12</v>
      </c>
      <c r="O84" s="48">
        <f t="shared" si="65"/>
        <v>83.72124</v>
      </c>
      <c r="P84" s="49">
        <f t="shared" si="71"/>
        <v>186.0472</v>
      </c>
      <c r="Q84" s="50">
        <f t="shared" si="75"/>
        <v>167.44248</v>
      </c>
      <c r="R84" s="50">
        <f t="shared" si="76"/>
        <v>322.949</v>
      </c>
      <c r="S84" s="31"/>
      <c r="T84" s="51">
        <v>0</v>
      </c>
      <c r="U84" s="33">
        <f t="shared" si="56"/>
        <v>0</v>
      </c>
      <c r="V84" s="34">
        <f t="shared" si="57"/>
        <v>760.15992</v>
      </c>
      <c r="W84" s="35">
        <f t="shared" si="66"/>
        <v>0.517837746517252</v>
      </c>
      <c r="X84" s="36">
        <f>(L84*'RESULTADO DIRETO'!N$27)/6*4</f>
        <v>129.65109120239</v>
      </c>
      <c r="Y84" s="35">
        <f t="shared" si="73"/>
        <v>0.088321190232903</v>
      </c>
      <c r="Z84" s="36">
        <f>(L84*'RESULTADO DIRETO'!N$15)/6*3</f>
        <v>88.571030999425</v>
      </c>
      <c r="AA84" s="35">
        <f t="shared" si="58"/>
        <v>0.0603365448410538</v>
      </c>
      <c r="AB84" s="36">
        <f t="shared" si="67"/>
        <v>2.5663465646</v>
      </c>
      <c r="AC84" s="36">
        <f t="shared" ref="AC84:AC91" si="79">(J84*0.01%)*7.38%+(J84*0.01%)</f>
        <v>2.5663465646</v>
      </c>
      <c r="AD84" s="34">
        <f t="shared" si="78"/>
        <v>983.514735331015</v>
      </c>
      <c r="AE84" s="37">
        <f t="shared" si="68"/>
        <v>0.669991985647342</v>
      </c>
      <c r="AF84" s="36">
        <f t="shared" ref="AF84:AF115" si="80">M84*N84</f>
        <v>176.154</v>
      </c>
      <c r="AG84" s="36"/>
      <c r="AH84" s="36">
        <f t="shared" si="69"/>
        <v>76.3334</v>
      </c>
      <c r="AI84" s="34">
        <f t="shared" ref="AI84:AI91" si="81">AF84+AG84+AH84</f>
        <v>252.4874</v>
      </c>
      <c r="AJ84" s="38">
        <f t="shared" si="70"/>
        <v>1236.00213533101</v>
      </c>
      <c r="AK84" s="39">
        <f t="shared" si="62"/>
        <v>0.841991985647341</v>
      </c>
      <c r="AL84" s="38">
        <f t="shared" ref="AL84:AL91" si="82">M84-AJ84</f>
        <v>231.947864668985</v>
      </c>
      <c r="AM84" s="40">
        <f t="shared" ref="AM84:AM91" si="83">AL84/M84</f>
        <v>0.158008014352659</v>
      </c>
      <c r="AN84" s="38">
        <f t="shared" ref="AN84:AN91" si="84">M84/L84</f>
        <v>1.57804041125048</v>
      </c>
    </row>
    <row r="85" s="3" customFormat="1" hidden="1" spans="1:40">
      <c r="A85" s="41">
        <v>46246</v>
      </c>
      <c r="B85" s="41" t="str">
        <v>NORMAL</v>
      </c>
      <c r="C85" s="41" t="str">
        <v>DQB8989</v>
      </c>
      <c r="D85" s="42" t="str">
        <v>CTB</v>
      </c>
      <c r="E85" s="42" t="str">
        <v>PR</v>
      </c>
      <c r="F85" s="42" t="str">
        <v>SJK</v>
      </c>
      <c r="G85" s="42" t="str">
        <v>SP</v>
      </c>
      <c r="H85" s="42" t="str">
        <v>COLSON DO BRASIL LTDA</v>
      </c>
      <c r="I85" s="209" t="str">
        <v>000189325</v>
      </c>
      <c r="J85" s="43">
        <v>12824.89</v>
      </c>
      <c r="K85" s="44">
        <v>8</v>
      </c>
      <c r="L85" s="45">
        <v>105.7</v>
      </c>
      <c r="M85" s="46">
        <v>515.1</v>
      </c>
      <c r="N85" s="47">
        <v>0.12</v>
      </c>
      <c r="O85" s="48">
        <f t="shared" si="65"/>
        <v>9.513</v>
      </c>
      <c r="P85" s="49">
        <f t="shared" si="71"/>
        <v>21.14</v>
      </c>
      <c r="Q85" s="31"/>
      <c r="R85" s="49">
        <f>L85*0</f>
        <v>0</v>
      </c>
      <c r="S85" s="31"/>
      <c r="T85" s="53">
        <v>200.82</v>
      </c>
      <c r="U85" s="33">
        <f t="shared" si="56"/>
        <v>0.389866045428072</v>
      </c>
      <c r="V85" s="34">
        <f t="shared" ref="V84:V104" si="85">O85+P85+Q85+R85+S85+T85</f>
        <v>231.473</v>
      </c>
      <c r="W85" s="35">
        <f t="shared" si="66"/>
        <v>0.449374878664337</v>
      </c>
      <c r="X85" s="36">
        <f>(L85*'RESULTADO DIRETO'!N$27)/6*3</f>
        <v>11.0489061432469</v>
      </c>
      <c r="Y85" s="35">
        <f t="shared" si="73"/>
        <v>0.0214500216331721</v>
      </c>
      <c r="Z85" s="36">
        <f>(L85*'RESULTADO DIRETO'!N$15)/6*2</f>
        <v>6.70937839189139</v>
      </c>
      <c r="AA85" s="35">
        <f t="shared" si="58"/>
        <v>0.0130253900056133</v>
      </c>
      <c r="AB85" s="36">
        <f t="shared" si="67"/>
        <v>1.3771366882</v>
      </c>
      <c r="AC85" s="36">
        <f t="shared" si="79"/>
        <v>1.3771366882</v>
      </c>
      <c r="AD85" s="34">
        <f t="shared" si="78"/>
        <v>251.985557911538</v>
      </c>
      <c r="AE85" s="37">
        <f t="shared" si="68"/>
        <v>0.489197355681495</v>
      </c>
      <c r="AF85" s="36">
        <f t="shared" si="80"/>
        <v>61.812</v>
      </c>
      <c r="AG85" s="36"/>
      <c r="AH85" s="36">
        <f t="shared" si="69"/>
        <v>26.7852</v>
      </c>
      <c r="AI85" s="34">
        <f t="shared" si="81"/>
        <v>88.5972</v>
      </c>
      <c r="AJ85" s="38">
        <f t="shared" si="70"/>
        <v>340.582757911538</v>
      </c>
      <c r="AK85" s="39">
        <f t="shared" si="62"/>
        <v>0.661197355681496</v>
      </c>
      <c r="AL85" s="38">
        <f t="shared" si="82"/>
        <v>174.517242088462</v>
      </c>
      <c r="AM85" s="40">
        <f t="shared" si="83"/>
        <v>0.338802644318504</v>
      </c>
      <c r="AN85" s="38">
        <f t="shared" si="84"/>
        <v>4.87322611163671</v>
      </c>
    </row>
    <row r="86" s="3" customFormat="1" spans="1:40">
      <c r="A86" s="41">
        <v>46246</v>
      </c>
      <c r="B86" s="41" t="str">
        <v>NORMAL</v>
      </c>
      <c r="C86" s="41" t="str">
        <v>DQB8989</v>
      </c>
      <c r="D86" s="42" t="str">
        <v>CTB</v>
      </c>
      <c r="E86" s="42" t="str">
        <v>PR</v>
      </c>
      <c r="F86" s="42" t="str">
        <v>SPO</v>
      </c>
      <c r="G86" s="42" t="str">
        <v>SP</v>
      </c>
      <c r="H86" s="42" t="str">
        <v>COLSON DO BRASIL LTDA</v>
      </c>
      <c r="I86" s="209" t="str">
        <v>000189338</v>
      </c>
      <c r="J86" s="43">
        <v>2271.66</v>
      </c>
      <c r="K86" s="44">
        <v>4</v>
      </c>
      <c r="L86" s="45">
        <v>33.264</v>
      </c>
      <c r="M86" s="46">
        <v>117.78</v>
      </c>
      <c r="N86" s="47">
        <v>0.12</v>
      </c>
      <c r="O86" s="48">
        <f t="shared" si="65"/>
        <v>2.99376</v>
      </c>
      <c r="P86" s="49">
        <f t="shared" si="71"/>
        <v>6.6528</v>
      </c>
      <c r="Q86" s="31"/>
      <c r="R86" s="49">
        <f>L86*0.19</f>
        <v>6.32016</v>
      </c>
      <c r="S86" s="31"/>
      <c r="T86" s="30">
        <v>0</v>
      </c>
      <c r="U86" s="33">
        <f t="shared" ref="U86:U117" si="86">T86/M86</f>
        <v>0</v>
      </c>
      <c r="V86" s="34">
        <f t="shared" si="85"/>
        <v>15.96672</v>
      </c>
      <c r="W86" s="35">
        <f t="shared" si="66"/>
        <v>0.135563932755986</v>
      </c>
      <c r="X86" s="36">
        <f>(L86*'RESULTADO DIRETO'!N$27)/6*3</f>
        <v>3.47711271474897</v>
      </c>
      <c r="Y86" s="35">
        <f t="shared" si="73"/>
        <v>0.0295220981045082</v>
      </c>
      <c r="Z86" s="36">
        <f>(L86*'RESULTADO DIRETO'!N$15)/6*2</f>
        <v>2.11145470981907</v>
      </c>
      <c r="AA86" s="35">
        <f t="shared" si="58"/>
        <v>0.0179271074020977</v>
      </c>
      <c r="AB86" s="36">
        <f t="shared" si="67"/>
        <v>0.2439308508</v>
      </c>
      <c r="AC86" s="36">
        <f t="shared" si="79"/>
        <v>0.2439308508</v>
      </c>
      <c r="AD86" s="34">
        <f t="shared" si="78"/>
        <v>22.043149126168</v>
      </c>
      <c r="AE86" s="37">
        <f t="shared" si="68"/>
        <v>0.187155282103651</v>
      </c>
      <c r="AF86" s="36">
        <f t="shared" si="80"/>
        <v>14.1336</v>
      </c>
      <c r="AG86" s="36"/>
      <c r="AH86" s="36">
        <f t="shared" si="69"/>
        <v>6.12456</v>
      </c>
      <c r="AI86" s="34">
        <f t="shared" si="81"/>
        <v>20.25816</v>
      </c>
      <c r="AJ86" s="38">
        <f t="shared" si="70"/>
        <v>42.301309126168</v>
      </c>
      <c r="AK86" s="39">
        <f t="shared" si="62"/>
        <v>0.359155282103651</v>
      </c>
      <c r="AL86" s="38">
        <f t="shared" si="82"/>
        <v>75.478690873832</v>
      </c>
      <c r="AM86" s="40">
        <f t="shared" si="83"/>
        <v>0.640844717896349</v>
      </c>
      <c r="AN86" s="38">
        <f t="shared" si="84"/>
        <v>3.54076479076479</v>
      </c>
    </row>
    <row r="87" s="3" customFormat="1" hidden="1" spans="1:40">
      <c r="A87" s="41">
        <v>46246</v>
      </c>
      <c r="B87" s="41" t="str">
        <v>NORMAL</v>
      </c>
      <c r="C87" s="41" t="str">
        <v>DQB8989</v>
      </c>
      <c r="D87" s="42" t="str">
        <v>CTB</v>
      </c>
      <c r="E87" s="42" t="str">
        <v>PR</v>
      </c>
      <c r="F87" s="42" t="str">
        <v>SJK</v>
      </c>
      <c r="G87" s="42" t="str">
        <v>SP</v>
      </c>
      <c r="H87" s="42" t="str">
        <v>COLSON DO BRASIL LTDA</v>
      </c>
      <c r="I87" s="209" t="str">
        <v>000189324</v>
      </c>
      <c r="J87" s="43">
        <v>12824.89</v>
      </c>
      <c r="K87" s="44">
        <v>8</v>
      </c>
      <c r="L87" s="45">
        <v>105.7</v>
      </c>
      <c r="M87" s="46">
        <v>231.01</v>
      </c>
      <c r="N87" s="47">
        <v>0.12</v>
      </c>
      <c r="O87" s="48">
        <f t="shared" si="65"/>
        <v>9.513</v>
      </c>
      <c r="P87" s="49">
        <f t="shared" si="71"/>
        <v>21.14</v>
      </c>
      <c r="Q87" s="31"/>
      <c r="R87" s="49">
        <f>L87*0</f>
        <v>0</v>
      </c>
      <c r="S87" s="31"/>
      <c r="T87" s="53">
        <v>50.82</v>
      </c>
      <c r="U87" s="33">
        <f t="shared" si="86"/>
        <v>0.219990476602744</v>
      </c>
      <c r="V87" s="34">
        <f t="shared" si="85"/>
        <v>81.473</v>
      </c>
      <c r="W87" s="35">
        <f t="shared" si="66"/>
        <v>0.352681702090819</v>
      </c>
      <c r="X87" s="36">
        <f>(L87*'RESULTADO DIRETO'!N$27)/6*3</f>
        <v>11.0489061432469</v>
      </c>
      <c r="Y87" s="35">
        <f t="shared" si="73"/>
        <v>0.0478286920187306</v>
      </c>
      <c r="Z87" s="36">
        <f>(L87*'RESULTADO DIRETO'!N$15)/6*2</f>
        <v>6.70937839189139</v>
      </c>
      <c r="AA87" s="35">
        <f t="shared" si="58"/>
        <v>0.0290436708016596</v>
      </c>
      <c r="AB87" s="36">
        <f t="shared" si="67"/>
        <v>1.3771366882</v>
      </c>
      <c r="AC87" s="36">
        <f t="shared" si="79"/>
        <v>1.3771366882</v>
      </c>
      <c r="AD87" s="34">
        <f t="shared" si="78"/>
        <v>101.985557911538</v>
      </c>
      <c r="AE87" s="37">
        <f t="shared" si="68"/>
        <v>0.441476810144748</v>
      </c>
      <c r="AF87" s="36">
        <f t="shared" si="80"/>
        <v>27.7212</v>
      </c>
      <c r="AG87" s="36"/>
      <c r="AH87" s="36">
        <f t="shared" si="69"/>
        <v>12.01252</v>
      </c>
      <c r="AI87" s="34">
        <f t="shared" si="81"/>
        <v>39.73372</v>
      </c>
      <c r="AJ87" s="38">
        <f t="shared" si="70"/>
        <v>141.719277911538</v>
      </c>
      <c r="AK87" s="39">
        <f t="shared" si="62"/>
        <v>0.613476810144749</v>
      </c>
      <c r="AL87" s="38">
        <f t="shared" si="82"/>
        <v>89.2907220884616</v>
      </c>
      <c r="AM87" s="40">
        <f t="shared" si="83"/>
        <v>0.386523189855252</v>
      </c>
      <c r="AN87" s="38">
        <f t="shared" si="84"/>
        <v>2.18552507095553</v>
      </c>
    </row>
    <row r="88" s="3" customFormat="1" hidden="1" spans="1:40">
      <c r="A88" s="41">
        <v>46247</v>
      </c>
      <c r="B88" s="41" t="str">
        <v>NORMAL</v>
      </c>
      <c r="C88" s="41" t="str">
        <v>AFF1761</v>
      </c>
      <c r="D88" s="42" t="str">
        <v>CTB</v>
      </c>
      <c r="E88" s="42" t="str">
        <v>PR</v>
      </c>
      <c r="F88" s="42" t="str">
        <v>RJO</v>
      </c>
      <c r="G88" s="42" t="str">
        <v>RJ</v>
      </c>
      <c r="H88" s="42" t="str">
        <v>COLSON DO BRASIL LTDA</v>
      </c>
      <c r="I88" s="209" t="str">
        <v>000189405</v>
      </c>
      <c r="J88" s="43">
        <v>2457.42</v>
      </c>
      <c r="K88" s="44">
        <v>8</v>
      </c>
      <c r="L88" s="45">
        <v>79.925</v>
      </c>
      <c r="M88" s="46">
        <v>452.25</v>
      </c>
      <c r="N88" s="47">
        <v>0.12</v>
      </c>
      <c r="O88" s="48">
        <f t="shared" si="65"/>
        <v>7.19325</v>
      </c>
      <c r="P88" s="49">
        <f t="shared" si="71"/>
        <v>15.985</v>
      </c>
      <c r="Q88" s="50">
        <f t="shared" ref="Q88:Q93" si="87">L88*0.18</f>
        <v>14.3865</v>
      </c>
      <c r="R88" s="50">
        <f t="shared" ref="R88:R93" si="88">M88*0.22</f>
        <v>99.495</v>
      </c>
      <c r="S88" s="31"/>
      <c r="T88" s="51">
        <v>0</v>
      </c>
      <c r="U88" s="33">
        <f t="shared" si="86"/>
        <v>0</v>
      </c>
      <c r="V88" s="34">
        <f t="shared" si="85"/>
        <v>137.05975</v>
      </c>
      <c r="W88" s="35">
        <f t="shared" si="66"/>
        <v>0.303061912658928</v>
      </c>
      <c r="X88" s="36">
        <f>(L88*'RESULTADO DIRETO'!N$27)/6*4</f>
        <v>11.1394995080292</v>
      </c>
      <c r="Y88" s="35">
        <f t="shared" si="73"/>
        <v>0.024631286916593</v>
      </c>
      <c r="Z88" s="36">
        <f>(L88*'RESULTADO DIRETO'!N$15)/6*3</f>
        <v>7.60993946980018</v>
      </c>
      <c r="AA88" s="35">
        <f t="shared" si="58"/>
        <v>0.0168268423876179</v>
      </c>
      <c r="AB88" s="36">
        <f t="shared" si="67"/>
        <v>0.2638777596</v>
      </c>
      <c r="AC88" s="36">
        <f t="shared" si="79"/>
        <v>0.2638777596</v>
      </c>
      <c r="AD88" s="34">
        <f t="shared" ref="AD88:AD90" si="89">V88+X88+Z88+AB88+AC88</f>
        <v>156.336944497029</v>
      </c>
      <c r="AE88" s="37">
        <f t="shared" si="68"/>
        <v>0.345686997229473</v>
      </c>
      <c r="AF88" s="36">
        <f t="shared" si="80"/>
        <v>54.27</v>
      </c>
      <c r="AG88" s="36"/>
      <c r="AH88" s="36">
        <f t="shared" si="69"/>
        <v>23.517</v>
      </c>
      <c r="AI88" s="34">
        <f t="shared" si="81"/>
        <v>77.787</v>
      </c>
      <c r="AJ88" s="38">
        <f t="shared" si="70"/>
        <v>234.123944497029</v>
      </c>
      <c r="AK88" s="39">
        <f t="shared" si="62"/>
        <v>0.517686997229473</v>
      </c>
      <c r="AL88" s="38">
        <f t="shared" si="82"/>
        <v>218.126055502971</v>
      </c>
      <c r="AM88" s="40">
        <f t="shared" si="83"/>
        <v>0.482313002770527</v>
      </c>
      <c r="AN88" s="38">
        <f t="shared" si="84"/>
        <v>5.6584297779168</v>
      </c>
    </row>
    <row r="89" s="3" customFormat="1" hidden="1" spans="1:40">
      <c r="A89" s="41">
        <v>46247</v>
      </c>
      <c r="B89" s="41" t="str">
        <v>NORMAL</v>
      </c>
      <c r="C89" s="41" t="str">
        <v>AFF1761</v>
      </c>
      <c r="D89" s="42" t="str">
        <v>CTB</v>
      </c>
      <c r="E89" s="42" t="str">
        <v>PR</v>
      </c>
      <c r="F89" s="42" t="str">
        <v>LFN</v>
      </c>
      <c r="G89" s="42" t="str">
        <v>SP</v>
      </c>
      <c r="H89" s="42" t="str">
        <v>COLSON DO BRASIL LTDA</v>
      </c>
      <c r="I89" s="209" t="str">
        <v>000189339</v>
      </c>
      <c r="J89" s="43">
        <v>7846.14</v>
      </c>
      <c r="K89" s="44">
        <v>8</v>
      </c>
      <c r="L89" s="45">
        <v>107.18</v>
      </c>
      <c r="M89" s="46">
        <v>204.28</v>
      </c>
      <c r="N89" s="47">
        <v>0.12</v>
      </c>
      <c r="O89" s="48">
        <f t="shared" si="65"/>
        <v>9.6462</v>
      </c>
      <c r="P89" s="49">
        <f t="shared" si="71"/>
        <v>21.436</v>
      </c>
      <c r="Q89" s="31"/>
      <c r="R89" s="49">
        <f>L89*0.09</f>
        <v>9.6462</v>
      </c>
      <c r="S89" s="31"/>
      <c r="T89" s="53">
        <v>99.07</v>
      </c>
      <c r="U89" s="33">
        <f t="shared" si="86"/>
        <v>0.484971607597415</v>
      </c>
      <c r="V89" s="34">
        <f t="shared" si="85"/>
        <v>139.7984</v>
      </c>
      <c r="W89" s="35">
        <f t="shared" si="66"/>
        <v>0.684346974740552</v>
      </c>
      <c r="X89" s="36">
        <f>(L89*'RESULTADO DIRETO'!N$27)/6*3</f>
        <v>11.2036117354135</v>
      </c>
      <c r="Y89" s="35">
        <f t="shared" si="73"/>
        <v>0.0548443887576537</v>
      </c>
      <c r="Z89" s="36">
        <f>(L89*'RESULTADO DIRETO'!N$15)/6*2</f>
        <v>6.80332238451201</v>
      </c>
      <c r="AA89" s="35">
        <f t="shared" si="58"/>
        <v>0.0333039082852556</v>
      </c>
      <c r="AB89" s="36">
        <f t="shared" si="67"/>
        <v>0.8425185132</v>
      </c>
      <c r="AC89" s="36">
        <f t="shared" si="79"/>
        <v>0.8425185132</v>
      </c>
      <c r="AD89" s="34">
        <f t="shared" si="89"/>
        <v>159.490371146326</v>
      </c>
      <c r="AE89" s="37">
        <f t="shared" si="68"/>
        <v>0.780743935511678</v>
      </c>
      <c r="AF89" s="36">
        <f t="shared" si="80"/>
        <v>24.5136</v>
      </c>
      <c r="AG89" s="36"/>
      <c r="AH89" s="36">
        <f t="shared" si="69"/>
        <v>10.62256</v>
      </c>
      <c r="AI89" s="34">
        <f t="shared" si="81"/>
        <v>35.13616</v>
      </c>
      <c r="AJ89" s="38">
        <f t="shared" si="70"/>
        <v>194.626531146326</v>
      </c>
      <c r="AK89" s="39">
        <f t="shared" si="62"/>
        <v>0.952743935511678</v>
      </c>
      <c r="AL89" s="38">
        <f t="shared" si="82"/>
        <v>9.65346885367447</v>
      </c>
      <c r="AM89" s="40">
        <f t="shared" si="83"/>
        <v>0.0472560644883222</v>
      </c>
      <c r="AN89" s="38">
        <f t="shared" si="84"/>
        <v>1.90595260309759</v>
      </c>
    </row>
    <row r="90" s="3" customFormat="1" spans="1:40">
      <c r="A90" s="41">
        <v>46247</v>
      </c>
      <c r="B90" s="41" t="str">
        <v>NORMAL</v>
      </c>
      <c r="C90" s="41" t="str">
        <v>AFF1761</v>
      </c>
      <c r="D90" s="42" t="str">
        <v>CTB</v>
      </c>
      <c r="E90" s="42" t="str">
        <v>PR</v>
      </c>
      <c r="F90" s="42" t="str">
        <v>SPO</v>
      </c>
      <c r="G90" s="42" t="str">
        <v>SP</v>
      </c>
      <c r="H90" s="42" t="str">
        <v>COLSON DO BRASIL LTDA</v>
      </c>
      <c r="I90" s="209" t="str">
        <v>000189417</v>
      </c>
      <c r="J90" s="43">
        <v>1373.89</v>
      </c>
      <c r="K90" s="44">
        <v>1</v>
      </c>
      <c r="L90" s="45">
        <v>9.84</v>
      </c>
      <c r="M90" s="46">
        <v>200.4</v>
      </c>
      <c r="N90" s="47">
        <v>0.12</v>
      </c>
      <c r="O90" s="48">
        <f t="shared" si="65"/>
        <v>0.8856</v>
      </c>
      <c r="P90" s="49">
        <f t="shared" si="71"/>
        <v>1.968</v>
      </c>
      <c r="Q90" s="31"/>
      <c r="R90" s="49">
        <f>L90*0.19</f>
        <v>1.8696</v>
      </c>
      <c r="S90" s="31"/>
      <c r="T90" s="30">
        <v>0</v>
      </c>
      <c r="U90" s="33">
        <f t="shared" si="86"/>
        <v>0</v>
      </c>
      <c r="V90" s="34">
        <f t="shared" si="85"/>
        <v>4.7232</v>
      </c>
      <c r="W90" s="35">
        <f t="shared" si="66"/>
        <v>0.0235688622754491</v>
      </c>
      <c r="X90" s="36">
        <f>(L90*'RESULTADO DIRETO'!N$27)/6*3</f>
        <v>1.02858312629659</v>
      </c>
      <c r="Y90" s="35">
        <f t="shared" si="73"/>
        <v>0.00513265033082132</v>
      </c>
      <c r="Z90" s="36">
        <f>(L90*'RESULTADO DIRETO'!N$15)/6*2</f>
        <v>0.624600599585726</v>
      </c>
      <c r="AA90" s="35">
        <f t="shared" si="58"/>
        <v>0.00311676945901061</v>
      </c>
      <c r="AB90" s="36">
        <f t="shared" si="67"/>
        <v>0.1475283082</v>
      </c>
      <c r="AC90" s="36">
        <f t="shared" si="79"/>
        <v>0.1475283082</v>
      </c>
      <c r="AD90" s="34">
        <f t="shared" si="89"/>
        <v>6.67144034228232</v>
      </c>
      <c r="AE90" s="37">
        <f t="shared" si="68"/>
        <v>0.0332906204704707</v>
      </c>
      <c r="AF90" s="36">
        <f t="shared" si="80"/>
        <v>24.048</v>
      </c>
      <c r="AG90" s="36"/>
      <c r="AH90" s="36">
        <f t="shared" si="69"/>
        <v>10.4208</v>
      </c>
      <c r="AI90" s="34">
        <f t="shared" si="81"/>
        <v>34.4688</v>
      </c>
      <c r="AJ90" s="38">
        <f t="shared" si="70"/>
        <v>41.1402403422823</v>
      </c>
      <c r="AK90" s="39">
        <f t="shared" si="62"/>
        <v>0.205290620470471</v>
      </c>
      <c r="AL90" s="38">
        <f t="shared" si="82"/>
        <v>159.259759657718</v>
      </c>
      <c r="AM90" s="40">
        <f t="shared" si="83"/>
        <v>0.794709379529529</v>
      </c>
      <c r="AN90" s="38">
        <f t="shared" si="84"/>
        <v>20.3658536585366</v>
      </c>
    </row>
    <row r="91" s="3" customFormat="1" hidden="1" spans="1:40">
      <c r="A91" s="41">
        <v>46247</v>
      </c>
      <c r="B91" s="41" t="str">
        <v>NORMAL</v>
      </c>
      <c r="C91" s="41" t="str">
        <v>AFF1761</v>
      </c>
      <c r="D91" s="42" t="str">
        <v>CTB</v>
      </c>
      <c r="E91" s="42" t="str">
        <v>PR</v>
      </c>
      <c r="F91" s="42" t="str">
        <v>RJO</v>
      </c>
      <c r="G91" s="42" t="str">
        <v>RJ</v>
      </c>
      <c r="H91" s="42" t="str">
        <v>COLSON DO BRASIL LTDA</v>
      </c>
      <c r="I91" s="209" t="str">
        <v>000189387</v>
      </c>
      <c r="J91" s="43">
        <v>4675.98</v>
      </c>
      <c r="K91" s="44">
        <v>24</v>
      </c>
      <c r="L91" s="45">
        <v>131.4</v>
      </c>
      <c r="M91" s="46">
        <v>207.55</v>
      </c>
      <c r="N91" s="47">
        <v>0.12</v>
      </c>
      <c r="O91" s="48">
        <f t="shared" si="65"/>
        <v>11.826</v>
      </c>
      <c r="P91" s="49">
        <f t="shared" si="71"/>
        <v>26.28</v>
      </c>
      <c r="Q91" s="50">
        <f t="shared" si="87"/>
        <v>23.652</v>
      </c>
      <c r="R91" s="50">
        <f t="shared" si="88"/>
        <v>45.661</v>
      </c>
      <c r="S91" s="31"/>
      <c r="T91" s="51">
        <v>0</v>
      </c>
      <c r="U91" s="33">
        <f t="shared" si="86"/>
        <v>0</v>
      </c>
      <c r="V91" s="34">
        <f t="shared" si="85"/>
        <v>107.419</v>
      </c>
      <c r="W91" s="35">
        <f t="shared" si="66"/>
        <v>0.517557215128885</v>
      </c>
      <c r="X91" s="36">
        <f>(L91*'RESULTADO DIRETO'!N$27)/6*4</f>
        <v>18.3137971267442</v>
      </c>
      <c r="Y91" s="35">
        <f t="shared" si="73"/>
        <v>0.08823800109248</v>
      </c>
      <c r="Z91" s="36">
        <f>(L91*'RESULTADO DIRETO'!N$15)/6*3</f>
        <v>12.5110546929214</v>
      </c>
      <c r="AA91" s="35">
        <f t="shared" si="58"/>
        <v>0.0602797142516088</v>
      </c>
      <c r="AB91" s="36">
        <f t="shared" si="67"/>
        <v>0.5021067324</v>
      </c>
      <c r="AC91" s="36">
        <f t="shared" si="79"/>
        <v>0.5021067324</v>
      </c>
      <c r="AD91" s="34">
        <f>V91+X91+Z91+AB91+AC91</f>
        <v>139.248065284466</v>
      </c>
      <c r="AE91" s="37">
        <f t="shared" si="68"/>
        <v>0.670913347552231</v>
      </c>
      <c r="AF91" s="36">
        <f t="shared" si="80"/>
        <v>24.906</v>
      </c>
      <c r="AG91" s="36"/>
      <c r="AH91" s="36">
        <f t="shared" si="69"/>
        <v>10.7926</v>
      </c>
      <c r="AI91" s="34">
        <f t="shared" si="81"/>
        <v>35.6986</v>
      </c>
      <c r="AJ91" s="38">
        <f t="shared" si="70"/>
        <v>174.946665284466</v>
      </c>
      <c r="AK91" s="39">
        <f t="shared" si="62"/>
        <v>0.842913347552231</v>
      </c>
      <c r="AL91" s="38">
        <f t="shared" si="82"/>
        <v>32.6033347155344</v>
      </c>
      <c r="AM91" s="40">
        <f t="shared" si="83"/>
        <v>0.157086652447769</v>
      </c>
      <c r="AN91" s="38">
        <f t="shared" si="84"/>
        <v>1.57952815829528</v>
      </c>
    </row>
    <row r="92" s="3" customFormat="1" hidden="1" spans="1:40">
      <c r="A92" s="41">
        <v>46251</v>
      </c>
      <c r="B92" s="41" t="str">
        <v>NORMAL</v>
      </c>
      <c r="C92" s="41" t="str">
        <v>DQB8989</v>
      </c>
      <c r="D92" s="42" t="str">
        <v>CTB</v>
      </c>
      <c r="E92" s="42" t="str">
        <v>PR</v>
      </c>
      <c r="F92" s="42" t="str">
        <v>PSP</v>
      </c>
      <c r="G92" s="42" t="str">
        <v>SP</v>
      </c>
      <c r="H92" s="42" t="str">
        <v>COLSON DO BRASIL LTDA</v>
      </c>
      <c r="I92" s="209" t="str">
        <v>000189561</v>
      </c>
      <c r="J92" s="43">
        <v>4706.55</v>
      </c>
      <c r="K92" s="44">
        <v>12</v>
      </c>
      <c r="L92" s="45">
        <v>120.25</v>
      </c>
      <c r="M92" s="46">
        <v>234.68</v>
      </c>
      <c r="N92" s="47">
        <v>0.12</v>
      </c>
      <c r="O92" s="48">
        <f t="shared" si="65"/>
        <v>10.8225</v>
      </c>
      <c r="P92" s="49">
        <f t="shared" si="71"/>
        <v>24.05</v>
      </c>
      <c r="Q92" s="31"/>
      <c r="R92" s="49">
        <f>L92*0</f>
        <v>0</v>
      </c>
      <c r="S92" s="31"/>
      <c r="T92" s="53">
        <v>74.1</v>
      </c>
      <c r="U92" s="33">
        <f t="shared" si="86"/>
        <v>0.315749105164479</v>
      </c>
      <c r="V92" s="34">
        <f t="shared" si="85"/>
        <v>108.9725</v>
      </c>
      <c r="W92" s="35">
        <f t="shared" si="66"/>
        <v>0.464345065621271</v>
      </c>
      <c r="X92" s="36">
        <f>(L92*'RESULTADO DIRETO'!N$27)/6*3</f>
        <v>12.5698293635331</v>
      </c>
      <c r="Y92" s="35">
        <f t="shared" si="73"/>
        <v>0.0535615704940049</v>
      </c>
      <c r="Z92" s="36">
        <f>(L92*'RESULTADO DIRETO'!N$15)/6*2</f>
        <v>7.63294940042516</v>
      </c>
      <c r="AA92" s="35">
        <f t="shared" si="58"/>
        <v>0.0325249250060728</v>
      </c>
      <c r="AB92" s="36">
        <f t="shared" si="67"/>
        <v>0.505389339</v>
      </c>
      <c r="AC92" s="36">
        <f t="shared" ref="AC92:AC103" si="90">(J92*0.01%)*7.38%+(J92*0.01%)</f>
        <v>0.505389339</v>
      </c>
      <c r="AD92" s="34">
        <f>V92+X92+Z92+AB92+AC92</f>
        <v>130.186057441958</v>
      </c>
      <c r="AE92" s="37">
        <f t="shared" si="68"/>
        <v>0.554738611905396</v>
      </c>
      <c r="AF92" s="36">
        <f t="shared" si="80"/>
        <v>28.1616</v>
      </c>
      <c r="AG92" s="36"/>
      <c r="AH92" s="36">
        <f t="shared" si="69"/>
        <v>12.20336</v>
      </c>
      <c r="AI92" s="34">
        <f t="shared" ref="AI92:AI103" si="91">AF92+AG92+AH92</f>
        <v>40.36496</v>
      </c>
      <c r="AJ92" s="38">
        <f t="shared" si="70"/>
        <v>170.551017441958</v>
      </c>
      <c r="AK92" s="39">
        <f t="shared" si="62"/>
        <v>0.726738611905396</v>
      </c>
      <c r="AL92" s="38">
        <f t="shared" ref="AL92:AL103" si="92">M92-AJ92</f>
        <v>64.1289825580418</v>
      </c>
      <c r="AM92" s="40">
        <f t="shared" ref="AM92:AM103" si="93">AL92/M92</f>
        <v>0.273261388094604</v>
      </c>
      <c r="AN92" s="38">
        <f t="shared" ref="AN92:AN103" si="94">M92/L92</f>
        <v>1.95160083160083</v>
      </c>
    </row>
    <row r="93" s="3" customFormat="1" hidden="1" spans="1:40">
      <c r="A93" s="41">
        <v>46247</v>
      </c>
      <c r="B93" s="41" t="str">
        <v>NORMAL</v>
      </c>
      <c r="C93" s="41" t="str">
        <v>AFF1761</v>
      </c>
      <c r="D93" s="42" t="str">
        <v>CTB</v>
      </c>
      <c r="E93" s="42" t="str">
        <v>PR</v>
      </c>
      <c r="F93" s="42" t="str">
        <v>RJO</v>
      </c>
      <c r="G93" s="42" t="str">
        <v>RJ</v>
      </c>
      <c r="H93" s="42" t="str">
        <v>COLSON DO BRASIL LTDA</v>
      </c>
      <c r="I93" s="209" t="str">
        <v>000189406</v>
      </c>
      <c r="J93" s="43">
        <v>1426.17</v>
      </c>
      <c r="K93" s="44">
        <v>3</v>
      </c>
      <c r="L93" s="45">
        <v>39.7</v>
      </c>
      <c r="M93" s="46">
        <v>399.58</v>
      </c>
      <c r="N93" s="47">
        <v>0.12</v>
      </c>
      <c r="O93" s="48">
        <f t="shared" si="65"/>
        <v>3.573</v>
      </c>
      <c r="P93" s="49">
        <f t="shared" si="71"/>
        <v>7.94</v>
      </c>
      <c r="Q93" s="50">
        <f t="shared" si="87"/>
        <v>7.146</v>
      </c>
      <c r="R93" s="50">
        <f t="shared" si="88"/>
        <v>87.9076</v>
      </c>
      <c r="S93" s="31"/>
      <c r="T93" s="51">
        <v>0</v>
      </c>
      <c r="U93" s="33">
        <f t="shared" si="86"/>
        <v>0</v>
      </c>
      <c r="V93" s="34">
        <f t="shared" si="85"/>
        <v>106.5666</v>
      </c>
      <c r="W93" s="35">
        <f t="shared" si="66"/>
        <v>0.266696531357926</v>
      </c>
      <c r="X93" s="36">
        <f>(L93*'RESULTADO DIRETO'!N$27)/6*4</f>
        <v>5.5331639720833</v>
      </c>
      <c r="Y93" s="35">
        <f t="shared" si="73"/>
        <v>0.0138474497524483</v>
      </c>
      <c r="Z93" s="36">
        <f>(L93*'RESULTADO DIRETO'!N$15)/6*3</f>
        <v>3.77997618956606</v>
      </c>
      <c r="AA93" s="35">
        <f t="shared" si="58"/>
        <v>0.00945987334092311</v>
      </c>
      <c r="AB93" s="36">
        <f t="shared" si="67"/>
        <v>0.1531421346</v>
      </c>
      <c r="AC93" s="36">
        <f t="shared" si="90"/>
        <v>0.1531421346</v>
      </c>
      <c r="AD93" s="34">
        <f t="shared" ref="AD92:AD104" si="95">V93+X93+Z93+AB93+AC93</f>
        <v>116.186024430849</v>
      </c>
      <c r="AE93" s="37">
        <f t="shared" si="68"/>
        <v>0.290770369965587</v>
      </c>
      <c r="AF93" s="36">
        <f t="shared" si="80"/>
        <v>47.9496</v>
      </c>
      <c r="AG93" s="36"/>
      <c r="AH93" s="36">
        <f t="shared" si="69"/>
        <v>20.77816</v>
      </c>
      <c r="AI93" s="34">
        <f t="shared" si="91"/>
        <v>68.72776</v>
      </c>
      <c r="AJ93" s="38">
        <f t="shared" ref="AJ92:AJ103" si="96">AD93+AI93</f>
        <v>184.913784430849</v>
      </c>
      <c r="AK93" s="39">
        <f t="shared" si="62"/>
        <v>0.462770369965587</v>
      </c>
      <c r="AL93" s="38">
        <f t="shared" si="92"/>
        <v>214.666215569151</v>
      </c>
      <c r="AM93" s="40">
        <f t="shared" si="93"/>
        <v>0.537229630034413</v>
      </c>
      <c r="AN93" s="38">
        <f t="shared" si="94"/>
        <v>10.0649874055416</v>
      </c>
    </row>
    <row r="94" s="3" customFormat="1" hidden="1" spans="1:40">
      <c r="A94" s="41">
        <v>46251</v>
      </c>
      <c r="B94" s="41" t="str">
        <v>NORMAL</v>
      </c>
      <c r="C94" s="41" t="str">
        <v>DQB8989</v>
      </c>
      <c r="D94" s="42" t="str">
        <v>CTB</v>
      </c>
      <c r="E94" s="42" t="str">
        <v>PR</v>
      </c>
      <c r="F94" s="42" t="str">
        <v>PSP</v>
      </c>
      <c r="G94" s="42" t="str">
        <v>SP</v>
      </c>
      <c r="H94" s="42" t="str">
        <v>COLSON DO BRASIL LTDA</v>
      </c>
      <c r="I94" s="209" t="str">
        <v>000189555</v>
      </c>
      <c r="J94" s="43">
        <v>1690.24</v>
      </c>
      <c r="K94" s="44">
        <v>6</v>
      </c>
      <c r="L94" s="45">
        <v>52.92</v>
      </c>
      <c r="M94" s="46">
        <v>204.19</v>
      </c>
      <c r="N94" s="47">
        <v>0.12</v>
      </c>
      <c r="O94" s="48">
        <f t="shared" si="65"/>
        <v>4.7628</v>
      </c>
      <c r="P94" s="49">
        <f t="shared" si="71"/>
        <v>10.584</v>
      </c>
      <c r="Q94" s="31"/>
      <c r="R94" s="49">
        <f>L94*0</f>
        <v>0</v>
      </c>
      <c r="S94" s="31"/>
      <c r="T94" s="53">
        <v>60.5</v>
      </c>
      <c r="U94" s="33">
        <f t="shared" si="86"/>
        <v>0.296292668592977</v>
      </c>
      <c r="V94" s="34">
        <f t="shared" si="85"/>
        <v>75.8468</v>
      </c>
      <c r="W94" s="35">
        <f t="shared" si="66"/>
        <v>0.37145207894608</v>
      </c>
      <c r="X94" s="36">
        <f>(L94*'RESULTADO DIRETO'!N$27)/6*3</f>
        <v>5.53177022800973</v>
      </c>
      <c r="Y94" s="35">
        <f t="shared" si="73"/>
        <v>0.0270912886429782</v>
      </c>
      <c r="Z94" s="36">
        <f>(L94*'RESULTADO DIRETO'!N$15)/6*2</f>
        <v>3.35913249289397</v>
      </c>
      <c r="AA94" s="35">
        <f t="shared" si="58"/>
        <v>0.0164510137268915</v>
      </c>
      <c r="AB94" s="36">
        <f t="shared" si="67"/>
        <v>0.1814979712</v>
      </c>
      <c r="AC94" s="36">
        <f t="shared" si="90"/>
        <v>0.1814979712</v>
      </c>
      <c r="AD94" s="34">
        <f t="shared" si="95"/>
        <v>85.1006986633037</v>
      </c>
      <c r="AE94" s="37">
        <f t="shared" si="68"/>
        <v>0.416772117455819</v>
      </c>
      <c r="AF94" s="36">
        <f t="shared" si="80"/>
        <v>24.5028</v>
      </c>
      <c r="AG94" s="36"/>
      <c r="AH94" s="36">
        <f t="shared" si="69"/>
        <v>10.61788</v>
      </c>
      <c r="AI94" s="34">
        <f t="shared" si="91"/>
        <v>35.12068</v>
      </c>
      <c r="AJ94" s="38">
        <f t="shared" si="96"/>
        <v>120.221378663304</v>
      </c>
      <c r="AK94" s="39">
        <f t="shared" si="62"/>
        <v>0.588772117455819</v>
      </c>
      <c r="AL94" s="38">
        <f t="shared" si="92"/>
        <v>83.9686213366963</v>
      </c>
      <c r="AM94" s="40">
        <f t="shared" si="93"/>
        <v>0.411227882544181</v>
      </c>
      <c r="AN94" s="38">
        <f t="shared" si="94"/>
        <v>3.85846560846561</v>
      </c>
    </row>
    <row r="95" s="3" customFormat="1" hidden="1" spans="1:40">
      <c r="A95" s="41">
        <v>46247</v>
      </c>
      <c r="B95" s="41" t="str">
        <v>NORMAL</v>
      </c>
      <c r="C95" s="41" t="str">
        <v>AFF1761</v>
      </c>
      <c r="D95" s="42" t="str">
        <v>CTB</v>
      </c>
      <c r="E95" s="42" t="str">
        <v>PR</v>
      </c>
      <c r="F95" s="42" t="str">
        <v>RJO</v>
      </c>
      <c r="G95" s="42" t="str">
        <v>RJ</v>
      </c>
      <c r="H95" s="42" t="str">
        <v>COLSON DO BRASIL LTDA</v>
      </c>
      <c r="I95" s="209" t="str">
        <v>000189392</v>
      </c>
      <c r="J95" s="43">
        <v>3403.74</v>
      </c>
      <c r="K95" s="44">
        <v>12</v>
      </c>
      <c r="L95" s="45">
        <v>130.4</v>
      </c>
      <c r="M95" s="46">
        <v>199.3</v>
      </c>
      <c r="N95" s="47">
        <v>0.12</v>
      </c>
      <c r="O95" s="48">
        <f t="shared" si="65"/>
        <v>11.736</v>
      </c>
      <c r="P95" s="49">
        <f t="shared" si="71"/>
        <v>26.08</v>
      </c>
      <c r="Q95" s="50">
        <f t="shared" ref="Q95:Q99" si="97">L95*0.18</f>
        <v>23.472</v>
      </c>
      <c r="R95" s="50">
        <f t="shared" ref="R95:R99" si="98">M95*0.22</f>
        <v>43.846</v>
      </c>
      <c r="S95" s="31"/>
      <c r="T95" s="51">
        <v>0</v>
      </c>
      <c r="U95" s="33">
        <f t="shared" si="86"/>
        <v>0</v>
      </c>
      <c r="V95" s="34">
        <f t="shared" si="85"/>
        <v>105.134</v>
      </c>
      <c r="W95" s="35">
        <f t="shared" si="66"/>
        <v>0.527516307074762</v>
      </c>
      <c r="X95" s="36">
        <f>(L95*'RESULTADO DIRETO'!N$27)/6*4</f>
        <v>18.174422719387</v>
      </c>
      <c r="Y95" s="35">
        <f t="shared" si="73"/>
        <v>0.0911912830877419</v>
      </c>
      <c r="Z95" s="36">
        <f>(L95*'RESULTADO DIRETO'!N$15)/6*3</f>
        <v>12.415841186887</v>
      </c>
      <c r="AA95" s="35">
        <f t="shared" si="58"/>
        <v>0.0622972462964727</v>
      </c>
      <c r="AB95" s="36">
        <f t="shared" si="67"/>
        <v>0.3654936012</v>
      </c>
      <c r="AC95" s="36">
        <f t="shared" si="90"/>
        <v>0.3654936012</v>
      </c>
      <c r="AD95" s="34">
        <f t="shared" si="95"/>
        <v>136.455251108674</v>
      </c>
      <c r="AE95" s="37">
        <f t="shared" si="68"/>
        <v>0.68467260967724</v>
      </c>
      <c r="AF95" s="36">
        <f t="shared" si="80"/>
        <v>23.916</v>
      </c>
      <c r="AG95" s="36"/>
      <c r="AH95" s="36">
        <f t="shared" si="69"/>
        <v>10.3636</v>
      </c>
      <c r="AI95" s="34">
        <f t="shared" si="91"/>
        <v>34.2796</v>
      </c>
      <c r="AJ95" s="38">
        <f t="shared" si="96"/>
        <v>170.734851108674</v>
      </c>
      <c r="AK95" s="39">
        <f t="shared" si="62"/>
        <v>0.85667260967724</v>
      </c>
      <c r="AL95" s="38">
        <f t="shared" si="92"/>
        <v>28.565148891326</v>
      </c>
      <c r="AM95" s="40">
        <f t="shared" si="93"/>
        <v>0.14332739032276</v>
      </c>
      <c r="AN95" s="38">
        <f t="shared" si="94"/>
        <v>1.52837423312883</v>
      </c>
    </row>
    <row r="96" s="3" customFormat="1" spans="1:40">
      <c r="A96" s="41">
        <v>46247</v>
      </c>
      <c r="B96" s="41" t="str">
        <v>NORMAL</v>
      </c>
      <c r="C96" s="41" t="str">
        <v>AFF1761</v>
      </c>
      <c r="D96" s="42" t="str">
        <v>CTB</v>
      </c>
      <c r="E96" s="42" t="str">
        <v>PR</v>
      </c>
      <c r="F96" s="42" t="str">
        <v>SPO</v>
      </c>
      <c r="G96" s="42" t="str">
        <v>SP</v>
      </c>
      <c r="H96" s="42" t="str">
        <v>COLSON DO BRASIL LTDA</v>
      </c>
      <c r="I96" s="209" t="str">
        <v>000189407</v>
      </c>
      <c r="J96" s="43">
        <v>2810.55</v>
      </c>
      <c r="K96" s="44">
        <v>2</v>
      </c>
      <c r="L96" s="45">
        <v>28.8</v>
      </c>
      <c r="M96" s="46">
        <v>111.08</v>
      </c>
      <c r="N96" s="47">
        <v>0.12</v>
      </c>
      <c r="O96" s="48">
        <f t="shared" si="65"/>
        <v>2.592</v>
      </c>
      <c r="P96" s="49">
        <f t="shared" si="71"/>
        <v>5.76</v>
      </c>
      <c r="Q96" s="31"/>
      <c r="R96" s="49">
        <f>L96*0.19</f>
        <v>5.472</v>
      </c>
      <c r="S96" s="31"/>
      <c r="T96" s="30">
        <v>0</v>
      </c>
      <c r="U96" s="33">
        <f t="shared" si="86"/>
        <v>0</v>
      </c>
      <c r="V96" s="34">
        <f t="shared" si="85"/>
        <v>13.824</v>
      </c>
      <c r="W96" s="35">
        <f t="shared" si="66"/>
        <v>0.124450846236946</v>
      </c>
      <c r="X96" s="36">
        <f>(L96*'RESULTADO DIRETO'!N$27)/6*3</f>
        <v>3.01048719891686</v>
      </c>
      <c r="Y96" s="35">
        <f t="shared" si="73"/>
        <v>0.0271019733427877</v>
      </c>
      <c r="Z96" s="36">
        <f>(L96*'RESULTADO DIRETO'!N$15)/6*2</f>
        <v>1.82809931586066</v>
      </c>
      <c r="AA96" s="35">
        <f t="shared" si="58"/>
        <v>0.0164575019432901</v>
      </c>
      <c r="AB96" s="36">
        <f t="shared" si="67"/>
        <v>0.301796859</v>
      </c>
      <c r="AC96" s="36">
        <f t="shared" si="90"/>
        <v>0.301796859</v>
      </c>
      <c r="AD96" s="34">
        <f t="shared" si="95"/>
        <v>19.2661802327775</v>
      </c>
      <c r="AE96" s="37">
        <f t="shared" si="68"/>
        <v>0.173444186467209</v>
      </c>
      <c r="AF96" s="36">
        <f t="shared" si="80"/>
        <v>13.3296</v>
      </c>
      <c r="AG96" s="36"/>
      <c r="AH96" s="36">
        <f t="shared" si="69"/>
        <v>5.77616</v>
      </c>
      <c r="AI96" s="34">
        <f t="shared" si="91"/>
        <v>19.10576</v>
      </c>
      <c r="AJ96" s="38">
        <f t="shared" si="96"/>
        <v>38.3719402327775</v>
      </c>
      <c r="AK96" s="39">
        <f t="shared" si="62"/>
        <v>0.345444186467208</v>
      </c>
      <c r="AL96" s="38">
        <f t="shared" si="92"/>
        <v>72.7080597672225</v>
      </c>
      <c r="AM96" s="40">
        <f t="shared" si="93"/>
        <v>0.654555813532791</v>
      </c>
      <c r="AN96" s="38">
        <f t="shared" si="94"/>
        <v>3.85694444444444</v>
      </c>
    </row>
    <row r="97" s="3" customFormat="1" hidden="1" spans="1:40">
      <c r="A97" s="41">
        <v>46247</v>
      </c>
      <c r="B97" s="41" t="str">
        <v>NORMAL</v>
      </c>
      <c r="C97" s="41" t="str">
        <v>AFF1761</v>
      </c>
      <c r="D97" s="42" t="str">
        <v>CTB</v>
      </c>
      <c r="E97" s="42" t="str">
        <v>PR</v>
      </c>
      <c r="F97" s="42" t="str">
        <v>MVG</v>
      </c>
      <c r="G97" s="42" t="str">
        <v>RJ</v>
      </c>
      <c r="H97" s="42" t="str">
        <v>COLSON DO BRASIL LTDA</v>
      </c>
      <c r="I97" s="209" t="str">
        <v>000189394</v>
      </c>
      <c r="J97" s="43">
        <v>5219.62</v>
      </c>
      <c r="K97" s="44">
        <v>4</v>
      </c>
      <c r="L97" s="45">
        <v>40.56</v>
      </c>
      <c r="M97" s="46">
        <v>152.83</v>
      </c>
      <c r="N97" s="47">
        <v>0.12</v>
      </c>
      <c r="O97" s="48">
        <f t="shared" si="65"/>
        <v>3.6504</v>
      </c>
      <c r="P97" s="49">
        <f t="shared" si="71"/>
        <v>8.112</v>
      </c>
      <c r="Q97" s="50">
        <f t="shared" si="97"/>
        <v>7.3008</v>
      </c>
      <c r="R97" s="50">
        <f t="shared" si="98"/>
        <v>33.6226</v>
      </c>
      <c r="S97" s="31"/>
      <c r="T97" s="53">
        <v>52.18</v>
      </c>
      <c r="U97" s="33">
        <f t="shared" si="86"/>
        <v>0.34142511287051</v>
      </c>
      <c r="V97" s="34">
        <f t="shared" si="85"/>
        <v>104.8658</v>
      </c>
      <c r="W97" s="35">
        <f t="shared" si="66"/>
        <v>0.686159785382451</v>
      </c>
      <c r="X97" s="36">
        <f>(L97*'RESULTADO DIRETO'!N$27)/6*4</f>
        <v>5.65302596241055</v>
      </c>
      <c r="Y97" s="35">
        <f t="shared" si="73"/>
        <v>0.0369889809750085</v>
      </c>
      <c r="Z97" s="36">
        <f>(L97*'RESULTADO DIRETO'!N$15)/6*3</f>
        <v>3.86185980475565</v>
      </c>
      <c r="AA97" s="35">
        <f t="shared" si="58"/>
        <v>0.0252689904125869</v>
      </c>
      <c r="AB97" s="36">
        <f t="shared" si="67"/>
        <v>0.5604827956</v>
      </c>
      <c r="AC97" s="36">
        <f t="shared" si="90"/>
        <v>0.5604827956</v>
      </c>
      <c r="AD97" s="34">
        <f t="shared" si="95"/>
        <v>115.501651358366</v>
      </c>
      <c r="AE97" s="37">
        <f t="shared" si="68"/>
        <v>0.755752478952864</v>
      </c>
      <c r="AF97" s="36">
        <f t="shared" si="80"/>
        <v>18.3396</v>
      </c>
      <c r="AG97" s="36"/>
      <c r="AH97" s="36">
        <f t="shared" si="69"/>
        <v>7.94716</v>
      </c>
      <c r="AI97" s="34">
        <f t="shared" si="91"/>
        <v>26.28676</v>
      </c>
      <c r="AJ97" s="38">
        <f t="shared" si="96"/>
        <v>141.788411358366</v>
      </c>
      <c r="AK97" s="39">
        <f t="shared" si="62"/>
        <v>0.927752478952864</v>
      </c>
      <c r="AL97" s="38">
        <f t="shared" si="92"/>
        <v>11.0415886416338</v>
      </c>
      <c r="AM97" s="40">
        <f t="shared" si="93"/>
        <v>0.0722475210471361</v>
      </c>
      <c r="AN97" s="38">
        <f t="shared" si="94"/>
        <v>3.76799802761341</v>
      </c>
    </row>
    <row r="98" s="3" customFormat="1" spans="1:40">
      <c r="A98" s="41">
        <v>46247</v>
      </c>
      <c r="B98" s="41" t="str">
        <v>NORMAL</v>
      </c>
      <c r="C98" s="41" t="str">
        <v>AFF1761</v>
      </c>
      <c r="D98" s="42" t="str">
        <v>CTB</v>
      </c>
      <c r="E98" s="42" t="str">
        <v>PR</v>
      </c>
      <c r="F98" s="42" t="str">
        <v>SPO</v>
      </c>
      <c r="G98" s="42" t="str">
        <v>SP</v>
      </c>
      <c r="H98" s="42" t="str">
        <v>COLSON DO BRASIL LTDA</v>
      </c>
      <c r="I98" s="209" t="str">
        <v>000189455</v>
      </c>
      <c r="J98" s="43">
        <v>2167.59</v>
      </c>
      <c r="K98" s="44">
        <v>5</v>
      </c>
      <c r="L98" s="45">
        <v>16.152</v>
      </c>
      <c r="M98" s="46">
        <v>97.76</v>
      </c>
      <c r="N98" s="47">
        <v>0.12</v>
      </c>
      <c r="O98" s="48">
        <f t="shared" si="65"/>
        <v>1.45368</v>
      </c>
      <c r="P98" s="49">
        <f t="shared" si="71"/>
        <v>3.2304</v>
      </c>
      <c r="Q98" s="31"/>
      <c r="R98" s="49">
        <f>L98*0.19</f>
        <v>3.06888</v>
      </c>
      <c r="S98" s="31"/>
      <c r="T98" s="30">
        <v>0</v>
      </c>
      <c r="U98" s="33">
        <f t="shared" si="86"/>
        <v>0</v>
      </c>
      <c r="V98" s="34">
        <f t="shared" si="85"/>
        <v>7.75296</v>
      </c>
      <c r="W98" s="35">
        <f t="shared" si="66"/>
        <v>0.0793060556464812</v>
      </c>
      <c r="X98" s="36">
        <f>(L98*'RESULTADO DIRETO'!N$27)/6*3</f>
        <v>1.68838157072587</v>
      </c>
      <c r="Y98" s="35">
        <f t="shared" si="73"/>
        <v>0.0172706789149537</v>
      </c>
      <c r="Z98" s="36">
        <f>(L98*'RESULTADO DIRETO'!N$15)/6*2</f>
        <v>1.02525903297852</v>
      </c>
      <c r="AA98" s="35">
        <f t="shared" si="58"/>
        <v>0.0104875105664742</v>
      </c>
      <c r="AB98" s="36">
        <f t="shared" si="67"/>
        <v>0.2327558142</v>
      </c>
      <c r="AC98" s="36">
        <f t="shared" si="90"/>
        <v>0.2327558142</v>
      </c>
      <c r="AD98" s="34">
        <f t="shared" si="95"/>
        <v>10.9321122321044</v>
      </c>
      <c r="AE98" s="37">
        <f t="shared" si="68"/>
        <v>0.111826025287484</v>
      </c>
      <c r="AF98" s="36">
        <f t="shared" si="80"/>
        <v>11.7312</v>
      </c>
      <c r="AG98" s="36"/>
      <c r="AH98" s="36">
        <f t="shared" si="69"/>
        <v>5.08352</v>
      </c>
      <c r="AI98" s="34">
        <f t="shared" si="91"/>
        <v>16.81472</v>
      </c>
      <c r="AJ98" s="38">
        <f t="shared" si="96"/>
        <v>27.7468322321044</v>
      </c>
      <c r="AK98" s="39">
        <f t="shared" si="62"/>
        <v>0.283826025287484</v>
      </c>
      <c r="AL98" s="38">
        <f t="shared" si="92"/>
        <v>70.0131677678956</v>
      </c>
      <c r="AM98" s="40">
        <f t="shared" si="93"/>
        <v>0.716173974712516</v>
      </c>
      <c r="AN98" s="38">
        <f t="shared" si="94"/>
        <v>6.05250123823675</v>
      </c>
    </row>
    <row r="99" s="3" customFormat="1" hidden="1" spans="1:40">
      <c r="A99" s="41">
        <v>46247</v>
      </c>
      <c r="B99" s="41" t="str">
        <v>NORMAL</v>
      </c>
      <c r="C99" s="41" t="str">
        <v>AFF1761</v>
      </c>
      <c r="D99" s="42" t="str">
        <v>CTB</v>
      </c>
      <c r="E99" s="42" t="str">
        <v>PR</v>
      </c>
      <c r="F99" s="42" t="str">
        <v>RJO</v>
      </c>
      <c r="G99" s="42" t="str">
        <v>RJ</v>
      </c>
      <c r="H99" s="42" t="str">
        <v>COLSON DO BRASIL LTDA</v>
      </c>
      <c r="I99" s="209" t="str">
        <v>000189374</v>
      </c>
      <c r="J99" s="43">
        <v>2394.54</v>
      </c>
      <c r="K99" s="44">
        <v>10</v>
      </c>
      <c r="L99" s="45">
        <v>92</v>
      </c>
      <c r="M99" s="46">
        <v>451.89</v>
      </c>
      <c r="N99" s="47">
        <v>0.12</v>
      </c>
      <c r="O99" s="48">
        <f t="shared" si="65"/>
        <v>8.28</v>
      </c>
      <c r="P99" s="49">
        <f t="shared" si="71"/>
        <v>18.4</v>
      </c>
      <c r="Q99" s="50">
        <f t="shared" si="97"/>
        <v>16.56</v>
      </c>
      <c r="R99" s="50">
        <f t="shared" si="98"/>
        <v>99.4158</v>
      </c>
      <c r="S99" s="31"/>
      <c r="T99" s="51">
        <v>0</v>
      </c>
      <c r="U99" s="33">
        <f t="shared" si="86"/>
        <v>0</v>
      </c>
      <c r="V99" s="34">
        <f t="shared" si="85"/>
        <v>142.6558</v>
      </c>
      <c r="W99" s="35">
        <f t="shared" si="66"/>
        <v>0.315687003474297</v>
      </c>
      <c r="X99" s="36">
        <f>(L99*'RESULTADO DIRETO'!N$27)/6*4</f>
        <v>12.8224454768681</v>
      </c>
      <c r="Y99" s="35">
        <f t="shared" si="73"/>
        <v>0.0283751476617498</v>
      </c>
      <c r="Z99" s="36">
        <f>(L99*'RESULTADO DIRETO'!N$15)/6*3</f>
        <v>8.75964255516567</v>
      </c>
      <c r="AA99" s="35">
        <f t="shared" ref="AA99:AA130" si="99">Z99/M99</f>
        <v>0.0193844576227969</v>
      </c>
      <c r="AB99" s="36">
        <f t="shared" si="67"/>
        <v>0.2571257052</v>
      </c>
      <c r="AC99" s="36">
        <f t="shared" si="90"/>
        <v>0.2571257052</v>
      </c>
      <c r="AD99" s="34">
        <f t="shared" si="95"/>
        <v>164.752139442434</v>
      </c>
      <c r="AE99" s="37">
        <f t="shared" si="68"/>
        <v>0.364584610065356</v>
      </c>
      <c r="AF99" s="36">
        <f t="shared" si="80"/>
        <v>54.2268</v>
      </c>
      <c r="AG99" s="36"/>
      <c r="AH99" s="36">
        <f t="shared" si="69"/>
        <v>23.49828</v>
      </c>
      <c r="AI99" s="34">
        <f t="shared" si="91"/>
        <v>77.72508</v>
      </c>
      <c r="AJ99" s="38">
        <f t="shared" si="96"/>
        <v>242.477219442434</v>
      </c>
      <c r="AK99" s="39">
        <f t="shared" ref="AK99:AK130" si="100">AJ99/M99</f>
        <v>0.536584610065356</v>
      </c>
      <c r="AL99" s="38">
        <f t="shared" si="92"/>
        <v>209.412780557566</v>
      </c>
      <c r="AM99" s="40">
        <f t="shared" si="93"/>
        <v>0.463415389934644</v>
      </c>
      <c r="AN99" s="38">
        <f t="shared" si="94"/>
        <v>4.91184782608696</v>
      </c>
    </row>
    <row r="100" s="3" customFormat="1" hidden="1" spans="1:40">
      <c r="A100" s="41">
        <v>46247</v>
      </c>
      <c r="B100" s="41" t="str">
        <v>NORMAL</v>
      </c>
      <c r="C100" s="41" t="str">
        <v>AFF1761</v>
      </c>
      <c r="D100" s="42" t="str">
        <v>CTB</v>
      </c>
      <c r="E100" s="42" t="str">
        <v>PR</v>
      </c>
      <c r="F100" s="42" t="str">
        <v>EPS</v>
      </c>
      <c r="G100" s="42" t="str">
        <v>ES</v>
      </c>
      <c r="H100" s="42" t="str">
        <v>COLSON DO BRASIL LTDA</v>
      </c>
      <c r="I100" s="209" t="str">
        <v>000189364</v>
      </c>
      <c r="J100" s="43">
        <v>6265.4</v>
      </c>
      <c r="K100" s="44">
        <v>19</v>
      </c>
      <c r="L100" s="45">
        <v>160.184</v>
      </c>
      <c r="M100" s="46">
        <v>253.57</v>
      </c>
      <c r="N100" s="47">
        <v>0.07</v>
      </c>
      <c r="O100" s="48">
        <f t="shared" si="65"/>
        <v>14.41656</v>
      </c>
      <c r="P100" s="49">
        <f t="shared" si="71"/>
        <v>32.0368</v>
      </c>
      <c r="Q100" s="31"/>
      <c r="R100" s="31"/>
      <c r="S100" s="31"/>
      <c r="T100" s="30">
        <v>121.71</v>
      </c>
      <c r="U100" s="33">
        <f t="shared" si="86"/>
        <v>0.479985802736917</v>
      </c>
      <c r="V100" s="34">
        <f t="shared" si="85"/>
        <v>168.16336</v>
      </c>
      <c r="W100" s="35">
        <f t="shared" si="66"/>
        <v>0.663183184130615</v>
      </c>
      <c r="X100" s="36">
        <f>(L100*'RESULTADO DIRETO'!N$27)/6*3</f>
        <v>16.7441625510867</v>
      </c>
      <c r="Y100" s="35">
        <f t="shared" si="73"/>
        <v>0.0660336891236611</v>
      </c>
      <c r="Z100" s="36">
        <f>(L100*'RESULTADO DIRETO'!N$15)/6*3</f>
        <v>15.2516802506159</v>
      </c>
      <c r="AA100" s="35">
        <f t="shared" si="99"/>
        <v>0.0601478102717824</v>
      </c>
      <c r="AB100" s="36">
        <f t="shared" si="67"/>
        <v>0.672778652</v>
      </c>
      <c r="AC100" s="36">
        <f t="shared" si="90"/>
        <v>0.672778652</v>
      </c>
      <c r="AD100" s="34">
        <f t="shared" si="95"/>
        <v>201.504760105703</v>
      </c>
      <c r="AE100" s="37">
        <f t="shared" si="68"/>
        <v>0.794671136592273</v>
      </c>
      <c r="AF100" s="36">
        <f t="shared" si="80"/>
        <v>17.7499</v>
      </c>
      <c r="AG100" s="36"/>
      <c r="AH100" s="36">
        <f t="shared" si="69"/>
        <v>13.18564</v>
      </c>
      <c r="AI100" s="34">
        <f t="shared" si="91"/>
        <v>30.93554</v>
      </c>
      <c r="AJ100" s="38">
        <f t="shared" si="96"/>
        <v>232.440300105703</v>
      </c>
      <c r="AK100" s="39">
        <f t="shared" si="100"/>
        <v>0.916671136592273</v>
      </c>
      <c r="AL100" s="38">
        <f t="shared" si="92"/>
        <v>21.1296998942974</v>
      </c>
      <c r="AM100" s="40">
        <f t="shared" si="93"/>
        <v>0.0833288634077273</v>
      </c>
      <c r="AN100" s="38">
        <f t="shared" si="94"/>
        <v>1.582992059132</v>
      </c>
    </row>
    <row r="101" s="3" customFormat="1" hidden="1" spans="1:40">
      <c r="A101" s="41">
        <v>46247</v>
      </c>
      <c r="B101" s="41" t="str">
        <v>NORMAL</v>
      </c>
      <c r="C101" s="41" t="str">
        <v>AFF1761</v>
      </c>
      <c r="D101" s="42" t="str">
        <v>CTB</v>
      </c>
      <c r="E101" s="42" t="str">
        <v>PR</v>
      </c>
      <c r="F101" s="42" t="str">
        <v>RJO</v>
      </c>
      <c r="G101" s="42" t="str">
        <v>RJ</v>
      </c>
      <c r="H101" s="42" t="str">
        <v>COLSON DO BRASIL LTDA</v>
      </c>
      <c r="I101" s="209" t="str">
        <v>000189446</v>
      </c>
      <c r="J101" s="43">
        <v>4281.46</v>
      </c>
      <c r="K101" s="44">
        <v>20</v>
      </c>
      <c r="L101" s="45">
        <v>122.45</v>
      </c>
      <c r="M101" s="46">
        <v>196.16</v>
      </c>
      <c r="N101" s="47">
        <v>0.12</v>
      </c>
      <c r="O101" s="48">
        <f t="shared" si="65"/>
        <v>11.0205</v>
      </c>
      <c r="P101" s="49">
        <f t="shared" si="71"/>
        <v>24.49</v>
      </c>
      <c r="Q101" s="50">
        <f t="shared" ref="Q101:Q107" si="101">L101*0.18</f>
        <v>22.041</v>
      </c>
      <c r="R101" s="50">
        <f t="shared" ref="R101:R106" si="102">M101*0.22</f>
        <v>43.1552</v>
      </c>
      <c r="S101" s="31"/>
      <c r="T101" s="51">
        <v>0</v>
      </c>
      <c r="U101" s="33">
        <f t="shared" si="86"/>
        <v>0</v>
      </c>
      <c r="V101" s="34">
        <f t="shared" si="85"/>
        <v>100.7067</v>
      </c>
      <c r="W101" s="35">
        <f t="shared" si="66"/>
        <v>0.513390599510604</v>
      </c>
      <c r="X101" s="36">
        <f>(L101*'RESULTADO DIRETO'!N$27)/6*4</f>
        <v>17.0663961808967</v>
      </c>
      <c r="Y101" s="35">
        <f t="shared" si="73"/>
        <v>0.087002427512728</v>
      </c>
      <c r="Z101" s="36">
        <f>(L101*'RESULTADO DIRETO'!N$15)/6*3</f>
        <v>11.6588938139134</v>
      </c>
      <c r="AA101" s="35">
        <f t="shared" si="99"/>
        <v>0.0594356332275359</v>
      </c>
      <c r="AB101" s="36">
        <f t="shared" si="67"/>
        <v>0.4597431748</v>
      </c>
      <c r="AC101" s="36">
        <f t="shared" si="90"/>
        <v>0.4597431748</v>
      </c>
      <c r="AD101" s="34">
        <f t="shared" si="95"/>
        <v>130.35147634441</v>
      </c>
      <c r="AE101" s="37">
        <f t="shared" si="68"/>
        <v>0.664516090662776</v>
      </c>
      <c r="AF101" s="36">
        <f t="shared" si="80"/>
        <v>23.5392</v>
      </c>
      <c r="AG101" s="36"/>
      <c r="AH101" s="36">
        <f t="shared" si="69"/>
        <v>10.20032</v>
      </c>
      <c r="AI101" s="34">
        <f t="shared" si="91"/>
        <v>33.73952</v>
      </c>
      <c r="AJ101" s="38">
        <f t="shared" si="96"/>
        <v>164.09099634441</v>
      </c>
      <c r="AK101" s="39">
        <f t="shared" si="100"/>
        <v>0.836516090662776</v>
      </c>
      <c r="AL101" s="38">
        <f t="shared" si="92"/>
        <v>32.0690036555898</v>
      </c>
      <c r="AM101" s="40">
        <f t="shared" si="93"/>
        <v>0.163483909337224</v>
      </c>
      <c r="AN101" s="38">
        <f t="shared" si="94"/>
        <v>1.6019599836668</v>
      </c>
    </row>
    <row r="102" s="3" customFormat="1" hidden="1" spans="1:40">
      <c r="A102" s="41">
        <v>46248</v>
      </c>
      <c r="B102" s="41" t="str">
        <v>NORMAL</v>
      </c>
      <c r="C102" s="41" t="str">
        <v>DQB8989</v>
      </c>
      <c r="D102" s="42" t="str">
        <v>CTB</v>
      </c>
      <c r="E102" s="42" t="str">
        <v>PR</v>
      </c>
      <c r="F102" s="42" t="str">
        <v>DCC</v>
      </c>
      <c r="G102" s="42" t="str">
        <v>MG</v>
      </c>
      <c r="H102" s="42" t="str">
        <v>COLSON DO BRASIL LTDA</v>
      </c>
      <c r="I102" s="209" t="str">
        <v>000189519</v>
      </c>
      <c r="J102" s="43">
        <v>12621.09</v>
      </c>
      <c r="K102" s="44">
        <v>21</v>
      </c>
      <c r="L102" s="45">
        <v>245.876</v>
      </c>
      <c r="M102" s="46">
        <v>410.19</v>
      </c>
      <c r="N102" s="47">
        <v>0.12</v>
      </c>
      <c r="O102" s="48">
        <f t="shared" si="65"/>
        <v>22.12884</v>
      </c>
      <c r="P102" s="49">
        <f t="shared" si="71"/>
        <v>49.1752</v>
      </c>
      <c r="Q102" s="52">
        <f t="shared" si="101"/>
        <v>44.25768</v>
      </c>
      <c r="R102" s="31"/>
      <c r="S102" s="31"/>
      <c r="T102" s="53">
        <v>143.57</v>
      </c>
      <c r="U102" s="33">
        <f t="shared" si="86"/>
        <v>0.35000853263122</v>
      </c>
      <c r="V102" s="34">
        <f t="shared" si="85"/>
        <v>259.13172</v>
      </c>
      <c r="W102" s="35">
        <f t="shared" si="66"/>
        <v>0.631735829737439</v>
      </c>
      <c r="X102" s="36">
        <f>(L102*'RESULTADO DIRETO'!N$27)/6*3</f>
        <v>25.7016163375306</v>
      </c>
      <c r="Y102" s="35">
        <f t="shared" si="73"/>
        <v>0.0626578325593764</v>
      </c>
      <c r="Z102" s="36">
        <f>(L102*'RESULTADO DIRETO'!N$15)/6*2</f>
        <v>15.6071440064776</v>
      </c>
      <c r="AA102" s="35">
        <f t="shared" si="99"/>
        <v>0.0380485726284835</v>
      </c>
      <c r="AB102" s="36">
        <f t="shared" si="67"/>
        <v>1.3552526442</v>
      </c>
      <c r="AC102" s="36">
        <f t="shared" si="90"/>
        <v>1.3552526442</v>
      </c>
      <c r="AD102" s="34">
        <f t="shared" si="95"/>
        <v>303.150985632408</v>
      </c>
      <c r="AE102" s="37">
        <f t="shared" si="68"/>
        <v>0.739050161223843</v>
      </c>
      <c r="AF102" s="36">
        <f t="shared" si="80"/>
        <v>49.2228</v>
      </c>
      <c r="AG102" s="36"/>
      <c r="AH102" s="36">
        <f t="shared" si="69"/>
        <v>21.32988</v>
      </c>
      <c r="AI102" s="34">
        <f t="shared" si="91"/>
        <v>70.55268</v>
      </c>
      <c r="AJ102" s="38">
        <f t="shared" si="96"/>
        <v>373.703665632408</v>
      </c>
      <c r="AK102" s="39">
        <f t="shared" si="100"/>
        <v>0.911050161223843</v>
      </c>
      <c r="AL102" s="38">
        <f t="shared" si="92"/>
        <v>36.4863343675918</v>
      </c>
      <c r="AM102" s="40">
        <f t="shared" si="93"/>
        <v>0.0889498387761569</v>
      </c>
      <c r="AN102" s="38">
        <f t="shared" si="94"/>
        <v>1.66827994598904</v>
      </c>
    </row>
    <row r="103" s="3" customFormat="1" hidden="1" spans="1:40">
      <c r="A103" s="41">
        <v>46248</v>
      </c>
      <c r="B103" s="41" t="str">
        <v>NORMAL</v>
      </c>
      <c r="C103" s="41" t="str">
        <v>DQB8989</v>
      </c>
      <c r="D103" s="42" t="str">
        <v>CTB</v>
      </c>
      <c r="E103" s="42" t="str">
        <v>PR</v>
      </c>
      <c r="F103" s="42" t="str">
        <v>RJO</v>
      </c>
      <c r="G103" s="42" t="str">
        <v>RJ</v>
      </c>
      <c r="H103" s="42" t="str">
        <v>COLSON DO BRASIL LTDA</v>
      </c>
      <c r="I103" s="209" t="str">
        <v>000189485</v>
      </c>
      <c r="J103" s="43">
        <v>3974.98</v>
      </c>
      <c r="K103" s="44">
        <v>15</v>
      </c>
      <c r="L103" s="45">
        <v>121.7</v>
      </c>
      <c r="M103" s="46">
        <v>477.73</v>
      </c>
      <c r="N103" s="47">
        <v>0.12</v>
      </c>
      <c r="O103" s="48">
        <f t="shared" si="65"/>
        <v>10.953</v>
      </c>
      <c r="P103" s="49">
        <f t="shared" si="71"/>
        <v>24.34</v>
      </c>
      <c r="Q103" s="50">
        <f t="shared" si="101"/>
        <v>21.906</v>
      </c>
      <c r="R103" s="50">
        <f t="shared" si="102"/>
        <v>105.1006</v>
      </c>
      <c r="S103" s="31"/>
      <c r="T103" s="51">
        <v>0</v>
      </c>
      <c r="U103" s="33">
        <f t="shared" si="86"/>
        <v>0</v>
      </c>
      <c r="V103" s="34">
        <f t="shared" si="85"/>
        <v>162.2996</v>
      </c>
      <c r="W103" s="35">
        <f t="shared" si="66"/>
        <v>0.339730810290331</v>
      </c>
      <c r="X103" s="36">
        <f>(L103*'RESULTADO DIRETO'!N$27)/6*4</f>
        <v>16.9618653753788</v>
      </c>
      <c r="Y103" s="35">
        <f t="shared" si="73"/>
        <v>0.0355051292055738</v>
      </c>
      <c r="Z103" s="36">
        <f>(L103*'RESULTADO DIRETO'!N$15)/6*3</f>
        <v>11.5874836843876</v>
      </c>
      <c r="AA103" s="35">
        <f t="shared" si="99"/>
        <v>0.0242552983576238</v>
      </c>
      <c r="AB103" s="36">
        <f t="shared" si="67"/>
        <v>0.4268333524</v>
      </c>
      <c r="AC103" s="36">
        <f t="shared" si="90"/>
        <v>0.4268333524</v>
      </c>
      <c r="AD103" s="34">
        <f t="shared" si="95"/>
        <v>191.702615764566</v>
      </c>
      <c r="AE103" s="37">
        <f t="shared" si="68"/>
        <v>0.401278160811685</v>
      </c>
      <c r="AF103" s="36">
        <f t="shared" si="80"/>
        <v>57.3276</v>
      </c>
      <c r="AG103" s="36"/>
      <c r="AH103" s="36">
        <f t="shared" si="69"/>
        <v>24.84196</v>
      </c>
      <c r="AI103" s="34">
        <f t="shared" si="91"/>
        <v>82.16956</v>
      </c>
      <c r="AJ103" s="38">
        <f t="shared" si="96"/>
        <v>273.872175764566</v>
      </c>
      <c r="AK103" s="39">
        <f t="shared" si="100"/>
        <v>0.573278160811685</v>
      </c>
      <c r="AL103" s="38">
        <f t="shared" si="92"/>
        <v>203.857824235434</v>
      </c>
      <c r="AM103" s="40">
        <f t="shared" si="93"/>
        <v>0.426721839188315</v>
      </c>
      <c r="AN103" s="38">
        <f t="shared" si="94"/>
        <v>3.92547247329499</v>
      </c>
    </row>
    <row r="104" s="3" customFormat="1" spans="1:40">
      <c r="A104" s="41">
        <v>46248</v>
      </c>
      <c r="B104" s="41" t="str">
        <v>NORMAL</v>
      </c>
      <c r="C104" s="41" t="str">
        <v>DQB8989</v>
      </c>
      <c r="D104" s="42" t="str">
        <v>CTB</v>
      </c>
      <c r="E104" s="42" t="str">
        <v>PR</v>
      </c>
      <c r="F104" s="42" t="str">
        <v>SPO</v>
      </c>
      <c r="G104" s="42" t="str">
        <v>SP</v>
      </c>
      <c r="H104" s="42" t="str">
        <v>COLSON DO BRASIL LTDA</v>
      </c>
      <c r="I104" s="209" t="str">
        <v>000189539</v>
      </c>
      <c r="J104" s="43">
        <v>2320.77</v>
      </c>
      <c r="K104" s="44">
        <v>7</v>
      </c>
      <c r="L104" s="45">
        <v>32.24</v>
      </c>
      <c r="M104" s="46">
        <v>118.06</v>
      </c>
      <c r="N104" s="47">
        <v>0.12</v>
      </c>
      <c r="O104" s="48">
        <f t="shared" si="65"/>
        <v>2.9016</v>
      </c>
      <c r="P104" s="49">
        <f t="shared" si="71"/>
        <v>6.448</v>
      </c>
      <c r="Q104" s="31"/>
      <c r="R104" s="49">
        <f>L104*0.19</f>
        <v>6.1256</v>
      </c>
      <c r="S104" s="31"/>
      <c r="T104" s="30">
        <v>0</v>
      </c>
      <c r="U104" s="33">
        <f t="shared" si="86"/>
        <v>0</v>
      </c>
      <c r="V104" s="34">
        <f t="shared" si="85"/>
        <v>15.4752</v>
      </c>
      <c r="W104" s="35">
        <f t="shared" si="66"/>
        <v>0.131079112315772</v>
      </c>
      <c r="X104" s="36">
        <f>(L104*'RESULTADO DIRETO'!N$27)/6*3</f>
        <v>3.3700731698986</v>
      </c>
      <c r="Y104" s="35">
        <f t="shared" si="73"/>
        <v>0.0285454274936354</v>
      </c>
      <c r="Z104" s="36">
        <f>(L104*'RESULTADO DIRETO'!N$15)/6*2</f>
        <v>2.04645562303291</v>
      </c>
      <c r="AA104" s="35">
        <f t="shared" si="99"/>
        <v>0.0173340303492538</v>
      </c>
      <c r="AB104" s="36">
        <f t="shared" si="67"/>
        <v>0.2492042826</v>
      </c>
      <c r="AC104" s="36">
        <f t="shared" ref="AC104:AC109" si="103">(J104*0.01%)*7.38%+(J104*0.01%)</f>
        <v>0.2492042826</v>
      </c>
      <c r="AD104" s="34">
        <f t="shared" si="95"/>
        <v>21.3901373581315</v>
      </c>
      <c r="AE104" s="37">
        <f t="shared" si="68"/>
        <v>0.181180224954527</v>
      </c>
      <c r="AF104" s="36">
        <f t="shared" si="80"/>
        <v>14.1672</v>
      </c>
      <c r="AG104" s="36"/>
      <c r="AH104" s="36">
        <f t="shared" si="69"/>
        <v>6.13912</v>
      </c>
      <c r="AI104" s="34">
        <f t="shared" ref="AI104:AI109" si="104">AF104+AG104+AH104</f>
        <v>20.30632</v>
      </c>
      <c r="AJ104" s="38">
        <f t="shared" ref="AJ104:AJ109" si="105">AD104+AI104</f>
        <v>41.6964573581315</v>
      </c>
      <c r="AK104" s="39">
        <f t="shared" si="100"/>
        <v>0.353180224954527</v>
      </c>
      <c r="AL104" s="38">
        <f t="shared" ref="AL104:AL109" si="106">M104-AJ104</f>
        <v>76.3635426418685</v>
      </c>
      <c r="AM104" s="40">
        <f t="shared" ref="AM104:AM109" si="107">AL104/M104</f>
        <v>0.646819775045473</v>
      </c>
      <c r="AN104" s="38">
        <f t="shared" ref="AN104:AN109" si="108">M104/L104</f>
        <v>3.66191066997519</v>
      </c>
    </row>
    <row r="105" s="3" customFormat="1" hidden="1" spans="1:40">
      <c r="A105" s="41">
        <v>46248</v>
      </c>
      <c r="B105" s="41" t="str">
        <v>NORMAL</v>
      </c>
      <c r="C105" s="41" t="str">
        <v>DQB8989</v>
      </c>
      <c r="D105" s="42" t="str">
        <v>CTB</v>
      </c>
      <c r="E105" s="42" t="str">
        <v>PR</v>
      </c>
      <c r="F105" s="42" t="str">
        <v>RJO</v>
      </c>
      <c r="G105" s="42" t="str">
        <v>RJ</v>
      </c>
      <c r="H105" s="42" t="str">
        <v>COLSON DO BRASIL LTDA</v>
      </c>
      <c r="I105" s="209" t="str">
        <v>000189542</v>
      </c>
      <c r="J105" s="43">
        <v>3590.39</v>
      </c>
      <c r="K105" s="44">
        <v>5</v>
      </c>
      <c r="L105" s="45">
        <v>31.665</v>
      </c>
      <c r="M105" s="46">
        <v>127.67</v>
      </c>
      <c r="N105" s="47">
        <v>0.12</v>
      </c>
      <c r="O105" s="48">
        <f t="shared" si="65"/>
        <v>2.84985</v>
      </c>
      <c r="P105" s="49">
        <f t="shared" si="71"/>
        <v>6.333</v>
      </c>
      <c r="Q105" s="50">
        <f t="shared" si="101"/>
        <v>5.6997</v>
      </c>
      <c r="R105" s="50">
        <f t="shared" si="102"/>
        <v>28.0874</v>
      </c>
      <c r="S105" s="31"/>
      <c r="T105" s="51">
        <v>0</v>
      </c>
      <c r="U105" s="33">
        <f t="shared" si="86"/>
        <v>0</v>
      </c>
      <c r="V105" s="34">
        <f t="shared" ref="V104:V115" si="109">O105+P105+Q105+R105+S105+T105</f>
        <v>42.96995</v>
      </c>
      <c r="W105" s="35">
        <f t="shared" si="66"/>
        <v>0.336570455079502</v>
      </c>
      <c r="X105" s="36">
        <f>(L105*'RESULTADO DIRETO'!N$27)/6*4</f>
        <v>4.4132906089677</v>
      </c>
      <c r="Y105" s="35">
        <f t="shared" si="73"/>
        <v>0.034567953387387</v>
      </c>
      <c r="Z105" s="36">
        <f>(L105*'RESULTADO DIRETO'!N$15)/6*3</f>
        <v>3.01493566857958</v>
      </c>
      <c r="AA105" s="35">
        <f t="shared" si="99"/>
        <v>0.0236150675066936</v>
      </c>
      <c r="AB105" s="36">
        <f t="shared" si="67"/>
        <v>0.3855360782</v>
      </c>
      <c r="AC105" s="36">
        <f t="shared" si="103"/>
        <v>0.3855360782</v>
      </c>
      <c r="AD105" s="34">
        <f t="shared" ref="AD104:AD110" si="110">V105+X105+Z105+AB105+AC105</f>
        <v>51.1692484339473</v>
      </c>
      <c r="AE105" s="37">
        <f t="shared" si="68"/>
        <v>0.400793047967003</v>
      </c>
      <c r="AF105" s="36">
        <f t="shared" si="80"/>
        <v>15.3204</v>
      </c>
      <c r="AG105" s="36"/>
      <c r="AH105" s="36">
        <f t="shared" si="69"/>
        <v>6.63884</v>
      </c>
      <c r="AI105" s="34">
        <f t="shared" si="104"/>
        <v>21.95924</v>
      </c>
      <c r="AJ105" s="38">
        <f t="shared" si="105"/>
        <v>73.1284884339473</v>
      </c>
      <c r="AK105" s="39">
        <f t="shared" si="100"/>
        <v>0.572793047967003</v>
      </c>
      <c r="AL105" s="38">
        <f t="shared" si="106"/>
        <v>54.5415115660527</v>
      </c>
      <c r="AM105" s="40">
        <f t="shared" si="107"/>
        <v>0.427206952032997</v>
      </c>
      <c r="AN105" s="38">
        <f t="shared" si="108"/>
        <v>4.03189641560082</v>
      </c>
    </row>
    <row r="106" s="3" customFormat="1" hidden="1" spans="1:40">
      <c r="A106" s="41">
        <v>46248</v>
      </c>
      <c r="B106" s="41" t="str">
        <v>NORMAL</v>
      </c>
      <c r="C106" s="41" t="str">
        <v>DQB8989</v>
      </c>
      <c r="D106" s="42" t="str">
        <v>CTB</v>
      </c>
      <c r="E106" s="42" t="str">
        <v>PR</v>
      </c>
      <c r="F106" s="42" t="str">
        <v>RJO</v>
      </c>
      <c r="G106" s="42" t="str">
        <v>RJ</v>
      </c>
      <c r="H106" s="42" t="str">
        <v>COLSON DO BRASIL LTDA</v>
      </c>
      <c r="I106" s="209" t="str">
        <v>000189492</v>
      </c>
      <c r="J106" s="43">
        <v>8544.59</v>
      </c>
      <c r="K106" s="44">
        <v>20</v>
      </c>
      <c r="L106" s="45">
        <v>238.7</v>
      </c>
      <c r="M106" s="46">
        <v>629.63</v>
      </c>
      <c r="N106" s="47">
        <v>0.12</v>
      </c>
      <c r="O106" s="48">
        <f t="shared" si="65"/>
        <v>21.483</v>
      </c>
      <c r="P106" s="49">
        <f t="shared" si="71"/>
        <v>47.74</v>
      </c>
      <c r="Q106" s="50">
        <f t="shared" si="101"/>
        <v>42.966</v>
      </c>
      <c r="R106" s="50">
        <f t="shared" si="102"/>
        <v>138.5186</v>
      </c>
      <c r="S106" s="31"/>
      <c r="T106" s="51">
        <v>0</v>
      </c>
      <c r="U106" s="33">
        <f t="shared" si="86"/>
        <v>0</v>
      </c>
      <c r="V106" s="34">
        <f t="shared" si="109"/>
        <v>250.7076</v>
      </c>
      <c r="W106" s="35">
        <f t="shared" si="66"/>
        <v>0.398182424598574</v>
      </c>
      <c r="X106" s="36">
        <f>(L106*'RESULTADO DIRETO'!N$27)/6*4</f>
        <v>33.2686710361784</v>
      </c>
      <c r="Y106" s="35">
        <f t="shared" si="73"/>
        <v>0.052838446446609</v>
      </c>
      <c r="Z106" s="36">
        <f>(L106*'RESULTADO DIRETO'!N$15)/6*3</f>
        <v>22.7274638904135</v>
      </c>
      <c r="AA106" s="35">
        <f t="shared" si="99"/>
        <v>0.0360965390632809</v>
      </c>
      <c r="AB106" s="36">
        <f t="shared" si="67"/>
        <v>0.9175180742</v>
      </c>
      <c r="AC106" s="36">
        <f t="shared" si="103"/>
        <v>0.9175180742</v>
      </c>
      <c r="AD106" s="34">
        <f t="shared" si="110"/>
        <v>308.538771074992</v>
      </c>
      <c r="AE106" s="37">
        <f t="shared" si="68"/>
        <v>0.490031877570942</v>
      </c>
      <c r="AF106" s="36">
        <f t="shared" si="80"/>
        <v>75.5556</v>
      </c>
      <c r="AG106" s="36"/>
      <c r="AH106" s="36">
        <f t="shared" si="69"/>
        <v>32.74076</v>
      </c>
      <c r="AI106" s="34">
        <f t="shared" si="104"/>
        <v>108.29636</v>
      </c>
      <c r="AJ106" s="38">
        <f t="shared" si="105"/>
        <v>416.835131074992</v>
      </c>
      <c r="AK106" s="39">
        <f t="shared" si="100"/>
        <v>0.662031877570942</v>
      </c>
      <c r="AL106" s="38">
        <f t="shared" si="106"/>
        <v>212.794868925008</v>
      </c>
      <c r="AM106" s="40">
        <f t="shared" si="107"/>
        <v>0.337968122429058</v>
      </c>
      <c r="AN106" s="38">
        <f t="shared" si="108"/>
        <v>2.6377461248429</v>
      </c>
    </row>
    <row r="107" s="3" customFormat="1" hidden="1" spans="1:40">
      <c r="A107" s="41">
        <v>46248</v>
      </c>
      <c r="B107" s="41" t="str">
        <v>NORMAL</v>
      </c>
      <c r="C107" s="41" t="str">
        <v>DQB8989</v>
      </c>
      <c r="D107" s="42" t="str">
        <v>CTB</v>
      </c>
      <c r="E107" s="42" t="str">
        <v>PR</v>
      </c>
      <c r="F107" s="42" t="str">
        <v>BHZ</v>
      </c>
      <c r="G107" s="42" t="str">
        <v>MG</v>
      </c>
      <c r="H107" s="42" t="str">
        <v>COLSON DO BRASIL LTDA</v>
      </c>
      <c r="I107" s="209" t="str">
        <v>000189478</v>
      </c>
      <c r="J107" s="43">
        <v>3036.78</v>
      </c>
      <c r="K107" s="44">
        <v>10</v>
      </c>
      <c r="L107" s="45">
        <v>145</v>
      </c>
      <c r="M107" s="46">
        <v>208.99</v>
      </c>
      <c r="N107" s="47">
        <v>0.12</v>
      </c>
      <c r="O107" s="48">
        <f t="shared" si="65"/>
        <v>13.05</v>
      </c>
      <c r="P107" s="49">
        <f t="shared" si="71"/>
        <v>29</v>
      </c>
      <c r="Q107" s="52">
        <f t="shared" si="101"/>
        <v>26.1</v>
      </c>
      <c r="R107" s="52">
        <f>L107*0.15</f>
        <v>21.75</v>
      </c>
      <c r="S107" s="31"/>
      <c r="T107" s="54">
        <v>0</v>
      </c>
      <c r="U107" s="33">
        <f t="shared" si="86"/>
        <v>0</v>
      </c>
      <c r="V107" s="34">
        <f t="shared" si="109"/>
        <v>89.9</v>
      </c>
      <c r="W107" s="35">
        <f t="shared" si="66"/>
        <v>0.430164122685296</v>
      </c>
      <c r="X107" s="36">
        <f>(L107*'RESULTADO DIRETO'!N$27)/6*4</f>
        <v>20.209289066803</v>
      </c>
      <c r="Y107" s="35">
        <f t="shared" si="73"/>
        <v>0.0966997897832575</v>
      </c>
      <c r="Z107" s="36">
        <f>(L107*'RESULTADO DIRETO'!N$15)/6*3</f>
        <v>13.8059583749894</v>
      </c>
      <c r="AA107" s="35">
        <f t="shared" si="99"/>
        <v>0.0660603778888434</v>
      </c>
      <c r="AB107" s="36">
        <f t="shared" si="67"/>
        <v>0.3260894364</v>
      </c>
      <c r="AC107" s="36">
        <f t="shared" si="103"/>
        <v>0.3260894364</v>
      </c>
      <c r="AD107" s="34">
        <f t="shared" si="110"/>
        <v>124.567426314592</v>
      </c>
      <c r="AE107" s="37">
        <f t="shared" si="68"/>
        <v>0.596044912745071</v>
      </c>
      <c r="AF107" s="36">
        <f t="shared" si="80"/>
        <v>25.0788</v>
      </c>
      <c r="AG107" s="36"/>
      <c r="AH107" s="36">
        <f t="shared" si="69"/>
        <v>10.86748</v>
      </c>
      <c r="AI107" s="34">
        <f t="shared" si="104"/>
        <v>35.94628</v>
      </c>
      <c r="AJ107" s="38">
        <f t="shared" si="105"/>
        <v>160.513706314592</v>
      </c>
      <c r="AK107" s="39">
        <f t="shared" si="100"/>
        <v>0.768044912745071</v>
      </c>
      <c r="AL107" s="38">
        <f t="shared" si="106"/>
        <v>48.4762936854077</v>
      </c>
      <c r="AM107" s="40">
        <f t="shared" si="107"/>
        <v>0.231955087254929</v>
      </c>
      <c r="AN107" s="38">
        <f t="shared" si="108"/>
        <v>1.44131034482759</v>
      </c>
    </row>
    <row r="108" s="3" customFormat="1" hidden="1" spans="1:40">
      <c r="A108" s="41">
        <v>46248</v>
      </c>
      <c r="B108" s="41" t="str">
        <v>NORMAL</v>
      </c>
      <c r="C108" s="41" t="str">
        <v>DQB8989</v>
      </c>
      <c r="D108" s="42" t="str">
        <v>CTB</v>
      </c>
      <c r="E108" s="42" t="str">
        <v>PR</v>
      </c>
      <c r="F108" s="42" t="str">
        <v>LFN</v>
      </c>
      <c r="G108" s="42" t="str">
        <v>SP</v>
      </c>
      <c r="H108" s="42" t="str">
        <v>COLSON DO BRASIL LTDA</v>
      </c>
      <c r="I108" s="209" t="str">
        <v>000189493</v>
      </c>
      <c r="J108" s="43">
        <v>3534.63</v>
      </c>
      <c r="K108" s="44">
        <v>15</v>
      </c>
      <c r="L108" s="45">
        <v>112.1</v>
      </c>
      <c r="M108" s="46">
        <v>184.98</v>
      </c>
      <c r="N108" s="47">
        <v>0.12</v>
      </c>
      <c r="O108" s="48">
        <f t="shared" si="65"/>
        <v>10.089</v>
      </c>
      <c r="P108" s="49">
        <f t="shared" si="71"/>
        <v>22.42</v>
      </c>
      <c r="Q108" s="31"/>
      <c r="R108" s="49">
        <f>L108*0.09</f>
        <v>10.089</v>
      </c>
      <c r="S108" s="31"/>
      <c r="T108" s="53">
        <v>82.27</v>
      </c>
      <c r="U108" s="33">
        <f t="shared" si="86"/>
        <v>0.444750783868526</v>
      </c>
      <c r="V108" s="34">
        <f t="shared" si="109"/>
        <v>124.868</v>
      </c>
      <c r="W108" s="35">
        <f t="shared" si="66"/>
        <v>0.675035138933939</v>
      </c>
      <c r="X108" s="36">
        <f>(L108*'RESULTADO DIRETO'!N$27)/6*3</f>
        <v>11.7179032985618</v>
      </c>
      <c r="Y108" s="35">
        <f t="shared" si="73"/>
        <v>0.0633468661399168</v>
      </c>
      <c r="Z108" s="36">
        <f>(L108*'RESULTADO DIRETO'!N$15)/6*2</f>
        <v>7.11562268430487</v>
      </c>
      <c r="AA108" s="35">
        <f t="shared" si="99"/>
        <v>0.0384669839134224</v>
      </c>
      <c r="AB108" s="36">
        <f t="shared" si="67"/>
        <v>0.3795485694</v>
      </c>
      <c r="AC108" s="36">
        <f t="shared" si="103"/>
        <v>0.3795485694</v>
      </c>
      <c r="AD108" s="34">
        <f t="shared" si="110"/>
        <v>144.460623121667</v>
      </c>
      <c r="AE108" s="37">
        <f t="shared" si="68"/>
        <v>0.780952660404728</v>
      </c>
      <c r="AF108" s="36">
        <f t="shared" si="80"/>
        <v>22.1976</v>
      </c>
      <c r="AG108" s="36"/>
      <c r="AH108" s="36">
        <f t="shared" si="69"/>
        <v>9.61896</v>
      </c>
      <c r="AI108" s="34">
        <f t="shared" si="104"/>
        <v>31.81656</v>
      </c>
      <c r="AJ108" s="38">
        <f t="shared" si="105"/>
        <v>176.277183121667</v>
      </c>
      <c r="AK108" s="39">
        <f t="shared" si="100"/>
        <v>0.952952660404728</v>
      </c>
      <c r="AL108" s="38">
        <f t="shared" si="106"/>
        <v>8.70281687833338</v>
      </c>
      <c r="AM108" s="40">
        <f t="shared" si="107"/>
        <v>0.0470473395952718</v>
      </c>
      <c r="AN108" s="38">
        <f t="shared" si="108"/>
        <v>1.65013380909902</v>
      </c>
    </row>
    <row r="109" s="3" customFormat="1" hidden="1" spans="1:40">
      <c r="A109" s="41">
        <v>46251</v>
      </c>
      <c r="B109" s="41" t="str">
        <v>NORMAL</v>
      </c>
      <c r="C109" s="41" t="str">
        <v>DQB8989</v>
      </c>
      <c r="D109" s="42" t="str">
        <v>CTB</v>
      </c>
      <c r="E109" s="42" t="str">
        <v>PR</v>
      </c>
      <c r="F109" s="42" t="str">
        <v>SPO</v>
      </c>
      <c r="G109" s="42" t="str">
        <v>SP</v>
      </c>
      <c r="H109" s="42" t="str">
        <v>COLSON DO BRASIL LTDA</v>
      </c>
      <c r="I109" s="209" t="str">
        <v>000189612</v>
      </c>
      <c r="J109" s="43">
        <v>2935.93</v>
      </c>
      <c r="K109" s="44">
        <v>7</v>
      </c>
      <c r="L109" s="45">
        <v>79.6</v>
      </c>
      <c r="M109" s="46">
        <v>333.77</v>
      </c>
      <c r="N109" s="47">
        <v>0.12</v>
      </c>
      <c r="O109" s="48">
        <f t="shared" si="65"/>
        <v>7.164</v>
      </c>
      <c r="P109" s="49">
        <f t="shared" si="71"/>
        <v>15.92</v>
      </c>
      <c r="Q109" s="31"/>
      <c r="R109" s="49">
        <f>L109*0.19</f>
        <v>15.124</v>
      </c>
      <c r="S109" s="31"/>
      <c r="T109" s="30">
        <v>0</v>
      </c>
      <c r="U109" s="33">
        <f t="shared" si="86"/>
        <v>0</v>
      </c>
      <c r="V109" s="34">
        <f t="shared" si="109"/>
        <v>38.208</v>
      </c>
      <c r="W109" s="35">
        <f t="shared" si="66"/>
        <v>0.114474039008898</v>
      </c>
      <c r="X109" s="36">
        <f>(L109*'RESULTADO DIRETO'!N$27)/6*3</f>
        <v>8.32065211922854</v>
      </c>
      <c r="Y109" s="35">
        <f t="shared" si="73"/>
        <v>0.024929298976027</v>
      </c>
      <c r="Z109" s="36">
        <f>(L109*'RESULTADO DIRETO'!N$15)/6*2</f>
        <v>5.05266338689266</v>
      </c>
      <c r="AA109" s="35">
        <f t="shared" si="99"/>
        <v>0.0151381591721625</v>
      </c>
      <c r="AB109" s="36">
        <f t="shared" si="67"/>
        <v>0.3152601634</v>
      </c>
      <c r="AC109" s="36">
        <f t="shared" si="103"/>
        <v>0.3152601634</v>
      </c>
      <c r="AD109" s="34">
        <f t="shared" si="110"/>
        <v>52.2118358329212</v>
      </c>
      <c r="AE109" s="37">
        <f t="shared" si="68"/>
        <v>0.156430583434464</v>
      </c>
      <c r="AF109" s="36">
        <f t="shared" si="80"/>
        <v>40.0524</v>
      </c>
      <c r="AG109" s="36"/>
      <c r="AH109" s="36">
        <f t="shared" si="69"/>
        <v>17.35604</v>
      </c>
      <c r="AI109" s="34">
        <f t="shared" si="104"/>
        <v>57.40844</v>
      </c>
      <c r="AJ109" s="38">
        <f t="shared" si="105"/>
        <v>109.620275832921</v>
      </c>
      <c r="AK109" s="39">
        <f t="shared" si="100"/>
        <v>0.328430583434464</v>
      </c>
      <c r="AL109" s="38">
        <f t="shared" si="106"/>
        <v>224.149724167079</v>
      </c>
      <c r="AM109" s="40">
        <f t="shared" si="107"/>
        <v>0.671569416565535</v>
      </c>
      <c r="AN109" s="38">
        <f t="shared" si="108"/>
        <v>4.19309045226131</v>
      </c>
    </row>
    <row r="110" s="3" customFormat="1" spans="1:40">
      <c r="A110" s="41">
        <v>46251</v>
      </c>
      <c r="B110" s="41" t="str">
        <v>NORMAL</v>
      </c>
      <c r="C110" s="41" t="str">
        <v>DQB8989</v>
      </c>
      <c r="D110" s="42" t="str">
        <v>CTB</v>
      </c>
      <c r="E110" s="42" t="str">
        <v>PR</v>
      </c>
      <c r="F110" s="42" t="str">
        <v>PSP</v>
      </c>
      <c r="G110" s="42" t="str">
        <v>SP</v>
      </c>
      <c r="H110" s="42" t="str">
        <v>COLSON DO BRASIL LTDA</v>
      </c>
      <c r="I110" s="209" t="str">
        <v>000189619</v>
      </c>
      <c r="J110" s="43">
        <v>1679.05</v>
      </c>
      <c r="K110" s="44">
        <v>2</v>
      </c>
      <c r="L110" s="45">
        <v>35.78</v>
      </c>
      <c r="M110" s="46">
        <v>134.22</v>
      </c>
      <c r="N110" s="47">
        <v>0.12</v>
      </c>
      <c r="O110" s="48">
        <f t="shared" si="65"/>
        <v>3.2202</v>
      </c>
      <c r="P110" s="49">
        <f t="shared" si="71"/>
        <v>7.156</v>
      </c>
      <c r="Q110" s="31"/>
      <c r="R110" s="49">
        <f>L110*0</f>
        <v>0</v>
      </c>
      <c r="S110" s="31"/>
      <c r="T110" s="53">
        <v>49.5</v>
      </c>
      <c r="U110" s="33">
        <f t="shared" si="86"/>
        <v>0.368797496647295</v>
      </c>
      <c r="V110" s="34">
        <f t="shared" si="109"/>
        <v>59.8762</v>
      </c>
      <c r="W110" s="35">
        <f t="shared" si="66"/>
        <v>0.446104902399046</v>
      </c>
      <c r="X110" s="36">
        <f>(L110*'RESULTADO DIRETO'!N$27)/6*3</f>
        <v>3.74011222143213</v>
      </c>
      <c r="Y110" s="35">
        <f t="shared" si="73"/>
        <v>0.027865535847356</v>
      </c>
      <c r="Z110" s="36">
        <f>(L110*'RESULTADO DIRETO'!N$15)/6*2</f>
        <v>2.27115949727411</v>
      </c>
      <c r="AA110" s="35">
        <f t="shared" si="99"/>
        <v>0.0169211704460894</v>
      </c>
      <c r="AB110" s="36">
        <f t="shared" si="67"/>
        <v>0.180296389</v>
      </c>
      <c r="AC110" s="36">
        <f t="shared" ref="AC110:AC115" si="111">(J110*0.01%)*7.38%+(J110*0.01%)</f>
        <v>0.180296389</v>
      </c>
      <c r="AD110" s="34">
        <f t="shared" si="110"/>
        <v>66.2480644967062</v>
      </c>
      <c r="AE110" s="37">
        <f t="shared" si="68"/>
        <v>0.493578188769977</v>
      </c>
      <c r="AF110" s="36">
        <f t="shared" si="80"/>
        <v>16.1064</v>
      </c>
      <c r="AG110" s="36"/>
      <c r="AH110" s="36">
        <f t="shared" si="69"/>
        <v>6.97944</v>
      </c>
      <c r="AI110" s="34">
        <f t="shared" ref="AI110:AI115" si="112">AF110+AG110+AH110</f>
        <v>23.08584</v>
      </c>
      <c r="AJ110" s="38">
        <f t="shared" ref="AJ110:AJ115" si="113">AD110+AI110</f>
        <v>89.3339044967063</v>
      </c>
      <c r="AK110" s="39">
        <f t="shared" si="100"/>
        <v>0.665578188769977</v>
      </c>
      <c r="AL110" s="38">
        <f t="shared" ref="AL110:AL115" si="114">M110-AJ110</f>
        <v>44.8860955032937</v>
      </c>
      <c r="AM110" s="40">
        <f t="shared" ref="AM110:AM115" si="115">AL110/M110</f>
        <v>0.334421811230023</v>
      </c>
      <c r="AN110" s="38">
        <f t="shared" ref="AN110:AN115" si="116">M110/L110</f>
        <v>3.75125768585802</v>
      </c>
    </row>
    <row r="111" s="3" customFormat="1" hidden="1" spans="1:40">
      <c r="A111" s="41">
        <v>46251</v>
      </c>
      <c r="B111" s="41" t="str">
        <v>NORMAL</v>
      </c>
      <c r="C111" s="41" t="str">
        <v>DQB8989</v>
      </c>
      <c r="D111" s="42" t="str">
        <v>CTB</v>
      </c>
      <c r="E111" s="42" t="str">
        <v>PR</v>
      </c>
      <c r="F111" s="42" t="str">
        <v>TRU</v>
      </c>
      <c r="G111" s="42" t="str">
        <v>MG</v>
      </c>
      <c r="H111" s="42" t="str">
        <v>COLSON DO BRASIL LTDA</v>
      </c>
      <c r="I111" s="209" t="str">
        <v>000189567</v>
      </c>
      <c r="J111" s="43">
        <v>3051.99</v>
      </c>
      <c r="K111" s="44">
        <v>10</v>
      </c>
      <c r="L111" s="45">
        <v>89.83</v>
      </c>
      <c r="M111" s="46">
        <v>538.58</v>
      </c>
      <c r="N111" s="47">
        <v>0.12</v>
      </c>
      <c r="O111" s="48">
        <f t="shared" si="65"/>
        <v>8.0847</v>
      </c>
      <c r="P111" s="49">
        <f t="shared" si="71"/>
        <v>17.966</v>
      </c>
      <c r="Q111" s="31"/>
      <c r="R111" s="49">
        <f>L111*0.09</f>
        <v>8.0847</v>
      </c>
      <c r="S111" s="31"/>
      <c r="T111" s="53">
        <v>487.79</v>
      </c>
      <c r="U111" s="33">
        <f t="shared" si="86"/>
        <v>0.90569646106428</v>
      </c>
      <c r="V111" s="34">
        <f t="shared" si="109"/>
        <v>521.9254</v>
      </c>
      <c r="W111" s="35">
        <f t="shared" si="66"/>
        <v>0.969076831668461</v>
      </c>
      <c r="X111" s="36">
        <f>(L111*'RESULTADO DIRETO'!N$27)/6*3</f>
        <v>9.39000225967713</v>
      </c>
      <c r="Y111" s="35">
        <f t="shared" si="73"/>
        <v>0.0174347399823186</v>
      </c>
      <c r="Z111" s="36">
        <f>(L111*'RESULTADO DIRETO'!N$15)/6*2</f>
        <v>5.70201949804734</v>
      </c>
      <c r="AA111" s="35">
        <f t="shared" si="99"/>
        <v>0.0105871356122532</v>
      </c>
      <c r="AB111" s="36">
        <f t="shared" si="67"/>
        <v>0.3277226862</v>
      </c>
      <c r="AC111" s="36">
        <f t="shared" si="111"/>
        <v>0.3277226862</v>
      </c>
      <c r="AD111" s="34">
        <f t="shared" ref="AD110:AD121" si="117">V111+X111+Z111+AB111+AC111</f>
        <v>537.672867130124</v>
      </c>
      <c r="AE111" s="37">
        <f t="shared" si="68"/>
        <v>0.998315695217283</v>
      </c>
      <c r="AF111" s="36">
        <f t="shared" si="80"/>
        <v>64.6296</v>
      </c>
      <c r="AG111" s="36"/>
      <c r="AH111" s="36">
        <f t="shared" si="69"/>
        <v>28.00616</v>
      </c>
      <c r="AI111" s="34">
        <f t="shared" si="112"/>
        <v>92.63576</v>
      </c>
      <c r="AJ111" s="38">
        <f t="shared" si="113"/>
        <v>630.308627130124</v>
      </c>
      <c r="AK111" s="39">
        <f t="shared" si="100"/>
        <v>1.17031569521728</v>
      </c>
      <c r="AL111" s="38">
        <f t="shared" si="114"/>
        <v>-91.7286271301243</v>
      </c>
      <c r="AM111" s="40">
        <f t="shared" si="115"/>
        <v>-0.170315695217283</v>
      </c>
      <c r="AN111" s="38">
        <f t="shared" si="116"/>
        <v>5.99554714460648</v>
      </c>
    </row>
    <row r="112" s="3" customFormat="1" hidden="1" spans="1:40">
      <c r="A112" s="41">
        <v>46251</v>
      </c>
      <c r="B112" s="41" t="str">
        <v>NORMAL</v>
      </c>
      <c r="C112" s="41" t="str">
        <v>DQB8989</v>
      </c>
      <c r="D112" s="42" t="str">
        <v>CTB</v>
      </c>
      <c r="E112" s="42" t="str">
        <v>PR</v>
      </c>
      <c r="F112" s="42" t="str">
        <v>TRU</v>
      </c>
      <c r="G112" s="42" t="str">
        <v>MG</v>
      </c>
      <c r="H112" s="42" t="str">
        <v>COLSON DO BRASIL LTDA</v>
      </c>
      <c r="I112" s="209" t="str">
        <v>000189574</v>
      </c>
      <c r="J112" s="43">
        <v>2110.78</v>
      </c>
      <c r="K112" s="44">
        <v>7</v>
      </c>
      <c r="L112" s="45">
        <v>73.05</v>
      </c>
      <c r="M112" s="46">
        <v>533.24</v>
      </c>
      <c r="N112" s="47">
        <v>0.12</v>
      </c>
      <c r="O112" s="48">
        <f t="shared" si="65"/>
        <v>6.5745</v>
      </c>
      <c r="P112" s="49">
        <f t="shared" si="71"/>
        <v>14.61</v>
      </c>
      <c r="Q112" s="31"/>
      <c r="R112" s="49">
        <f>L112*0.09</f>
        <v>6.5745</v>
      </c>
      <c r="S112" s="31"/>
      <c r="T112" s="53">
        <v>485.75</v>
      </c>
      <c r="U112" s="33">
        <f t="shared" si="86"/>
        <v>0.910940664616308</v>
      </c>
      <c r="V112" s="34">
        <f t="shared" si="109"/>
        <v>513.509</v>
      </c>
      <c r="W112" s="35">
        <f t="shared" si="66"/>
        <v>0.962997899632436</v>
      </c>
      <c r="X112" s="36">
        <f>(L112*'RESULTADO DIRETO'!N$27)/6*3</f>
        <v>7.63597534308599</v>
      </c>
      <c r="Y112" s="35">
        <f t="shared" si="73"/>
        <v>0.0143199597612444</v>
      </c>
      <c r="Z112" s="36">
        <f>(L112*'RESULTADO DIRETO'!N$15)/6*2</f>
        <v>4.63689774387574</v>
      </c>
      <c r="AA112" s="35">
        <f t="shared" si="99"/>
        <v>0.00869570501814519</v>
      </c>
      <c r="AB112" s="36">
        <f t="shared" si="67"/>
        <v>0.2266555564</v>
      </c>
      <c r="AC112" s="36">
        <f t="shared" si="111"/>
        <v>0.2266555564</v>
      </c>
      <c r="AD112" s="34">
        <f t="shared" ref="AD112:AD114" si="118">V112+X112+Z112+AB112+AC112</f>
        <v>526.235184199762</v>
      </c>
      <c r="AE112" s="37">
        <f t="shared" si="68"/>
        <v>0.986863671517069</v>
      </c>
      <c r="AF112" s="36">
        <f t="shared" si="80"/>
        <v>63.9888</v>
      </c>
      <c r="AG112" s="36"/>
      <c r="AH112" s="36">
        <f t="shared" si="69"/>
        <v>27.72848</v>
      </c>
      <c r="AI112" s="34">
        <f t="shared" si="112"/>
        <v>91.71728</v>
      </c>
      <c r="AJ112" s="38">
        <f t="shared" si="113"/>
        <v>617.952464199762</v>
      </c>
      <c r="AK112" s="39">
        <f t="shared" si="100"/>
        <v>1.15886367151707</v>
      </c>
      <c r="AL112" s="38">
        <f t="shared" si="114"/>
        <v>-84.7124641997617</v>
      </c>
      <c r="AM112" s="40">
        <f t="shared" si="115"/>
        <v>-0.158863671517069</v>
      </c>
      <c r="AN112" s="38">
        <f t="shared" si="116"/>
        <v>7.29965776865161</v>
      </c>
    </row>
    <row r="113" s="3" customFormat="1" hidden="1" spans="1:40">
      <c r="A113" s="41">
        <v>46251</v>
      </c>
      <c r="B113" s="41" t="str">
        <v>NORMAL</v>
      </c>
      <c r="C113" s="41" t="str">
        <v>DQB8989</v>
      </c>
      <c r="D113" s="42" t="str">
        <v>CTB</v>
      </c>
      <c r="E113" s="42" t="str">
        <v>PR</v>
      </c>
      <c r="F113" s="42" t="str">
        <v>SPO</v>
      </c>
      <c r="G113" s="42" t="str">
        <v>SP</v>
      </c>
      <c r="H113" s="42" t="str">
        <v>COLSON DO BRASIL LTDA</v>
      </c>
      <c r="I113" s="209" t="str">
        <v>000189566</v>
      </c>
      <c r="J113" s="43">
        <v>3595.99</v>
      </c>
      <c r="K113" s="44">
        <v>11</v>
      </c>
      <c r="L113" s="45">
        <v>108.9</v>
      </c>
      <c r="M113" s="46">
        <v>461.23</v>
      </c>
      <c r="N113" s="47">
        <v>0.12</v>
      </c>
      <c r="O113" s="48">
        <f t="shared" si="65"/>
        <v>9.801</v>
      </c>
      <c r="P113" s="49">
        <f t="shared" si="71"/>
        <v>21.78</v>
      </c>
      <c r="Q113" s="31"/>
      <c r="R113" s="49">
        <f>L113*0.19</f>
        <v>20.691</v>
      </c>
      <c r="S113" s="31"/>
      <c r="T113" s="30">
        <v>0</v>
      </c>
      <c r="U113" s="33">
        <f t="shared" si="86"/>
        <v>0</v>
      </c>
      <c r="V113" s="34">
        <f t="shared" si="109"/>
        <v>52.272</v>
      </c>
      <c r="W113" s="35">
        <f t="shared" si="66"/>
        <v>0.113331743381827</v>
      </c>
      <c r="X113" s="36">
        <f>(L113*'RESULTADO DIRETO'!N$27)/6*3</f>
        <v>11.3834047209044</v>
      </c>
      <c r="Y113" s="35">
        <f t="shared" si="73"/>
        <v>0.0246805383884491</v>
      </c>
      <c r="Z113" s="36">
        <f>(L113*'RESULTADO DIRETO'!N$15)/6*2</f>
        <v>6.91250053809813</v>
      </c>
      <c r="AA113" s="35">
        <f t="shared" si="99"/>
        <v>0.0149871008782996</v>
      </c>
      <c r="AB113" s="36">
        <f t="shared" si="67"/>
        <v>0.3861374062</v>
      </c>
      <c r="AC113" s="36">
        <f t="shared" si="111"/>
        <v>0.3861374062</v>
      </c>
      <c r="AD113" s="34">
        <f t="shared" si="118"/>
        <v>71.3401800714025</v>
      </c>
      <c r="AE113" s="37">
        <f t="shared" si="68"/>
        <v>0.154673763786836</v>
      </c>
      <c r="AF113" s="36">
        <f t="shared" si="80"/>
        <v>55.3476</v>
      </c>
      <c r="AG113" s="36"/>
      <c r="AH113" s="36">
        <f t="shared" si="69"/>
        <v>23.98396</v>
      </c>
      <c r="AI113" s="34">
        <f t="shared" si="112"/>
        <v>79.33156</v>
      </c>
      <c r="AJ113" s="38">
        <f t="shared" si="113"/>
        <v>150.671740071403</v>
      </c>
      <c r="AK113" s="39">
        <f t="shared" si="100"/>
        <v>0.326673763786836</v>
      </c>
      <c r="AL113" s="38">
        <f t="shared" si="114"/>
        <v>310.558259928598</v>
      </c>
      <c r="AM113" s="40">
        <f t="shared" si="115"/>
        <v>0.673326236213164</v>
      </c>
      <c r="AN113" s="38">
        <f t="shared" si="116"/>
        <v>4.23535353535354</v>
      </c>
    </row>
    <row r="114" s="3" customFormat="1" spans="1:40">
      <c r="A114" s="41">
        <v>46251</v>
      </c>
      <c r="B114" s="41" t="str">
        <v>NORMAL</v>
      </c>
      <c r="C114" s="41" t="str">
        <v>DQB8989</v>
      </c>
      <c r="D114" s="42" t="str">
        <v>CTB</v>
      </c>
      <c r="E114" s="42" t="str">
        <v>PR</v>
      </c>
      <c r="F114" s="42" t="str">
        <v>PSP</v>
      </c>
      <c r="G114" s="42" t="str">
        <v>SP</v>
      </c>
      <c r="H114" s="42" t="str">
        <v>COLSON DO BRASIL LTDA</v>
      </c>
      <c r="I114" s="209" t="str">
        <v>000189610</v>
      </c>
      <c r="J114" s="43">
        <v>1212.24</v>
      </c>
      <c r="K114" s="44">
        <v>5</v>
      </c>
      <c r="L114" s="45">
        <v>48.6</v>
      </c>
      <c r="M114" s="46">
        <v>416.14</v>
      </c>
      <c r="N114" s="47">
        <v>0.12</v>
      </c>
      <c r="O114" s="48">
        <f t="shared" si="65"/>
        <v>4.374</v>
      </c>
      <c r="P114" s="49">
        <f t="shared" si="71"/>
        <v>9.72</v>
      </c>
      <c r="Q114" s="31"/>
      <c r="R114" s="49">
        <f t="shared" ref="R114:R120" si="119">L114*0</f>
        <v>0</v>
      </c>
      <c r="S114" s="31"/>
      <c r="T114" s="53">
        <v>214.5</v>
      </c>
      <c r="U114" s="33">
        <f t="shared" si="86"/>
        <v>0.515451530734849</v>
      </c>
      <c r="V114" s="34">
        <f t="shared" si="109"/>
        <v>228.594</v>
      </c>
      <c r="W114" s="35">
        <f t="shared" si="66"/>
        <v>0.549319940404671</v>
      </c>
      <c r="X114" s="36">
        <f>(L114*'RESULTADO DIRETO'!N$27)/6*3</f>
        <v>5.0801971481722</v>
      </c>
      <c r="Y114" s="35">
        <f t="shared" si="73"/>
        <v>0.0122079039462013</v>
      </c>
      <c r="Z114" s="36">
        <f>(L114*'RESULTADO DIRETO'!N$15)/6*2</f>
        <v>3.08491759551487</v>
      </c>
      <c r="AA114" s="35">
        <f t="shared" si="99"/>
        <v>0.00741317247924945</v>
      </c>
      <c r="AB114" s="36">
        <f t="shared" si="67"/>
        <v>0.1301703312</v>
      </c>
      <c r="AC114" s="36">
        <f t="shared" si="111"/>
        <v>0.1301703312</v>
      </c>
      <c r="AD114" s="34">
        <f t="shared" si="118"/>
        <v>237.019455406087</v>
      </c>
      <c r="AE114" s="37">
        <f t="shared" si="68"/>
        <v>0.569566625188848</v>
      </c>
      <c r="AF114" s="36">
        <f t="shared" si="80"/>
        <v>49.9368</v>
      </c>
      <c r="AG114" s="36"/>
      <c r="AH114" s="36">
        <f t="shared" si="69"/>
        <v>21.63928</v>
      </c>
      <c r="AI114" s="34">
        <f t="shared" si="112"/>
        <v>71.57608</v>
      </c>
      <c r="AJ114" s="38">
        <f t="shared" si="113"/>
        <v>308.595535406087</v>
      </c>
      <c r="AK114" s="39">
        <f t="shared" si="100"/>
        <v>0.741566625188848</v>
      </c>
      <c r="AL114" s="38">
        <f t="shared" si="114"/>
        <v>107.544464593913</v>
      </c>
      <c r="AM114" s="40">
        <f t="shared" si="115"/>
        <v>0.258433374811152</v>
      </c>
      <c r="AN114" s="38">
        <f t="shared" si="116"/>
        <v>8.56255144032922</v>
      </c>
    </row>
    <row r="115" s="3" customFormat="1" hidden="1" spans="1:40">
      <c r="A115" s="41">
        <v>46251</v>
      </c>
      <c r="B115" s="41" t="str">
        <v>NORMAL</v>
      </c>
      <c r="C115" s="41" t="str">
        <v>DQB8989</v>
      </c>
      <c r="D115" s="42" t="str">
        <v>CTB</v>
      </c>
      <c r="E115" s="42" t="str">
        <v>PR</v>
      </c>
      <c r="F115" s="42" t="str">
        <v>EPS</v>
      </c>
      <c r="G115" s="42" t="str">
        <v>ES</v>
      </c>
      <c r="H115" s="42" t="str">
        <v>COLSON DO BRASIL LTDA</v>
      </c>
      <c r="I115" s="209" t="str">
        <v>000189591</v>
      </c>
      <c r="J115" s="43">
        <v>63774.51</v>
      </c>
      <c r="K115" s="44">
        <v>141</v>
      </c>
      <c r="L115" s="45">
        <v>733</v>
      </c>
      <c r="M115" s="46">
        <v>1226.91</v>
      </c>
      <c r="N115" s="47">
        <v>0.07</v>
      </c>
      <c r="O115" s="48">
        <f t="shared" si="65"/>
        <v>65.97</v>
      </c>
      <c r="P115" s="49">
        <f t="shared" si="71"/>
        <v>146.6</v>
      </c>
      <c r="Q115" s="31"/>
      <c r="R115" s="31"/>
      <c r="S115" s="31"/>
      <c r="T115" s="30">
        <v>588.92</v>
      </c>
      <c r="U115" s="33">
        <f t="shared" si="86"/>
        <v>0.480002608178269</v>
      </c>
      <c r="V115" s="34">
        <f t="shared" si="109"/>
        <v>801.49</v>
      </c>
      <c r="W115" s="35">
        <f t="shared" si="66"/>
        <v>0.653259000252667</v>
      </c>
      <c r="X115" s="36">
        <f>(L115*'RESULTADO DIRETO'!N$27)/6*3</f>
        <v>76.6210804446548</v>
      </c>
      <c r="Y115" s="35">
        <f t="shared" si="73"/>
        <v>0.0624504490505862</v>
      </c>
      <c r="Z115" s="36">
        <f>(L115*'RESULTADO DIRETO'!N$15)/6*4</f>
        <v>93.0553332309629</v>
      </c>
      <c r="AA115" s="35">
        <f t="shared" si="99"/>
        <v>0.0758452806081643</v>
      </c>
      <c r="AB115" s="36">
        <f t="shared" si="67"/>
        <v>6.8481068838</v>
      </c>
      <c r="AC115" s="36">
        <f t="shared" si="111"/>
        <v>6.8481068838</v>
      </c>
      <c r="AD115" s="34">
        <f t="shared" si="117"/>
        <v>984.862627443218</v>
      </c>
      <c r="AE115" s="37">
        <f t="shared" si="68"/>
        <v>0.802717907135175</v>
      </c>
      <c r="AF115" s="36">
        <f t="shared" si="80"/>
        <v>85.8837</v>
      </c>
      <c r="AG115" s="36"/>
      <c r="AH115" s="36">
        <f t="shared" si="69"/>
        <v>63.79932</v>
      </c>
      <c r="AI115" s="34">
        <f t="shared" si="112"/>
        <v>149.68302</v>
      </c>
      <c r="AJ115" s="38">
        <f t="shared" si="113"/>
        <v>1134.54564744322</v>
      </c>
      <c r="AK115" s="39">
        <f t="shared" si="100"/>
        <v>0.924717907135175</v>
      </c>
      <c r="AL115" s="38">
        <f t="shared" si="114"/>
        <v>92.3643525567823</v>
      </c>
      <c r="AM115" s="40">
        <f t="shared" si="115"/>
        <v>0.0752820928648248</v>
      </c>
      <c r="AN115" s="38">
        <f t="shared" si="116"/>
        <v>1.67381991814461</v>
      </c>
    </row>
    <row r="116" s="3" customFormat="1" hidden="1" spans="1:40">
      <c r="A116" s="41">
        <v>46251</v>
      </c>
      <c r="B116" s="41" t="str">
        <v>NORMAL</v>
      </c>
      <c r="C116" s="41" t="str">
        <v>DQB8989</v>
      </c>
      <c r="D116" s="42" t="str">
        <v>CTB</v>
      </c>
      <c r="E116" s="42" t="str">
        <v>PR</v>
      </c>
      <c r="F116" s="42" t="str">
        <v>RJO</v>
      </c>
      <c r="G116" s="42" t="str">
        <v>RJ</v>
      </c>
      <c r="H116" s="42" t="str">
        <v>COLSON DO BRASIL LTDA</v>
      </c>
      <c r="I116" s="209" t="str">
        <v>000189486</v>
      </c>
      <c r="J116" s="43">
        <v>3831.7</v>
      </c>
      <c r="K116" s="44">
        <v>10</v>
      </c>
      <c r="L116" s="45">
        <v>138.385</v>
      </c>
      <c r="M116" s="46">
        <v>493.99</v>
      </c>
      <c r="N116" s="47">
        <v>0.12</v>
      </c>
      <c r="O116" s="48">
        <f t="shared" si="65"/>
        <v>12.45465</v>
      </c>
      <c r="P116" s="49">
        <f t="shared" si="71"/>
        <v>27.677</v>
      </c>
      <c r="Q116" s="50">
        <f>L116*0.18</f>
        <v>24.9093</v>
      </c>
      <c r="R116" s="50">
        <f>M116*0.22</f>
        <v>108.6778</v>
      </c>
      <c r="S116" s="31"/>
      <c r="T116" s="51">
        <v>0</v>
      </c>
      <c r="U116" s="33">
        <f t="shared" si="86"/>
        <v>0</v>
      </c>
      <c r="V116" s="34">
        <f t="shared" ref="V116:V121" si="120">O116+P116+Q116+R116+S116+T116</f>
        <v>173.71875</v>
      </c>
      <c r="W116" s="35">
        <f t="shared" si="66"/>
        <v>0.351664507378692</v>
      </c>
      <c r="X116" s="36">
        <f>(L116*'RESULTADO DIRETO'!N$27)/6*4</f>
        <v>19.2873273621347</v>
      </c>
      <c r="Y116" s="35">
        <f t="shared" si="73"/>
        <v>0.0390439631614703</v>
      </c>
      <c r="Z116" s="36">
        <f>(L116*'RESULTADO DIRETO'!N$15)/6*3</f>
        <v>13.1761210325718</v>
      </c>
      <c r="AA116" s="35">
        <f t="shared" si="99"/>
        <v>0.026672849718763</v>
      </c>
      <c r="AB116" s="36">
        <f t="shared" si="67"/>
        <v>0.411447946</v>
      </c>
      <c r="AC116" s="36">
        <f t="shared" ref="AC116:AC121" si="121">(J116*0.01%)*7.38%+(J116*0.01%)</f>
        <v>0.411447946</v>
      </c>
      <c r="AD116" s="34">
        <f t="shared" si="117"/>
        <v>207.005094286706</v>
      </c>
      <c r="AE116" s="37">
        <f t="shared" si="68"/>
        <v>0.419047135137769</v>
      </c>
      <c r="AF116" s="36">
        <f t="shared" ref="AF116:AF147" si="122">M116*N116</f>
        <v>59.2788</v>
      </c>
      <c r="AG116" s="36"/>
      <c r="AH116" s="36">
        <f t="shared" si="69"/>
        <v>25.68748</v>
      </c>
      <c r="AI116" s="34">
        <f t="shared" ref="AI116:AI121" si="123">AF116+AG116+AH116</f>
        <v>84.96628</v>
      </c>
      <c r="AJ116" s="38">
        <f t="shared" ref="AJ116:AJ121" si="124">AD116+AI116</f>
        <v>291.971374286706</v>
      </c>
      <c r="AK116" s="39">
        <f t="shared" si="100"/>
        <v>0.591047135137769</v>
      </c>
      <c r="AL116" s="38">
        <f t="shared" ref="AL116:AL121" si="125">M116-AJ116</f>
        <v>202.018625713294</v>
      </c>
      <c r="AM116" s="40">
        <f t="shared" ref="AM116:AM121" si="126">AL116/M116</f>
        <v>0.408952864862231</v>
      </c>
      <c r="AN116" s="38">
        <f t="shared" ref="AN116:AN121" si="127">M116/L116</f>
        <v>3.56967879466705</v>
      </c>
    </row>
    <row r="117" s="3" customFormat="1" hidden="1" spans="1:40">
      <c r="A117" s="41">
        <v>46251</v>
      </c>
      <c r="B117" s="41" t="str">
        <v>NORMAL</v>
      </c>
      <c r="C117" s="41" t="str">
        <v>DQB8989</v>
      </c>
      <c r="D117" s="42" t="str">
        <v>CTB</v>
      </c>
      <c r="E117" s="42" t="str">
        <v>PR</v>
      </c>
      <c r="F117" s="42" t="str">
        <v>BHZ</v>
      </c>
      <c r="G117" s="42" t="str">
        <v>MG</v>
      </c>
      <c r="H117" s="42" t="str">
        <v>COLSON DO BRASIL LTDA</v>
      </c>
      <c r="I117" s="209" t="str">
        <v>000189613</v>
      </c>
      <c r="J117" s="43">
        <v>4131.61</v>
      </c>
      <c r="K117" s="44">
        <v>22</v>
      </c>
      <c r="L117" s="45">
        <v>154.716</v>
      </c>
      <c r="M117" s="46">
        <v>224.93</v>
      </c>
      <c r="N117" s="47">
        <v>0.12</v>
      </c>
      <c r="O117" s="48">
        <f t="shared" si="65"/>
        <v>13.92444</v>
      </c>
      <c r="P117" s="49">
        <f t="shared" si="71"/>
        <v>30.9432</v>
      </c>
      <c r="Q117" s="52">
        <f>L117*0.18</f>
        <v>27.84888</v>
      </c>
      <c r="R117" s="52">
        <f>L117*0.15</f>
        <v>23.2074</v>
      </c>
      <c r="S117" s="31"/>
      <c r="T117" s="54">
        <v>0</v>
      </c>
      <c r="U117" s="33">
        <f t="shared" si="86"/>
        <v>0</v>
      </c>
      <c r="V117" s="34">
        <f t="shared" si="120"/>
        <v>95.92392</v>
      </c>
      <c r="W117" s="35">
        <f t="shared" si="66"/>
        <v>0.42646121015427</v>
      </c>
      <c r="X117" s="36">
        <f>(L117*'RESULTADO DIRETO'!N$27)/6*4</f>
        <v>21.5634508086861</v>
      </c>
      <c r="Y117" s="35">
        <f t="shared" si="73"/>
        <v>0.0958673845582454</v>
      </c>
      <c r="Z117" s="36">
        <f>(L117*'RESULTADO DIRETO'!N$15)/6*3</f>
        <v>14.7310527996197</v>
      </c>
      <c r="AA117" s="35">
        <f t="shared" si="99"/>
        <v>0.0654917209781697</v>
      </c>
      <c r="AB117" s="36">
        <f t="shared" si="67"/>
        <v>0.4436522818</v>
      </c>
      <c r="AC117" s="36">
        <f t="shared" si="121"/>
        <v>0.4436522818</v>
      </c>
      <c r="AD117" s="34">
        <f t="shared" si="117"/>
        <v>133.105728171906</v>
      </c>
      <c r="AE117" s="37">
        <f t="shared" si="68"/>
        <v>0.591765118800986</v>
      </c>
      <c r="AF117" s="36">
        <f t="shared" si="122"/>
        <v>26.9916</v>
      </c>
      <c r="AG117" s="36"/>
      <c r="AH117" s="36">
        <f t="shared" si="69"/>
        <v>11.69636</v>
      </c>
      <c r="AI117" s="34">
        <f t="shared" si="123"/>
        <v>38.68796</v>
      </c>
      <c r="AJ117" s="38">
        <f t="shared" si="124"/>
        <v>171.793688171906</v>
      </c>
      <c r="AK117" s="39">
        <f t="shared" si="100"/>
        <v>0.763765118800986</v>
      </c>
      <c r="AL117" s="38">
        <f t="shared" si="125"/>
        <v>53.1363118280941</v>
      </c>
      <c r="AM117" s="40">
        <f t="shared" si="126"/>
        <v>0.236234881199014</v>
      </c>
      <c r="AN117" s="38">
        <f t="shared" si="127"/>
        <v>1.45382507303705</v>
      </c>
    </row>
    <row r="118" s="3" customFormat="1" hidden="1" spans="1:40">
      <c r="A118" s="41">
        <v>46252</v>
      </c>
      <c r="B118" s="41" t="str">
        <v>NORMAL</v>
      </c>
      <c r="C118" s="41" t="str">
        <v>AFF1761</v>
      </c>
      <c r="D118" s="42" t="str">
        <v>CTB</v>
      </c>
      <c r="E118" s="42" t="str">
        <v>PR</v>
      </c>
      <c r="F118" s="42" t="str">
        <v>PSP</v>
      </c>
      <c r="G118" s="42" t="str">
        <v>SP</v>
      </c>
      <c r="H118" s="42" t="str">
        <v>COLSON DO BRASIL LTDA</v>
      </c>
      <c r="I118" s="209" t="str">
        <v>000189588</v>
      </c>
      <c r="J118" s="43">
        <v>1377.77</v>
      </c>
      <c r="K118" s="44">
        <v>2</v>
      </c>
      <c r="L118" s="45">
        <v>142.14</v>
      </c>
      <c r="M118" s="46">
        <v>529.44</v>
      </c>
      <c r="N118" s="47">
        <v>0.12</v>
      </c>
      <c r="O118" s="48">
        <f t="shared" si="65"/>
        <v>12.7926</v>
      </c>
      <c r="P118" s="49">
        <f t="shared" si="71"/>
        <v>28.428</v>
      </c>
      <c r="Q118" s="31"/>
      <c r="R118" s="49">
        <f t="shared" si="119"/>
        <v>0</v>
      </c>
      <c r="S118" s="31"/>
      <c r="T118" s="53">
        <v>247.86</v>
      </c>
      <c r="U118" s="33">
        <f t="shared" ref="U118:U149" si="128">T118/M118</f>
        <v>0.468155031731641</v>
      </c>
      <c r="V118" s="34">
        <f t="shared" si="120"/>
        <v>289.0806</v>
      </c>
      <c r="W118" s="35">
        <f t="shared" si="66"/>
        <v>0.546012012692656</v>
      </c>
      <c r="X118" s="36">
        <f>(L118*'RESULTADO DIRETO'!N$27)/6*3</f>
        <v>14.8580086963209</v>
      </c>
      <c r="Y118" s="35">
        <f t="shared" si="73"/>
        <v>0.0280636308105185</v>
      </c>
      <c r="Z118" s="36">
        <f>(L118*'RESULTADO DIRETO'!N$15)/6*2</f>
        <v>9.02243183182064</v>
      </c>
      <c r="AA118" s="35">
        <f t="shared" si="99"/>
        <v>0.0170414623598909</v>
      </c>
      <c r="AB118" s="36">
        <f t="shared" si="67"/>
        <v>0.1479449426</v>
      </c>
      <c r="AC118" s="36">
        <f t="shared" si="121"/>
        <v>0.1479449426</v>
      </c>
      <c r="AD118" s="34">
        <f t="shared" si="117"/>
        <v>313.256930413342</v>
      </c>
      <c r="AE118" s="37">
        <f t="shared" si="68"/>
        <v>0.591675979172978</v>
      </c>
      <c r="AF118" s="36">
        <f t="shared" si="122"/>
        <v>63.5328</v>
      </c>
      <c r="AG118" s="36"/>
      <c r="AH118" s="36">
        <f t="shared" si="69"/>
        <v>27.53088</v>
      </c>
      <c r="AI118" s="34">
        <f t="shared" si="123"/>
        <v>91.06368</v>
      </c>
      <c r="AJ118" s="38">
        <f t="shared" si="124"/>
        <v>404.320610413342</v>
      </c>
      <c r="AK118" s="39">
        <f t="shared" si="100"/>
        <v>0.763675979172978</v>
      </c>
      <c r="AL118" s="38">
        <f t="shared" si="125"/>
        <v>125.119389586658</v>
      </c>
      <c r="AM118" s="40">
        <f t="shared" si="126"/>
        <v>0.236324020827022</v>
      </c>
      <c r="AN118" s="38">
        <f t="shared" si="127"/>
        <v>3.72477838750528</v>
      </c>
    </row>
    <row r="119" s="3" customFormat="1" spans="1:40">
      <c r="A119" s="41">
        <v>46252</v>
      </c>
      <c r="B119" s="41" t="str">
        <v>NORMAL</v>
      </c>
      <c r="C119" s="41" t="str">
        <v>AFF1761</v>
      </c>
      <c r="D119" s="42" t="str">
        <v>CTB</v>
      </c>
      <c r="E119" s="42" t="str">
        <v>PR</v>
      </c>
      <c r="F119" s="42" t="str">
        <v>PSP</v>
      </c>
      <c r="G119" s="42" t="str">
        <v>SP</v>
      </c>
      <c r="H119" s="42" t="str">
        <v>COLSON DO BRASIL LTDA</v>
      </c>
      <c r="I119" s="209" t="str">
        <v>000189631</v>
      </c>
      <c r="J119" s="43">
        <v>6854.97</v>
      </c>
      <c r="K119" s="44">
        <v>4</v>
      </c>
      <c r="L119" s="45">
        <v>45.4</v>
      </c>
      <c r="M119" s="46">
        <v>474.7</v>
      </c>
      <c r="N119" s="47">
        <v>0.12</v>
      </c>
      <c r="O119" s="48">
        <f t="shared" si="65"/>
        <v>4.086</v>
      </c>
      <c r="P119" s="49">
        <f t="shared" si="71"/>
        <v>9.08</v>
      </c>
      <c r="Q119" s="31"/>
      <c r="R119" s="49">
        <f t="shared" si="119"/>
        <v>0</v>
      </c>
      <c r="S119" s="31"/>
      <c r="T119" s="53">
        <v>214.5</v>
      </c>
      <c r="U119" s="33">
        <f t="shared" si="128"/>
        <v>0.451864335369707</v>
      </c>
      <c r="V119" s="34">
        <f t="shared" si="120"/>
        <v>227.666</v>
      </c>
      <c r="W119" s="35">
        <f t="shared" si="66"/>
        <v>0.479599747208763</v>
      </c>
      <c r="X119" s="36">
        <f>(L119*'RESULTADO DIRETO'!N$27)/6*3</f>
        <v>4.74569857051477</v>
      </c>
      <c r="Y119" s="35">
        <f t="shared" si="73"/>
        <v>0.009997258416926</v>
      </c>
      <c r="Z119" s="36">
        <f>(L119*'RESULTADO DIRETO'!N$15)/6*2</f>
        <v>2.88179544930813</v>
      </c>
      <c r="AA119" s="35">
        <f t="shared" si="99"/>
        <v>0.00607077195978118</v>
      </c>
      <c r="AB119" s="36">
        <f t="shared" si="67"/>
        <v>0.7360866786</v>
      </c>
      <c r="AC119" s="36">
        <f t="shared" si="121"/>
        <v>0.7360866786</v>
      </c>
      <c r="AD119" s="34">
        <f t="shared" si="117"/>
        <v>236.765667377023</v>
      </c>
      <c r="AE119" s="37">
        <f t="shared" si="68"/>
        <v>0.49876904861391</v>
      </c>
      <c r="AF119" s="36">
        <f t="shared" si="122"/>
        <v>56.964</v>
      </c>
      <c r="AG119" s="36"/>
      <c r="AH119" s="36">
        <f t="shared" si="69"/>
        <v>24.6844</v>
      </c>
      <c r="AI119" s="34">
        <f t="shared" si="123"/>
        <v>81.6484</v>
      </c>
      <c r="AJ119" s="38">
        <f t="shared" si="124"/>
        <v>318.414067377023</v>
      </c>
      <c r="AK119" s="39">
        <f t="shared" si="100"/>
        <v>0.67076904861391</v>
      </c>
      <c r="AL119" s="38">
        <f t="shared" si="125"/>
        <v>156.285932622977</v>
      </c>
      <c r="AM119" s="40">
        <f t="shared" si="126"/>
        <v>0.32923095138609</v>
      </c>
      <c r="AN119" s="38">
        <f t="shared" si="127"/>
        <v>10.4559471365639</v>
      </c>
    </row>
    <row r="120" s="3" customFormat="1" hidden="1" spans="1:40">
      <c r="A120" s="41">
        <v>46252</v>
      </c>
      <c r="B120" s="41" t="str">
        <v>NORMAL</v>
      </c>
      <c r="C120" s="41" t="str">
        <v>AFF1761</v>
      </c>
      <c r="D120" s="42" t="str">
        <v>CTB</v>
      </c>
      <c r="E120" s="42" t="str">
        <v>PR</v>
      </c>
      <c r="F120" s="42" t="str">
        <v>PSP</v>
      </c>
      <c r="G120" s="42" t="str">
        <v>SP</v>
      </c>
      <c r="H120" s="42" t="str">
        <v>COLSON DO BRASIL LTDA</v>
      </c>
      <c r="I120" s="209" t="str">
        <v>000189675</v>
      </c>
      <c r="J120" s="43">
        <v>2205.45</v>
      </c>
      <c r="K120" s="44">
        <v>8</v>
      </c>
      <c r="L120" s="45">
        <v>54.357</v>
      </c>
      <c r="M120" s="46">
        <v>207.11</v>
      </c>
      <c r="N120" s="47">
        <v>0.12</v>
      </c>
      <c r="O120" s="48">
        <f t="shared" si="65"/>
        <v>4.89213</v>
      </c>
      <c r="P120" s="49">
        <f t="shared" si="71"/>
        <v>10.8714</v>
      </c>
      <c r="Q120" s="31"/>
      <c r="R120" s="49">
        <f t="shared" si="119"/>
        <v>0</v>
      </c>
      <c r="S120" s="31"/>
      <c r="T120" s="53">
        <v>60.5</v>
      </c>
      <c r="U120" s="33">
        <f t="shared" si="128"/>
        <v>0.292115301047752</v>
      </c>
      <c r="V120" s="34">
        <f t="shared" si="120"/>
        <v>76.26353</v>
      </c>
      <c r="W120" s="35">
        <f t="shared" si="66"/>
        <v>0.368227173965526</v>
      </c>
      <c r="X120" s="36">
        <f>(L120*'RESULTADO DIRETO'!N$27)/6*3</f>
        <v>5.68198099553902</v>
      </c>
      <c r="Y120" s="35">
        <f t="shared" si="73"/>
        <v>0.0274346047778428</v>
      </c>
      <c r="Z120" s="36">
        <f>(L120*'RESULTADO DIRETO'!N$15)/6*2</f>
        <v>3.45034703167493</v>
      </c>
      <c r="AA120" s="35">
        <f t="shared" si="99"/>
        <v>0.0166594902789577</v>
      </c>
      <c r="AB120" s="36">
        <f t="shared" si="67"/>
        <v>0.236821221</v>
      </c>
      <c r="AC120" s="36">
        <f t="shared" si="121"/>
        <v>0.236821221</v>
      </c>
      <c r="AD120" s="34">
        <f t="shared" si="117"/>
        <v>85.869500469214</v>
      </c>
      <c r="AE120" s="37">
        <f t="shared" si="68"/>
        <v>0.41460818149396</v>
      </c>
      <c r="AF120" s="36">
        <f t="shared" si="122"/>
        <v>24.8532</v>
      </c>
      <c r="AG120" s="36"/>
      <c r="AH120" s="36">
        <f t="shared" si="69"/>
        <v>10.76972</v>
      </c>
      <c r="AI120" s="34">
        <f t="shared" si="123"/>
        <v>35.62292</v>
      </c>
      <c r="AJ120" s="38">
        <f t="shared" si="124"/>
        <v>121.492420469214</v>
      </c>
      <c r="AK120" s="39">
        <f t="shared" si="100"/>
        <v>0.586608181493959</v>
      </c>
      <c r="AL120" s="38">
        <f t="shared" si="125"/>
        <v>85.6175795307861</v>
      </c>
      <c r="AM120" s="40">
        <f t="shared" si="126"/>
        <v>0.413391818506041</v>
      </c>
      <c r="AN120" s="38">
        <f t="shared" si="127"/>
        <v>3.81018084147396</v>
      </c>
    </row>
    <row r="121" s="3" customFormat="1" hidden="1" spans="1:40">
      <c r="A121" s="41">
        <v>46251</v>
      </c>
      <c r="B121" s="41" t="str">
        <v>NORMAL</v>
      </c>
      <c r="C121" s="41" t="str">
        <v>DQB8989</v>
      </c>
      <c r="D121" s="42" t="str">
        <v>CTB</v>
      </c>
      <c r="E121" s="42" t="str">
        <v>PR</v>
      </c>
      <c r="F121" s="42" t="str">
        <v>SPO</v>
      </c>
      <c r="G121" s="42" t="str">
        <v>SP</v>
      </c>
      <c r="H121" s="42" t="str">
        <v>COLSON DO BRASIL LTDA</v>
      </c>
      <c r="I121" s="209" t="str">
        <v>000189598</v>
      </c>
      <c r="J121" s="43">
        <v>1945.06</v>
      </c>
      <c r="K121" s="44">
        <v>6</v>
      </c>
      <c r="L121" s="45">
        <v>61.5</v>
      </c>
      <c r="M121" s="46">
        <v>425.59</v>
      </c>
      <c r="N121" s="47">
        <v>0.12</v>
      </c>
      <c r="O121" s="48">
        <f t="shared" si="65"/>
        <v>5.535</v>
      </c>
      <c r="P121" s="49">
        <f t="shared" si="71"/>
        <v>12.3</v>
      </c>
      <c r="Q121" s="31"/>
      <c r="R121" s="49">
        <f>L121*0.19</f>
        <v>11.685</v>
      </c>
      <c r="S121" s="31"/>
      <c r="T121" s="30">
        <v>0</v>
      </c>
      <c r="U121" s="33">
        <f t="shared" si="128"/>
        <v>0</v>
      </c>
      <c r="V121" s="34">
        <f t="shared" ref="V121:V160" si="129">O121+P121+Q121+R121+S121+T121</f>
        <v>29.52</v>
      </c>
      <c r="W121" s="35">
        <f t="shared" si="66"/>
        <v>0.06936253201438</v>
      </c>
      <c r="X121" s="36">
        <f>(L121*'RESULTADO DIRETO'!N$27)/6*3</f>
        <v>6.42864453935371</v>
      </c>
      <c r="Y121" s="35">
        <f t="shared" si="73"/>
        <v>0.015105252800474</v>
      </c>
      <c r="Z121" s="36">
        <f>(L121*'RESULTADO DIRETO'!N$15)/6*2</f>
        <v>3.90375374741079</v>
      </c>
      <c r="AA121" s="35">
        <f t="shared" si="99"/>
        <v>0.00917256925071263</v>
      </c>
      <c r="AB121" s="36">
        <f t="shared" si="67"/>
        <v>0.2088605428</v>
      </c>
      <c r="AC121" s="36">
        <f t="shared" si="121"/>
        <v>0.2088605428</v>
      </c>
      <c r="AD121" s="34">
        <f t="shared" si="117"/>
        <v>40.2701193723645</v>
      </c>
      <c r="AE121" s="37">
        <f t="shared" si="68"/>
        <v>0.0946218646405331</v>
      </c>
      <c r="AF121" s="36">
        <f t="shared" si="122"/>
        <v>51.0708</v>
      </c>
      <c r="AG121" s="36"/>
      <c r="AH121" s="36">
        <f t="shared" si="69"/>
        <v>22.13068</v>
      </c>
      <c r="AI121" s="34">
        <f t="shared" si="123"/>
        <v>73.20148</v>
      </c>
      <c r="AJ121" s="38">
        <f t="shared" si="124"/>
        <v>113.471599372364</v>
      </c>
      <c r="AK121" s="39">
        <f t="shared" si="100"/>
        <v>0.266621864640533</v>
      </c>
      <c r="AL121" s="38">
        <f t="shared" si="125"/>
        <v>312.118400627635</v>
      </c>
      <c r="AM121" s="40">
        <f t="shared" si="126"/>
        <v>0.733378135359467</v>
      </c>
      <c r="AN121" s="38">
        <f t="shared" si="127"/>
        <v>6.92016260162602</v>
      </c>
    </row>
    <row r="122" s="3" customFormat="1" hidden="1" spans="1:40">
      <c r="A122" s="41">
        <v>46251</v>
      </c>
      <c r="B122" s="41" t="str">
        <v>NORMAL</v>
      </c>
      <c r="C122" s="41" t="str">
        <v>DQB8989</v>
      </c>
      <c r="D122" s="42" t="str">
        <v>CTB</v>
      </c>
      <c r="E122" s="42" t="str">
        <v>PR</v>
      </c>
      <c r="F122" s="42" t="str">
        <v>RJO</v>
      </c>
      <c r="G122" s="42" t="str">
        <v>RJ</v>
      </c>
      <c r="H122" s="42" t="str">
        <v>COLSON DO BRASIL LTDA</v>
      </c>
      <c r="I122" s="209" t="str">
        <v>000189577</v>
      </c>
      <c r="J122" s="43">
        <v>2623.05</v>
      </c>
      <c r="K122" s="44">
        <v>6</v>
      </c>
      <c r="L122" s="45">
        <v>70.835</v>
      </c>
      <c r="M122" s="46">
        <v>453.18</v>
      </c>
      <c r="N122" s="47">
        <v>0.12</v>
      </c>
      <c r="O122" s="48">
        <f t="shared" si="65"/>
        <v>6.37515</v>
      </c>
      <c r="P122" s="49">
        <f t="shared" si="71"/>
        <v>14.167</v>
      </c>
      <c r="Q122" s="50">
        <f t="shared" ref="Q122:Q126" si="130">L122*0.18</f>
        <v>12.7503</v>
      </c>
      <c r="R122" s="50">
        <f t="shared" ref="R122:R124" si="131">M122*0.22</f>
        <v>99.6996</v>
      </c>
      <c r="S122" s="31"/>
      <c r="T122" s="51">
        <v>0</v>
      </c>
      <c r="U122" s="33">
        <f t="shared" si="128"/>
        <v>0</v>
      </c>
      <c r="V122" s="34">
        <f t="shared" si="129"/>
        <v>132.99205</v>
      </c>
      <c r="W122" s="35">
        <f t="shared" si="66"/>
        <v>0.293464076084558</v>
      </c>
      <c r="X122" s="36">
        <f>(L122*'RESULTADO DIRETO'!N$27)/6*4</f>
        <v>9.87258614515165</v>
      </c>
      <c r="Y122" s="35">
        <f t="shared" si="73"/>
        <v>0.02178513205603</v>
      </c>
      <c r="Z122" s="36">
        <f>(L122*'RESULTADO DIRETO'!N$15)/6*3</f>
        <v>6.7444486999474</v>
      </c>
      <c r="AA122" s="35">
        <f t="shared" si="99"/>
        <v>0.0148824941523178</v>
      </c>
      <c r="AB122" s="36">
        <f t="shared" si="67"/>
        <v>0.281663109</v>
      </c>
      <c r="AC122" s="36">
        <f t="shared" ref="AC122:AC127" si="132">(J122*0.01%)*7.38%+(J122*0.01%)</f>
        <v>0.281663109</v>
      </c>
      <c r="AD122" s="34">
        <f t="shared" ref="AD122:AD129" si="133">V122+X122+Z122+AB122+AC122</f>
        <v>150.172411063099</v>
      </c>
      <c r="AE122" s="37">
        <f t="shared" si="68"/>
        <v>0.331374754100135</v>
      </c>
      <c r="AF122" s="36">
        <f t="shared" si="122"/>
        <v>54.3816</v>
      </c>
      <c r="AG122" s="36"/>
      <c r="AH122" s="36">
        <f t="shared" si="69"/>
        <v>23.56536</v>
      </c>
      <c r="AI122" s="34">
        <f t="shared" ref="AI122:AI127" si="134">AF122+AG122+AH122</f>
        <v>77.94696</v>
      </c>
      <c r="AJ122" s="38">
        <f t="shared" ref="AJ122:AJ127" si="135">AD122+AI122</f>
        <v>228.119371063099</v>
      </c>
      <c r="AK122" s="39">
        <f t="shared" si="100"/>
        <v>0.503374754100135</v>
      </c>
      <c r="AL122" s="38">
        <f t="shared" ref="AL122:AL127" si="136">M122-AJ122</f>
        <v>225.060628936901</v>
      </c>
      <c r="AM122" s="40">
        <f t="shared" ref="AM122:AM127" si="137">AL122/M122</f>
        <v>0.496625245899865</v>
      </c>
      <c r="AN122" s="38">
        <f t="shared" ref="AN122:AN127" si="138">M122/L122</f>
        <v>6.39768476035858</v>
      </c>
    </row>
    <row r="123" s="3" customFormat="1" hidden="1" spans="1:40">
      <c r="A123" s="41">
        <v>46251</v>
      </c>
      <c r="B123" s="41" t="str">
        <v>NORMAL</v>
      </c>
      <c r="C123" s="41" t="str">
        <v>DQB8989</v>
      </c>
      <c r="D123" s="42" t="str">
        <v>CTB</v>
      </c>
      <c r="E123" s="42" t="str">
        <v>PR</v>
      </c>
      <c r="F123" s="42" t="str">
        <v>RJO</v>
      </c>
      <c r="G123" s="42" t="str">
        <v>RJ</v>
      </c>
      <c r="H123" s="42" t="str">
        <v>COLSON DO BRASIL LTDA</v>
      </c>
      <c r="I123" s="209" t="str">
        <v>000189572</v>
      </c>
      <c r="J123" s="43">
        <v>2566.32</v>
      </c>
      <c r="K123" s="44">
        <v>10</v>
      </c>
      <c r="L123" s="45">
        <v>88.95</v>
      </c>
      <c r="M123" s="46">
        <v>452.86</v>
      </c>
      <c r="N123" s="47">
        <v>0.12</v>
      </c>
      <c r="O123" s="48">
        <f t="shared" si="65"/>
        <v>8.0055</v>
      </c>
      <c r="P123" s="49">
        <f t="shared" si="71"/>
        <v>17.79</v>
      </c>
      <c r="Q123" s="50">
        <f t="shared" si="130"/>
        <v>16.011</v>
      </c>
      <c r="R123" s="50">
        <f t="shared" si="131"/>
        <v>99.6292</v>
      </c>
      <c r="S123" s="31"/>
      <c r="T123" s="51">
        <v>0</v>
      </c>
      <c r="U123" s="33">
        <f t="shared" si="128"/>
        <v>0</v>
      </c>
      <c r="V123" s="34">
        <f t="shared" si="129"/>
        <v>141.4357</v>
      </c>
      <c r="W123" s="35">
        <f t="shared" si="66"/>
        <v>0.312316609989842</v>
      </c>
      <c r="X123" s="36">
        <f>(L123*'RESULTADO DIRETO'!N$27)/6*4</f>
        <v>12.3973535344285</v>
      </c>
      <c r="Y123" s="35">
        <f t="shared" si="73"/>
        <v>0.0273756868224804</v>
      </c>
      <c r="Z123" s="36">
        <f>(L123*'RESULTADO DIRETO'!N$15)/6*3</f>
        <v>8.46924136176073</v>
      </c>
      <c r="AA123" s="35">
        <f t="shared" si="99"/>
        <v>0.018701676813498</v>
      </c>
      <c r="AB123" s="36">
        <f t="shared" si="67"/>
        <v>0.2755714416</v>
      </c>
      <c r="AC123" s="36">
        <f t="shared" si="132"/>
        <v>0.2755714416</v>
      </c>
      <c r="AD123" s="34">
        <f t="shared" si="133"/>
        <v>162.853437779389</v>
      </c>
      <c r="AE123" s="37">
        <f t="shared" si="68"/>
        <v>0.359611000705271</v>
      </c>
      <c r="AF123" s="36">
        <f t="shared" si="122"/>
        <v>54.3432</v>
      </c>
      <c r="AG123" s="36"/>
      <c r="AH123" s="36">
        <f t="shared" si="69"/>
        <v>23.54872</v>
      </c>
      <c r="AI123" s="34">
        <f t="shared" si="134"/>
        <v>77.89192</v>
      </c>
      <c r="AJ123" s="38">
        <f t="shared" si="135"/>
        <v>240.745357779389</v>
      </c>
      <c r="AK123" s="39">
        <f t="shared" si="100"/>
        <v>0.531611000705271</v>
      </c>
      <c r="AL123" s="38">
        <f t="shared" si="136"/>
        <v>212.114642220611</v>
      </c>
      <c r="AM123" s="40">
        <f t="shared" si="137"/>
        <v>0.468388999294729</v>
      </c>
      <c r="AN123" s="38">
        <f t="shared" si="138"/>
        <v>5.0911748173131</v>
      </c>
    </row>
    <row r="124" s="3" customFormat="1" hidden="1" spans="1:40">
      <c r="A124" s="41">
        <v>46251</v>
      </c>
      <c r="B124" s="41" t="str">
        <v>NORMAL</v>
      </c>
      <c r="C124" s="41" t="str">
        <v>DQB8989</v>
      </c>
      <c r="D124" s="42" t="str">
        <v>CTB</v>
      </c>
      <c r="E124" s="42" t="str">
        <v>PR</v>
      </c>
      <c r="F124" s="42" t="str">
        <v>RJO</v>
      </c>
      <c r="G124" s="42" t="str">
        <v>RJ</v>
      </c>
      <c r="H124" s="42" t="str">
        <v>COLSON DO BRASIL LTDA</v>
      </c>
      <c r="I124" s="209" t="str">
        <v>000189569</v>
      </c>
      <c r="J124" s="43">
        <v>2378.92</v>
      </c>
      <c r="K124" s="44">
        <v>8</v>
      </c>
      <c r="L124" s="45">
        <v>82.05</v>
      </c>
      <c r="M124" s="46">
        <v>451.81</v>
      </c>
      <c r="N124" s="47">
        <v>0.12</v>
      </c>
      <c r="O124" s="48">
        <f t="shared" si="65"/>
        <v>7.3845</v>
      </c>
      <c r="P124" s="49">
        <f t="shared" si="71"/>
        <v>16.41</v>
      </c>
      <c r="Q124" s="50">
        <f t="shared" si="130"/>
        <v>14.769</v>
      </c>
      <c r="R124" s="50">
        <f t="shared" si="131"/>
        <v>99.3982</v>
      </c>
      <c r="S124" s="31"/>
      <c r="T124" s="51">
        <v>0</v>
      </c>
      <c r="U124" s="33">
        <f t="shared" si="128"/>
        <v>0</v>
      </c>
      <c r="V124" s="34">
        <f t="shared" si="129"/>
        <v>137.9617</v>
      </c>
      <c r="W124" s="35">
        <f t="shared" si="66"/>
        <v>0.305353356499413</v>
      </c>
      <c r="X124" s="36">
        <f>(L124*'RESULTADO DIRETO'!N$27)/6*4</f>
        <v>11.4356701236633</v>
      </c>
      <c r="Y124" s="35">
        <f t="shared" si="73"/>
        <v>0.0253107946341678</v>
      </c>
      <c r="Z124" s="36">
        <f>(L124*'RESULTADO DIRETO'!N$15)/6*3</f>
        <v>7.8122681701233</v>
      </c>
      <c r="AA124" s="35">
        <f t="shared" si="99"/>
        <v>0.0172910474981149</v>
      </c>
      <c r="AB124" s="36">
        <f t="shared" si="67"/>
        <v>0.2554484296</v>
      </c>
      <c r="AC124" s="36">
        <f t="shared" si="132"/>
        <v>0.2554484296</v>
      </c>
      <c r="AD124" s="34">
        <f t="shared" si="133"/>
        <v>157.720535152987</v>
      </c>
      <c r="AE124" s="37">
        <f t="shared" si="68"/>
        <v>0.34908597674462</v>
      </c>
      <c r="AF124" s="36">
        <f t="shared" si="122"/>
        <v>54.2172</v>
      </c>
      <c r="AG124" s="36"/>
      <c r="AH124" s="36">
        <f t="shared" si="69"/>
        <v>23.49412</v>
      </c>
      <c r="AI124" s="34">
        <f t="shared" si="134"/>
        <v>77.71132</v>
      </c>
      <c r="AJ124" s="38">
        <f t="shared" si="135"/>
        <v>235.431855152987</v>
      </c>
      <c r="AK124" s="39">
        <f t="shared" si="100"/>
        <v>0.52108597674462</v>
      </c>
      <c r="AL124" s="38">
        <f t="shared" si="136"/>
        <v>216.378144847013</v>
      </c>
      <c r="AM124" s="40">
        <f t="shared" si="137"/>
        <v>0.47891402325538</v>
      </c>
      <c r="AN124" s="38">
        <f t="shared" si="138"/>
        <v>5.50652041438147</v>
      </c>
    </row>
    <row r="125" s="3" customFormat="1" hidden="1" spans="1:40">
      <c r="A125" s="41">
        <v>46252</v>
      </c>
      <c r="B125" s="41" t="str">
        <v>NORMAL</v>
      </c>
      <c r="C125" s="41" t="str">
        <v>AFF1761</v>
      </c>
      <c r="D125" s="42" t="str">
        <v>CTB</v>
      </c>
      <c r="E125" s="42" t="str">
        <v>PR</v>
      </c>
      <c r="F125" s="42" t="str">
        <v>TAM</v>
      </c>
      <c r="G125" s="42" t="str">
        <v>MG</v>
      </c>
      <c r="H125" s="42" t="str">
        <v>COLSON DO BRASIL LTDA</v>
      </c>
      <c r="I125" s="209" t="str">
        <v>000189638</v>
      </c>
      <c r="J125" s="43">
        <v>805.75</v>
      </c>
      <c r="K125" s="44">
        <v>1</v>
      </c>
      <c r="L125" s="45">
        <v>142.14</v>
      </c>
      <c r="M125" s="46">
        <v>217.48</v>
      </c>
      <c r="N125" s="47">
        <v>0.12</v>
      </c>
      <c r="O125" s="48">
        <f t="shared" si="65"/>
        <v>12.7926</v>
      </c>
      <c r="P125" s="49">
        <f t="shared" si="71"/>
        <v>28.428</v>
      </c>
      <c r="Q125" s="52">
        <f t="shared" si="130"/>
        <v>25.5852</v>
      </c>
      <c r="R125" s="52">
        <f>L125*0.15</f>
        <v>21.321</v>
      </c>
      <c r="S125" s="31"/>
      <c r="T125" s="53">
        <v>71.07</v>
      </c>
      <c r="U125" s="33">
        <f t="shared" si="128"/>
        <v>0.326788670222549</v>
      </c>
      <c r="V125" s="34">
        <f t="shared" si="129"/>
        <v>159.1968</v>
      </c>
      <c r="W125" s="35">
        <f t="shared" si="66"/>
        <v>0.73200662129851</v>
      </c>
      <c r="X125" s="36">
        <f>(L125*'RESULTADO DIRETO'!N$27)/6*4</f>
        <v>19.8106782617612</v>
      </c>
      <c r="Y125" s="35">
        <f t="shared" si="73"/>
        <v>0.0910919544866711</v>
      </c>
      <c r="Z125" s="36">
        <f>(L125*'RESULTADO DIRETO'!N$15)/6*3</f>
        <v>13.533647747731</v>
      </c>
      <c r="AA125" s="35">
        <f t="shared" si="99"/>
        <v>0.0622293900484227</v>
      </c>
      <c r="AB125" s="36">
        <f t="shared" si="67"/>
        <v>0.086521435</v>
      </c>
      <c r="AC125" s="36">
        <f t="shared" si="132"/>
        <v>0.086521435</v>
      </c>
      <c r="AD125" s="34">
        <f t="shared" si="133"/>
        <v>192.714168879492</v>
      </c>
      <c r="AE125" s="37">
        <f t="shared" si="68"/>
        <v>0.886123638401196</v>
      </c>
      <c r="AF125" s="36">
        <f t="shared" si="122"/>
        <v>26.0976</v>
      </c>
      <c r="AG125" s="36"/>
      <c r="AH125" s="36">
        <f t="shared" si="69"/>
        <v>11.30896</v>
      </c>
      <c r="AI125" s="34">
        <f t="shared" si="134"/>
        <v>37.40656</v>
      </c>
      <c r="AJ125" s="38">
        <f t="shared" si="135"/>
        <v>230.120728879492</v>
      </c>
      <c r="AK125" s="39">
        <f t="shared" si="100"/>
        <v>1.0581236384012</v>
      </c>
      <c r="AL125" s="38">
        <f t="shared" si="136"/>
        <v>-12.6407288794922</v>
      </c>
      <c r="AM125" s="40">
        <f t="shared" si="137"/>
        <v>-0.0581236384011963</v>
      </c>
      <c r="AN125" s="38">
        <f t="shared" si="138"/>
        <v>1.5300408048403</v>
      </c>
    </row>
    <row r="126" s="3" customFormat="1" hidden="1" spans="1:40">
      <c r="A126" s="41">
        <v>46252</v>
      </c>
      <c r="B126" s="41" t="str">
        <v>NORMAL</v>
      </c>
      <c r="C126" s="41" t="str">
        <v>AFF1761</v>
      </c>
      <c r="D126" s="42" t="str">
        <v>CTB</v>
      </c>
      <c r="E126" s="42" t="str">
        <v>PR</v>
      </c>
      <c r="F126" s="42" t="str">
        <v>TAM</v>
      </c>
      <c r="G126" s="42" t="str">
        <v>MG</v>
      </c>
      <c r="H126" s="42" t="str">
        <v>COLSON DO BRASIL LTDA</v>
      </c>
      <c r="I126" s="209" t="str">
        <v>000189640</v>
      </c>
      <c r="J126" s="43">
        <v>6287.11</v>
      </c>
      <c r="K126" s="44">
        <v>24</v>
      </c>
      <c r="L126" s="45">
        <v>201.01</v>
      </c>
      <c r="M126" s="46">
        <v>322.08</v>
      </c>
      <c r="N126" s="47">
        <v>0.12</v>
      </c>
      <c r="O126" s="48">
        <f t="shared" si="65"/>
        <v>18.0909</v>
      </c>
      <c r="P126" s="49">
        <f t="shared" si="71"/>
        <v>40.202</v>
      </c>
      <c r="Q126" s="52">
        <f t="shared" si="130"/>
        <v>36.1818</v>
      </c>
      <c r="R126" s="52">
        <f>L126*0.15</f>
        <v>30.1515</v>
      </c>
      <c r="S126" s="31"/>
      <c r="T126" s="53">
        <v>100.51</v>
      </c>
      <c r="U126" s="33">
        <f t="shared" si="128"/>
        <v>0.312065325384998</v>
      </c>
      <c r="V126" s="34">
        <f t="shared" si="129"/>
        <v>225.1362</v>
      </c>
      <c r="W126" s="35">
        <f t="shared" si="66"/>
        <v>0.699007078986587</v>
      </c>
      <c r="X126" s="36">
        <f>(L126*'RESULTADO DIRETO'!N$27)/6*4</f>
        <v>28.0156496228832</v>
      </c>
      <c r="Y126" s="35">
        <f t="shared" si="73"/>
        <v>0.0869835122419375</v>
      </c>
      <c r="Z126" s="36">
        <f>(L126*'RESULTADO DIRETO'!N$15)/6*3</f>
        <v>19.1388668479767</v>
      </c>
      <c r="AA126" s="35">
        <f t="shared" si="99"/>
        <v>0.059422711276629</v>
      </c>
      <c r="AB126" s="36">
        <f t="shared" si="67"/>
        <v>0.6751098718</v>
      </c>
      <c r="AC126" s="36">
        <f t="shared" si="132"/>
        <v>0.6751098718</v>
      </c>
      <c r="AD126" s="34">
        <f t="shared" si="133"/>
        <v>273.64093621446</v>
      </c>
      <c r="AE126" s="37">
        <f t="shared" si="68"/>
        <v>0.849605489985283</v>
      </c>
      <c r="AF126" s="36">
        <f t="shared" si="122"/>
        <v>38.6496</v>
      </c>
      <c r="AG126" s="36"/>
      <c r="AH126" s="36">
        <f t="shared" si="69"/>
        <v>16.74816</v>
      </c>
      <c r="AI126" s="34">
        <f t="shared" si="134"/>
        <v>55.39776</v>
      </c>
      <c r="AJ126" s="38">
        <f t="shared" si="135"/>
        <v>329.03869621446</v>
      </c>
      <c r="AK126" s="39">
        <f t="shared" si="100"/>
        <v>1.02160548998528</v>
      </c>
      <c r="AL126" s="38">
        <f t="shared" si="136"/>
        <v>-6.95869621445985</v>
      </c>
      <c r="AM126" s="40">
        <f t="shared" si="137"/>
        <v>-0.0216054899852827</v>
      </c>
      <c r="AN126" s="38">
        <f t="shared" si="138"/>
        <v>1.60230834286851</v>
      </c>
    </row>
    <row r="127" s="3" customFormat="1" spans="1:40">
      <c r="A127" s="41">
        <v>46254</v>
      </c>
      <c r="B127" s="41" t="str">
        <v>NORMAL</v>
      </c>
      <c r="C127" s="41" t="str">
        <v>DQB8989</v>
      </c>
      <c r="D127" s="42" t="str">
        <v>CTB</v>
      </c>
      <c r="E127" s="42" t="str">
        <v>PR</v>
      </c>
      <c r="F127" s="42" t="str">
        <v>PSP</v>
      </c>
      <c r="G127" s="42" t="str">
        <v>SP</v>
      </c>
      <c r="H127" s="42" t="str">
        <v>COLSON DO BRASIL LTDA</v>
      </c>
      <c r="I127" s="209" t="str">
        <v>000189899</v>
      </c>
      <c r="J127" s="43">
        <v>1497.2</v>
      </c>
      <c r="K127" s="44">
        <v>5</v>
      </c>
      <c r="L127" s="45">
        <v>48.235</v>
      </c>
      <c r="M127" s="46">
        <v>160.18</v>
      </c>
      <c r="N127" s="47">
        <v>0.12</v>
      </c>
      <c r="O127" s="48">
        <f t="shared" si="65"/>
        <v>4.34115</v>
      </c>
      <c r="P127" s="49">
        <f t="shared" si="71"/>
        <v>9.647</v>
      </c>
      <c r="Q127" s="31"/>
      <c r="R127" s="49">
        <f t="shared" ref="R127:R131" si="139">L127*0</f>
        <v>0</v>
      </c>
      <c r="S127" s="31"/>
      <c r="T127" s="53">
        <v>49.5</v>
      </c>
      <c r="U127" s="33">
        <f t="shared" si="128"/>
        <v>0.309027344237733</v>
      </c>
      <c r="V127" s="34">
        <f t="shared" si="129"/>
        <v>63.48815</v>
      </c>
      <c r="W127" s="35">
        <f t="shared" si="66"/>
        <v>0.396355038082158</v>
      </c>
      <c r="X127" s="36">
        <f>(L127*'RESULTADO DIRETO'!N$27)/6*3</f>
        <v>5.04204340415815</v>
      </c>
      <c r="Y127" s="35">
        <f t="shared" si="73"/>
        <v>0.0314773592468357</v>
      </c>
      <c r="Z127" s="36">
        <f>(L127*'RESULTADO DIRETO'!N$15)/6*2</f>
        <v>3.06174897571316</v>
      </c>
      <c r="AA127" s="35">
        <f t="shared" si="99"/>
        <v>0.0191144273674189</v>
      </c>
      <c r="AB127" s="36">
        <f t="shared" si="67"/>
        <v>0.160769336</v>
      </c>
      <c r="AC127" s="36">
        <f t="shared" si="132"/>
        <v>0.160769336</v>
      </c>
      <c r="AD127" s="34">
        <f t="shared" si="133"/>
        <v>71.9134810518713</v>
      </c>
      <c r="AE127" s="37">
        <f t="shared" si="68"/>
        <v>0.448954183118188</v>
      </c>
      <c r="AF127" s="36">
        <f t="shared" si="122"/>
        <v>19.2216</v>
      </c>
      <c r="AG127" s="36"/>
      <c r="AH127" s="36">
        <f t="shared" si="69"/>
        <v>8.32936</v>
      </c>
      <c r="AI127" s="34">
        <f t="shared" si="134"/>
        <v>27.55096</v>
      </c>
      <c r="AJ127" s="38">
        <f t="shared" si="135"/>
        <v>99.4644410518713</v>
      </c>
      <c r="AK127" s="39">
        <f t="shared" si="100"/>
        <v>0.620954183118188</v>
      </c>
      <c r="AL127" s="38">
        <f t="shared" si="136"/>
        <v>60.7155589481287</v>
      </c>
      <c r="AM127" s="40">
        <f t="shared" si="137"/>
        <v>0.379045816881812</v>
      </c>
      <c r="AN127" s="38">
        <f t="shared" si="138"/>
        <v>3.32082512698248</v>
      </c>
    </row>
    <row r="128" s="3" customFormat="1" hidden="1" spans="1:40">
      <c r="A128" s="41">
        <v>46252</v>
      </c>
      <c r="B128" s="41" t="str">
        <v>NORMAL</v>
      </c>
      <c r="C128" s="41" t="str">
        <v>AFF1761</v>
      </c>
      <c r="D128" s="42" t="str">
        <v>CTB</v>
      </c>
      <c r="E128" s="42" t="str">
        <v>PR</v>
      </c>
      <c r="F128" s="42" t="str">
        <v>RJO</v>
      </c>
      <c r="G128" s="42" t="str">
        <v>RJ</v>
      </c>
      <c r="H128" s="42" t="str">
        <v>COLSON DO BRASIL LTDA</v>
      </c>
      <c r="I128" s="209" t="str">
        <v>000189603</v>
      </c>
      <c r="J128" s="43">
        <v>5480.29</v>
      </c>
      <c r="K128" s="44">
        <v>12</v>
      </c>
      <c r="L128" s="45">
        <v>140.69</v>
      </c>
      <c r="M128" s="46">
        <v>505.72</v>
      </c>
      <c r="N128" s="47">
        <v>0.12</v>
      </c>
      <c r="O128" s="48">
        <f t="shared" si="65"/>
        <v>12.6621</v>
      </c>
      <c r="P128" s="49">
        <f t="shared" si="71"/>
        <v>28.138</v>
      </c>
      <c r="Q128" s="50">
        <f>L128*0.18</f>
        <v>25.3242</v>
      </c>
      <c r="R128" s="50">
        <f>M128*0.22</f>
        <v>111.2584</v>
      </c>
      <c r="S128" s="31"/>
      <c r="T128" s="51">
        <v>0</v>
      </c>
      <c r="U128" s="33">
        <f t="shared" si="128"/>
        <v>0</v>
      </c>
      <c r="V128" s="34">
        <f t="shared" si="129"/>
        <v>177.3827</v>
      </c>
      <c r="W128" s="35">
        <f t="shared" si="66"/>
        <v>0.350752788104089</v>
      </c>
      <c r="X128" s="36">
        <f>(L128*'RESULTADO DIRETO'!N$27)/6*4</f>
        <v>19.6085853710932</v>
      </c>
      <c r="Y128" s="35">
        <f t="shared" si="73"/>
        <v>0.0387736007496108</v>
      </c>
      <c r="Z128" s="36">
        <f>(L128*'RESULTADO DIRETO'!N$15)/6*3</f>
        <v>13.3955881639811</v>
      </c>
      <c r="AA128" s="35">
        <f t="shared" si="99"/>
        <v>0.0264881518705629</v>
      </c>
      <c r="AB128" s="36">
        <f t="shared" si="67"/>
        <v>0.5884735402</v>
      </c>
      <c r="AC128" s="36">
        <f t="shared" ref="AC128:AC144" si="140">(J128*0.01%)*7.38%+(J128*0.01%)</f>
        <v>0.5884735402</v>
      </c>
      <c r="AD128" s="34">
        <f t="shared" si="133"/>
        <v>211.563820615474</v>
      </c>
      <c r="AE128" s="37">
        <f t="shared" si="68"/>
        <v>0.418341810914091</v>
      </c>
      <c r="AF128" s="36">
        <f t="shared" si="122"/>
        <v>60.6864</v>
      </c>
      <c r="AG128" s="36"/>
      <c r="AH128" s="36">
        <f t="shared" si="69"/>
        <v>26.29744</v>
      </c>
      <c r="AI128" s="34">
        <f t="shared" ref="AI128:AI134" si="141">AF128+AG128+AH128</f>
        <v>86.98384</v>
      </c>
      <c r="AJ128" s="38">
        <f t="shared" ref="AJ128:AJ144" si="142">AD128+AI128</f>
        <v>298.547660615474</v>
      </c>
      <c r="AK128" s="39">
        <f t="shared" si="100"/>
        <v>0.590341810914091</v>
      </c>
      <c r="AL128" s="38">
        <f t="shared" ref="AL128:AL144" si="143">M128-AJ128</f>
        <v>207.172339384526</v>
      </c>
      <c r="AM128" s="40">
        <f t="shared" ref="AM128:AM144" si="144">AL128/M128</f>
        <v>0.409658189085909</v>
      </c>
      <c r="AN128" s="38">
        <f t="shared" ref="AN128:AN134" si="145">M128/L128</f>
        <v>3.59456962115289</v>
      </c>
    </row>
    <row r="129" s="3" customFormat="1" hidden="1" spans="1:40">
      <c r="A129" s="41">
        <v>46254</v>
      </c>
      <c r="B129" s="41" t="str">
        <v>NORMAL</v>
      </c>
      <c r="C129" s="41" t="str">
        <v>DQB8989</v>
      </c>
      <c r="D129" s="42" t="str">
        <v>CTB</v>
      </c>
      <c r="E129" s="42" t="str">
        <v>PR</v>
      </c>
      <c r="F129" s="42" t="str">
        <v>PSP</v>
      </c>
      <c r="G129" s="42" t="str">
        <v>SP</v>
      </c>
      <c r="H129" s="42" t="str">
        <v>COLSON DO BRASIL LTDA</v>
      </c>
      <c r="I129" s="209" t="str">
        <v>000189887</v>
      </c>
      <c r="J129" s="43">
        <v>2328.15</v>
      </c>
      <c r="K129" s="44">
        <v>6</v>
      </c>
      <c r="L129" s="45">
        <v>66.15</v>
      </c>
      <c r="M129" s="46">
        <v>453.67</v>
      </c>
      <c r="N129" s="47">
        <v>0.12</v>
      </c>
      <c r="O129" s="48">
        <f t="shared" si="65"/>
        <v>5.9535</v>
      </c>
      <c r="P129" s="49">
        <f t="shared" si="71"/>
        <v>13.23</v>
      </c>
      <c r="Q129" s="31"/>
      <c r="R129" s="49">
        <f t="shared" si="139"/>
        <v>0</v>
      </c>
      <c r="S129" s="31"/>
      <c r="T129" s="53">
        <v>225.5</v>
      </c>
      <c r="U129" s="33">
        <f t="shared" si="128"/>
        <v>0.497057332422245</v>
      </c>
      <c r="V129" s="34">
        <f t="shared" si="129"/>
        <v>244.6835</v>
      </c>
      <c r="W129" s="35">
        <f t="shared" si="66"/>
        <v>0.539342473604162</v>
      </c>
      <c r="X129" s="36">
        <f>(L129*'RESULTADO DIRETO'!N$27)/6*3</f>
        <v>6.91471278501216</v>
      </c>
      <c r="Y129" s="35">
        <f t="shared" si="73"/>
        <v>0.0152417236868476</v>
      </c>
      <c r="Z129" s="36">
        <f>(L129*'RESULTADO DIRETO'!N$15)/6*2</f>
        <v>4.19891561611746</v>
      </c>
      <c r="AA129" s="35">
        <f t="shared" si="99"/>
        <v>0.00925544033354081</v>
      </c>
      <c r="AB129" s="36">
        <f t="shared" si="67"/>
        <v>0.249996747</v>
      </c>
      <c r="AC129" s="36">
        <f t="shared" si="140"/>
        <v>0.249996747</v>
      </c>
      <c r="AD129" s="34">
        <f t="shared" si="133"/>
        <v>256.29712189513</v>
      </c>
      <c r="AE129" s="37">
        <f t="shared" si="68"/>
        <v>0.564941745972027</v>
      </c>
      <c r="AF129" s="36">
        <f t="shared" si="122"/>
        <v>54.4404</v>
      </c>
      <c r="AG129" s="36"/>
      <c r="AH129" s="36">
        <f t="shared" si="69"/>
        <v>23.59084</v>
      </c>
      <c r="AI129" s="34">
        <f t="shared" si="141"/>
        <v>78.03124</v>
      </c>
      <c r="AJ129" s="38">
        <f t="shared" si="142"/>
        <v>334.32836189513</v>
      </c>
      <c r="AK129" s="39">
        <f t="shared" si="100"/>
        <v>0.736941745972027</v>
      </c>
      <c r="AL129" s="38">
        <f t="shared" si="143"/>
        <v>119.34163810487</v>
      </c>
      <c r="AM129" s="40">
        <f t="shared" si="144"/>
        <v>0.263058254027973</v>
      </c>
      <c r="AN129" s="38">
        <f t="shared" si="145"/>
        <v>6.85820105820106</v>
      </c>
    </row>
    <row r="130" s="3" customFormat="1" hidden="1" spans="1:40">
      <c r="A130" s="41">
        <v>46252</v>
      </c>
      <c r="B130" s="41" t="str">
        <v>NORMAL</v>
      </c>
      <c r="C130" s="41" t="str">
        <v>AFF1761</v>
      </c>
      <c r="D130" s="42" t="str">
        <v>CTB</v>
      </c>
      <c r="E130" s="42" t="str">
        <v>PR</v>
      </c>
      <c r="F130" s="42" t="str">
        <v>RJO</v>
      </c>
      <c r="G130" s="42" t="str">
        <v>RJ</v>
      </c>
      <c r="H130" s="42" t="str">
        <v>COLSON DO BRASIL LTDA</v>
      </c>
      <c r="I130" s="209" t="str">
        <v>000189611</v>
      </c>
      <c r="J130" s="43">
        <v>2122.2</v>
      </c>
      <c r="K130" s="44">
        <v>6</v>
      </c>
      <c r="L130" s="45">
        <v>53.3</v>
      </c>
      <c r="M130" s="46">
        <v>430.34</v>
      </c>
      <c r="N130" s="47">
        <v>0.12</v>
      </c>
      <c r="O130" s="48">
        <f t="shared" si="65"/>
        <v>4.797</v>
      </c>
      <c r="P130" s="49">
        <f t="shared" si="71"/>
        <v>10.66</v>
      </c>
      <c r="Q130" s="50">
        <f>L130*0.18</f>
        <v>9.594</v>
      </c>
      <c r="R130" s="50">
        <f>M130*0.22</f>
        <v>94.6748</v>
      </c>
      <c r="S130" s="31"/>
      <c r="T130" s="51">
        <v>0</v>
      </c>
      <c r="U130" s="33">
        <f t="shared" si="128"/>
        <v>0</v>
      </c>
      <c r="V130" s="34">
        <f t="shared" si="129"/>
        <v>119.7258</v>
      </c>
      <c r="W130" s="35">
        <f t="shared" si="66"/>
        <v>0.278212111353813</v>
      </c>
      <c r="X130" s="36">
        <f>(L130*'RESULTADO DIRETO'!N$27)/6*4</f>
        <v>7.42865591214206</v>
      </c>
      <c r="Y130" s="35">
        <f t="shared" si="73"/>
        <v>0.0172622947254312</v>
      </c>
      <c r="Z130" s="36">
        <f>(L130*'RESULTADO DIRETO'!N$15)/6*3</f>
        <v>5.07487987163403</v>
      </c>
      <c r="AA130" s="35">
        <f t="shared" si="99"/>
        <v>0.0117927217354511</v>
      </c>
      <c r="AB130" s="36">
        <f t="shared" si="67"/>
        <v>0.227881836</v>
      </c>
      <c r="AC130" s="36">
        <f t="shared" si="140"/>
        <v>0.227881836</v>
      </c>
      <c r="AD130" s="34">
        <f t="shared" ref="AD130:AD132" si="146">V130+X130+Z130+AB130+AC130</f>
        <v>132.685099455776</v>
      </c>
      <c r="AE130" s="37">
        <f t="shared" si="68"/>
        <v>0.308326205920379</v>
      </c>
      <c r="AF130" s="36">
        <f t="shared" si="122"/>
        <v>51.6408</v>
      </c>
      <c r="AG130" s="36"/>
      <c r="AH130" s="36">
        <f t="shared" si="69"/>
        <v>22.37768</v>
      </c>
      <c r="AI130" s="34">
        <f t="shared" si="141"/>
        <v>74.01848</v>
      </c>
      <c r="AJ130" s="38">
        <f t="shared" si="142"/>
        <v>206.703579455776</v>
      </c>
      <c r="AK130" s="39">
        <f t="shared" si="100"/>
        <v>0.480326205920379</v>
      </c>
      <c r="AL130" s="38">
        <f t="shared" si="143"/>
        <v>223.636420544224</v>
      </c>
      <c r="AM130" s="40">
        <f t="shared" si="144"/>
        <v>0.519673794079621</v>
      </c>
      <c r="AN130" s="38">
        <f t="shared" si="145"/>
        <v>8.07392120075047</v>
      </c>
    </row>
    <row r="131" s="3" customFormat="1" spans="1:40">
      <c r="A131" s="41">
        <v>46252</v>
      </c>
      <c r="B131" s="41" t="str">
        <v>NORMAL</v>
      </c>
      <c r="C131" s="41" t="str">
        <v>AFF1761</v>
      </c>
      <c r="D131" s="42" t="str">
        <v>CTB</v>
      </c>
      <c r="E131" s="42" t="str">
        <v>PR</v>
      </c>
      <c r="F131" s="42" t="str">
        <v>SJK</v>
      </c>
      <c r="G131" s="42" t="str">
        <v>SP</v>
      </c>
      <c r="H131" s="42" t="str">
        <v>COLSON DO BRASIL LTDA</v>
      </c>
      <c r="I131" s="209" t="str">
        <v>000189641</v>
      </c>
      <c r="J131" s="43">
        <v>2761.27</v>
      </c>
      <c r="K131" s="44">
        <v>5</v>
      </c>
      <c r="L131" s="45">
        <v>41.34</v>
      </c>
      <c r="M131" s="46">
        <v>424.44</v>
      </c>
      <c r="N131" s="47">
        <v>0.12</v>
      </c>
      <c r="O131" s="48">
        <f t="shared" si="65"/>
        <v>3.7206</v>
      </c>
      <c r="P131" s="49">
        <f t="shared" si="71"/>
        <v>8.268</v>
      </c>
      <c r="Q131" s="31"/>
      <c r="R131" s="49">
        <f t="shared" si="139"/>
        <v>0</v>
      </c>
      <c r="S131" s="31"/>
      <c r="T131" s="53">
        <v>192.02</v>
      </c>
      <c r="U131" s="33">
        <f t="shared" si="128"/>
        <v>0.45240787861653</v>
      </c>
      <c r="V131" s="34">
        <f t="shared" si="129"/>
        <v>204.0086</v>
      </c>
      <c r="W131" s="35">
        <f t="shared" si="66"/>
        <v>0.480653567053058</v>
      </c>
      <c r="X131" s="36">
        <f>(L131*'RESULTADO DIRETO'!N$27)/6*3</f>
        <v>4.32130350011191</v>
      </c>
      <c r="Y131" s="35">
        <f t="shared" si="73"/>
        <v>0.0101811881540663</v>
      </c>
      <c r="Z131" s="36">
        <f>(L131*'RESULTADO DIRETO'!N$15)/6*2</f>
        <v>2.62408422630833</v>
      </c>
      <c r="AA131" s="35">
        <f t="shared" ref="AA131:AA159" si="147">Z131/M131</f>
        <v>0.00618246212964925</v>
      </c>
      <c r="AB131" s="36">
        <f t="shared" si="67"/>
        <v>0.2965051726</v>
      </c>
      <c r="AC131" s="36">
        <f t="shared" si="140"/>
        <v>0.2965051726</v>
      </c>
      <c r="AD131" s="34">
        <f t="shared" si="146"/>
        <v>211.54699807162</v>
      </c>
      <c r="AE131" s="37">
        <f t="shared" si="68"/>
        <v>0.498414376759071</v>
      </c>
      <c r="AF131" s="36">
        <f t="shared" si="122"/>
        <v>50.9328</v>
      </c>
      <c r="AG131" s="36"/>
      <c r="AH131" s="36">
        <f t="shared" si="69"/>
        <v>22.07088</v>
      </c>
      <c r="AI131" s="34">
        <f t="shared" si="141"/>
        <v>73.00368</v>
      </c>
      <c r="AJ131" s="38">
        <f t="shared" si="142"/>
        <v>284.55067807162</v>
      </c>
      <c r="AK131" s="39">
        <f t="shared" ref="AK131:AK159" si="148">AJ131/M131</f>
        <v>0.670414376759071</v>
      </c>
      <c r="AL131" s="38">
        <f t="shared" si="143"/>
        <v>139.88932192838</v>
      </c>
      <c r="AM131" s="40">
        <f t="shared" si="144"/>
        <v>0.329585623240929</v>
      </c>
      <c r="AN131" s="38">
        <f t="shared" si="145"/>
        <v>10.267053701016</v>
      </c>
    </row>
    <row r="132" s="3" customFormat="1" spans="1:40">
      <c r="A132" s="41">
        <v>46252</v>
      </c>
      <c r="B132" s="41" t="str">
        <v>NORMAL</v>
      </c>
      <c r="C132" s="41" t="str">
        <v>AFF1761</v>
      </c>
      <c r="D132" s="42" t="str">
        <v>CTB</v>
      </c>
      <c r="E132" s="42" t="str">
        <v>PR</v>
      </c>
      <c r="F132" s="42" t="str">
        <v>SPO</v>
      </c>
      <c r="G132" s="42" t="str">
        <v>SP</v>
      </c>
      <c r="H132" s="42" t="str">
        <v>COLSON DO BRASIL LTDA</v>
      </c>
      <c r="I132" s="209" t="str">
        <v>000189728</v>
      </c>
      <c r="J132" s="43">
        <v>1437.55</v>
      </c>
      <c r="K132" s="44">
        <v>1</v>
      </c>
      <c r="L132" s="45">
        <v>7.65</v>
      </c>
      <c r="M132" s="46">
        <v>371.44</v>
      </c>
      <c r="N132" s="47">
        <v>0.12</v>
      </c>
      <c r="O132" s="48">
        <f t="shared" ref="O132:O195" si="149">L132*0.09</f>
        <v>0.6885</v>
      </c>
      <c r="P132" s="49">
        <f t="shared" si="71"/>
        <v>1.53</v>
      </c>
      <c r="Q132" s="31"/>
      <c r="R132" s="49">
        <f>L132*0.19</f>
        <v>1.4535</v>
      </c>
      <c r="S132" s="31"/>
      <c r="T132" s="30">
        <v>0</v>
      </c>
      <c r="U132" s="33">
        <f t="shared" si="128"/>
        <v>0</v>
      </c>
      <c r="V132" s="34">
        <f t="shared" si="129"/>
        <v>3.672</v>
      </c>
      <c r="W132" s="35">
        <f t="shared" ref="W132:W195" si="150">V132/M132</f>
        <v>0.00988584966616412</v>
      </c>
      <c r="X132" s="36">
        <f>(L132*'RESULTADO DIRETO'!N$27)/6*3</f>
        <v>0.799660662212291</v>
      </c>
      <c r="Y132" s="35">
        <f t="shared" si="73"/>
        <v>0.0021528663100697</v>
      </c>
      <c r="Z132" s="36">
        <f>(L132*'RESULTADO DIRETO'!N$15)/6*2</f>
        <v>0.485588880775489</v>
      </c>
      <c r="AA132" s="35">
        <f t="shared" si="147"/>
        <v>0.00130731445395081</v>
      </c>
      <c r="AB132" s="36">
        <f t="shared" ref="AB132:AB195" si="151">(J132*0.01%)*7.38%+(J132*0.01%)</f>
        <v>0.154364119</v>
      </c>
      <c r="AC132" s="36">
        <f t="shared" si="140"/>
        <v>0.154364119</v>
      </c>
      <c r="AD132" s="34">
        <f t="shared" si="146"/>
        <v>5.26597778098778</v>
      </c>
      <c r="AE132" s="37">
        <f t="shared" ref="AE132:AE195" si="152">AD132/M132</f>
        <v>0.0141771962658512</v>
      </c>
      <c r="AF132" s="36">
        <f t="shared" si="122"/>
        <v>44.5728</v>
      </c>
      <c r="AG132" s="36"/>
      <c r="AH132" s="36">
        <f t="shared" ref="AH132:AH195" si="153">M132*0.052</f>
        <v>19.31488</v>
      </c>
      <c r="AI132" s="34">
        <f t="shared" si="141"/>
        <v>63.88768</v>
      </c>
      <c r="AJ132" s="38">
        <f t="shared" si="142"/>
        <v>69.1536577809878</v>
      </c>
      <c r="AK132" s="39">
        <f t="shared" si="148"/>
        <v>0.186177196265851</v>
      </c>
      <c r="AL132" s="38">
        <f t="shared" si="143"/>
        <v>302.286342219012</v>
      </c>
      <c r="AM132" s="40">
        <f t="shared" si="144"/>
        <v>0.813822803734149</v>
      </c>
      <c r="AN132" s="38">
        <f t="shared" si="145"/>
        <v>48.5542483660131</v>
      </c>
    </row>
    <row r="133" s="3" customFormat="1" hidden="1" spans="1:40">
      <c r="A133" s="41">
        <v>46252</v>
      </c>
      <c r="B133" s="41" t="str">
        <v>NORMAL</v>
      </c>
      <c r="C133" s="41" t="str">
        <v>AFF1761</v>
      </c>
      <c r="D133" s="42" t="str">
        <v>CTB</v>
      </c>
      <c r="E133" s="42" t="str">
        <v>PR</v>
      </c>
      <c r="F133" s="42" t="str">
        <v>TRU</v>
      </c>
      <c r="G133" s="42" t="str">
        <v>MG</v>
      </c>
      <c r="H133" s="42" t="str">
        <v>COLSON DO BRASIL LTDA</v>
      </c>
      <c r="I133" s="209" t="str">
        <v>000189674</v>
      </c>
      <c r="J133" s="43">
        <v>6866.74</v>
      </c>
      <c r="K133" s="44">
        <v>16</v>
      </c>
      <c r="L133" s="45">
        <v>172</v>
      </c>
      <c r="M133" s="46">
        <v>320.2</v>
      </c>
      <c r="N133" s="47">
        <v>0.12</v>
      </c>
      <c r="O133" s="48">
        <f t="shared" si="149"/>
        <v>15.48</v>
      </c>
      <c r="P133" s="49">
        <f t="shared" ref="P133:P196" si="154">L133*0.2</f>
        <v>34.4</v>
      </c>
      <c r="Q133" s="31"/>
      <c r="R133" s="49">
        <f>L133*0.09</f>
        <v>15.48</v>
      </c>
      <c r="S133" s="31"/>
      <c r="T133" s="53">
        <v>137.58</v>
      </c>
      <c r="U133" s="33">
        <f t="shared" si="128"/>
        <v>0.429668956901936</v>
      </c>
      <c r="V133" s="34">
        <f t="shared" si="129"/>
        <v>202.94</v>
      </c>
      <c r="W133" s="35">
        <f t="shared" si="150"/>
        <v>0.633791380387258</v>
      </c>
      <c r="X133" s="36">
        <f>(L133*'RESULTADO DIRETO'!N$27)/6*3</f>
        <v>17.9792985490868</v>
      </c>
      <c r="Y133" s="35">
        <f t="shared" si="73"/>
        <v>0.0561502140820949</v>
      </c>
      <c r="Z133" s="36">
        <f>(L133*'RESULTADO DIRETO'!N$15)/6*2</f>
        <v>10.9178153586123</v>
      </c>
      <c r="AA133" s="35">
        <f t="shared" si="147"/>
        <v>0.034096862456628</v>
      </c>
      <c r="AB133" s="36">
        <f t="shared" si="151"/>
        <v>0.7373505412</v>
      </c>
      <c r="AC133" s="36">
        <f t="shared" si="140"/>
        <v>0.7373505412</v>
      </c>
      <c r="AD133" s="34">
        <f>V133+X133+Z133+AB133+AC133</f>
        <v>233.311814990099</v>
      </c>
      <c r="AE133" s="37">
        <f t="shared" si="152"/>
        <v>0.728644019331977</v>
      </c>
      <c r="AF133" s="36">
        <f t="shared" si="122"/>
        <v>38.424</v>
      </c>
      <c r="AG133" s="36"/>
      <c r="AH133" s="36">
        <f t="shared" si="153"/>
        <v>16.6504</v>
      </c>
      <c r="AI133" s="34">
        <f t="shared" si="141"/>
        <v>55.0744</v>
      </c>
      <c r="AJ133" s="38">
        <f t="shared" si="142"/>
        <v>288.386214990099</v>
      </c>
      <c r="AK133" s="39">
        <f t="shared" si="148"/>
        <v>0.900644019331977</v>
      </c>
      <c r="AL133" s="38">
        <f t="shared" si="143"/>
        <v>31.8137850099009</v>
      </c>
      <c r="AM133" s="40">
        <f t="shared" si="144"/>
        <v>0.0993559806680229</v>
      </c>
      <c r="AN133" s="38">
        <f t="shared" si="145"/>
        <v>1.86162790697674</v>
      </c>
    </row>
    <row r="134" ht="13" customHeight="1" spans="1:40">
      <c r="A134" s="41">
        <v>46255</v>
      </c>
      <c r="B134" s="41" t="str">
        <v>NORMAL</v>
      </c>
      <c r="C134" s="41" t="str">
        <v>AFF1761</v>
      </c>
      <c r="D134" s="42" t="str">
        <v>CTB</v>
      </c>
      <c r="E134" s="42" t="str">
        <v>PR</v>
      </c>
      <c r="F134" s="42" t="str">
        <v>PSP</v>
      </c>
      <c r="G134" s="42" t="str">
        <v>SP</v>
      </c>
      <c r="H134" s="42" t="str">
        <v>COLSON DO BRASIL LTDA</v>
      </c>
      <c r="I134" s="209" t="str">
        <v>000189939</v>
      </c>
      <c r="J134" s="43">
        <v>8222</v>
      </c>
      <c r="K134" s="44">
        <v>4</v>
      </c>
      <c r="L134" s="45">
        <v>41.568</v>
      </c>
      <c r="M134" s="46">
        <v>198.39</v>
      </c>
      <c r="N134" s="47">
        <v>0.12</v>
      </c>
      <c r="O134" s="48">
        <f t="shared" si="149"/>
        <v>3.74112</v>
      </c>
      <c r="P134" s="49">
        <f t="shared" si="154"/>
        <v>8.3136</v>
      </c>
      <c r="Q134" s="31"/>
      <c r="R134" s="49">
        <f>L134*0</f>
        <v>0</v>
      </c>
      <c r="S134" s="31"/>
      <c r="T134" s="53">
        <v>49.5</v>
      </c>
      <c r="U134" s="33">
        <f t="shared" si="128"/>
        <v>0.249508543777408</v>
      </c>
      <c r="V134" s="34">
        <f t="shared" si="129"/>
        <v>61.55472</v>
      </c>
      <c r="W134" s="35">
        <f t="shared" si="150"/>
        <v>0.310271283834871</v>
      </c>
      <c r="X134" s="36">
        <f>(L134*'RESULTADO DIRETO'!N$27)/6*3</f>
        <v>4.34513652377</v>
      </c>
      <c r="Y134" s="35">
        <f t="shared" si="73"/>
        <v>0.0219019936678764</v>
      </c>
      <c r="Z134" s="36">
        <f>(L134*'RESULTADO DIRETO'!N$15)/6*2</f>
        <v>2.63855667922556</v>
      </c>
      <c r="AA134" s="35">
        <f t="shared" si="147"/>
        <v>0.0132998471658126</v>
      </c>
      <c r="AB134" s="36">
        <f t="shared" si="151"/>
        <v>0.88287836</v>
      </c>
      <c r="AC134" s="36">
        <f t="shared" si="140"/>
        <v>0.88287836</v>
      </c>
      <c r="AD134" s="34">
        <f>V134+X134+Z134+AB134+AC134</f>
        <v>70.3041699229956</v>
      </c>
      <c r="AE134" s="37">
        <f t="shared" si="152"/>
        <v>0.35437355674679</v>
      </c>
      <c r="AF134" s="36">
        <f t="shared" si="122"/>
        <v>23.8068</v>
      </c>
      <c r="AG134" s="36"/>
      <c r="AH134" s="36">
        <f t="shared" si="153"/>
        <v>10.31628</v>
      </c>
      <c r="AI134" s="34">
        <f t="shared" si="141"/>
        <v>34.12308</v>
      </c>
      <c r="AJ134" s="38">
        <f t="shared" si="142"/>
        <v>104.427249922996</v>
      </c>
      <c r="AK134" s="39">
        <f t="shared" si="148"/>
        <v>0.52637355674679</v>
      </c>
      <c r="AL134" s="38">
        <f t="shared" si="143"/>
        <v>93.9627500770044</v>
      </c>
      <c r="AM134" s="40">
        <f t="shared" si="144"/>
        <v>0.47362644325321</v>
      </c>
      <c r="AN134" s="38">
        <f t="shared" si="145"/>
        <v>4.77266166281755</v>
      </c>
    </row>
    <row r="135" hidden="1" spans="1:40">
      <c r="A135" s="41">
        <v>46252</v>
      </c>
      <c r="B135" s="41" t="str">
        <v>NORMAL</v>
      </c>
      <c r="C135" s="41" t="str">
        <v>AFF1761</v>
      </c>
      <c r="D135" s="42" t="str">
        <v>CTB</v>
      </c>
      <c r="E135" s="42" t="str">
        <v>PR</v>
      </c>
      <c r="F135" s="42" t="str">
        <v>BHZ</v>
      </c>
      <c r="G135" s="42" t="str">
        <v>MG</v>
      </c>
      <c r="H135" s="42" t="str">
        <v>COLSON DO BRASIL LTDA</v>
      </c>
      <c r="I135" s="209" t="str">
        <v>000189718</v>
      </c>
      <c r="J135" s="43">
        <v>9417.14</v>
      </c>
      <c r="K135" s="44">
        <v>6</v>
      </c>
      <c r="L135" s="45">
        <v>102.816</v>
      </c>
      <c r="M135" s="46">
        <v>487.1</v>
      </c>
      <c r="N135" s="47">
        <v>0.12</v>
      </c>
      <c r="O135" s="48">
        <f t="shared" si="149"/>
        <v>9.25344</v>
      </c>
      <c r="P135" s="49">
        <f t="shared" si="154"/>
        <v>20.5632</v>
      </c>
      <c r="Q135" s="52">
        <f>L135*0.18</f>
        <v>18.50688</v>
      </c>
      <c r="R135" s="52">
        <f>L135*0.15</f>
        <v>15.4224</v>
      </c>
      <c r="S135" s="31"/>
      <c r="T135" s="54">
        <v>0</v>
      </c>
      <c r="U135" s="33">
        <f t="shared" si="128"/>
        <v>0</v>
      </c>
      <c r="V135" s="34">
        <f t="shared" si="129"/>
        <v>63.74592</v>
      </c>
      <c r="W135" s="35">
        <f t="shared" si="150"/>
        <v>0.130868240607678</v>
      </c>
      <c r="X135" s="36">
        <f>(L135*'RESULTADO DIRETO'!N$27)/6*4</f>
        <v>14.3299190668442</v>
      </c>
      <c r="Y135" s="35">
        <f t="shared" ref="Y135:Y198" si="155">X135/M135</f>
        <v>0.0294188443170689</v>
      </c>
      <c r="Z135" s="36">
        <f>(L135*'RESULTADO DIRETO'!N$15)/6*3</f>
        <v>9.78947183643385</v>
      </c>
      <c r="AA135" s="35">
        <f t="shared" si="147"/>
        <v>0.0200974580916318</v>
      </c>
      <c r="AB135" s="36">
        <f t="shared" si="151"/>
        <v>1.0112124932</v>
      </c>
      <c r="AC135" s="36">
        <f t="shared" si="140"/>
        <v>1.0112124932</v>
      </c>
      <c r="AD135" s="34">
        <f>V135+X135+Z135+AB135+AC135</f>
        <v>89.8877358896781</v>
      </c>
      <c r="AE135" s="37">
        <f t="shared" si="152"/>
        <v>0.184536513836334</v>
      </c>
      <c r="AF135" s="36">
        <f t="shared" si="122"/>
        <v>58.452</v>
      </c>
      <c r="AG135" s="36"/>
      <c r="AH135" s="36">
        <f t="shared" si="153"/>
        <v>25.3292</v>
      </c>
      <c r="AI135" s="34">
        <f t="shared" ref="AI135:AI144" si="156">AF135+AG135+AH135</f>
        <v>83.7812</v>
      </c>
      <c r="AJ135" s="38">
        <f t="shared" si="142"/>
        <v>173.668935889678</v>
      </c>
      <c r="AK135" s="39">
        <f t="shared" si="148"/>
        <v>0.356536513836334</v>
      </c>
      <c r="AL135" s="38">
        <f t="shared" si="143"/>
        <v>313.431064110322</v>
      </c>
      <c r="AM135" s="40">
        <f t="shared" si="144"/>
        <v>0.643463486163666</v>
      </c>
      <c r="AN135" s="38">
        <f t="shared" ref="AN135:AN144" si="157">M135/L135</f>
        <v>4.73758948023654</v>
      </c>
    </row>
    <row r="136" hidden="1" spans="1:40">
      <c r="A136" s="41">
        <v>46253</v>
      </c>
      <c r="B136" s="41" t="str">
        <v>NORMAL</v>
      </c>
      <c r="C136" s="41" t="str">
        <v>MKY5A07</v>
      </c>
      <c r="D136" s="42" t="str">
        <v>CTB</v>
      </c>
      <c r="E136" s="42" t="str">
        <v>PR</v>
      </c>
      <c r="F136" s="42" t="str">
        <v>GVR</v>
      </c>
      <c r="G136" s="42" t="str">
        <v>MG</v>
      </c>
      <c r="H136" s="42" t="str">
        <v>COLSON DO BRASIL LTDA</v>
      </c>
      <c r="I136" s="209" t="str">
        <v>000189779</v>
      </c>
      <c r="J136" s="43">
        <v>3791.58</v>
      </c>
      <c r="K136" s="44">
        <v>10</v>
      </c>
      <c r="L136" s="45">
        <v>145</v>
      </c>
      <c r="M136" s="46">
        <v>265.91</v>
      </c>
      <c r="N136" s="47">
        <v>0.12</v>
      </c>
      <c r="O136" s="48">
        <f t="shared" si="149"/>
        <v>13.05</v>
      </c>
      <c r="P136" s="49">
        <f t="shared" si="154"/>
        <v>29</v>
      </c>
      <c r="Q136" s="52">
        <f>L136*0.18</f>
        <v>26.1</v>
      </c>
      <c r="R136" s="52">
        <f>L136*0.15</f>
        <v>21.75</v>
      </c>
      <c r="S136" s="31"/>
      <c r="T136" s="53">
        <v>102.07</v>
      </c>
      <c r="U136" s="33">
        <f t="shared" si="128"/>
        <v>0.383851679139558</v>
      </c>
      <c r="V136" s="34">
        <f t="shared" si="129"/>
        <v>191.97</v>
      </c>
      <c r="W136" s="35">
        <f t="shared" si="150"/>
        <v>0.721935993381219</v>
      </c>
      <c r="X136" s="36">
        <f>(L136*'RESULTADO DIRETO'!N$27)/6*4</f>
        <v>20.209289066803</v>
      </c>
      <c r="Y136" s="35">
        <f t="shared" si="155"/>
        <v>0.0760004853777706</v>
      </c>
      <c r="Z136" s="36">
        <f>(L136*'RESULTADO DIRETO'!N$15)/6*3</f>
        <v>13.8059583749894</v>
      </c>
      <c r="AA136" s="35">
        <f t="shared" si="147"/>
        <v>0.051919665958367</v>
      </c>
      <c r="AB136" s="36">
        <f t="shared" si="151"/>
        <v>0.4071398604</v>
      </c>
      <c r="AC136" s="36">
        <f t="shared" si="140"/>
        <v>0.4071398604</v>
      </c>
      <c r="AD136" s="34">
        <f>V136+X136+Z136+AB136+AC136</f>
        <v>226.799527162592</v>
      </c>
      <c r="AE136" s="37">
        <f t="shared" si="152"/>
        <v>0.852918382770834</v>
      </c>
      <c r="AF136" s="36">
        <f t="shared" si="122"/>
        <v>31.9092</v>
      </c>
      <c r="AG136" s="36"/>
      <c r="AH136" s="36">
        <f t="shared" si="153"/>
        <v>13.82732</v>
      </c>
      <c r="AI136" s="34">
        <f t="shared" si="156"/>
        <v>45.73652</v>
      </c>
      <c r="AJ136" s="38">
        <f t="shared" si="142"/>
        <v>272.536047162592</v>
      </c>
      <c r="AK136" s="39">
        <f t="shared" si="148"/>
        <v>1.02491838277083</v>
      </c>
      <c r="AL136" s="38">
        <f t="shared" si="143"/>
        <v>-6.62604716259233</v>
      </c>
      <c r="AM136" s="40">
        <f t="shared" si="144"/>
        <v>-0.0249183827708335</v>
      </c>
      <c r="AN136" s="38">
        <f t="shared" si="157"/>
        <v>1.83386206896552</v>
      </c>
    </row>
    <row r="137" hidden="1" spans="1:40">
      <c r="A137" s="41">
        <v>46253</v>
      </c>
      <c r="B137" s="41" t="str">
        <v>NORMAL</v>
      </c>
      <c r="C137" s="41" t="str">
        <v>MKY5A07</v>
      </c>
      <c r="D137" s="42" t="str">
        <v>CTB</v>
      </c>
      <c r="E137" s="42" t="str">
        <v>PR</v>
      </c>
      <c r="F137" s="42" t="str">
        <v>FRJ</v>
      </c>
      <c r="G137" s="42" t="str">
        <v>RJ</v>
      </c>
      <c r="H137" s="42" t="str">
        <v>COLSON DO BRASIL LTDA</v>
      </c>
      <c r="I137" s="209" t="str">
        <v>000189769</v>
      </c>
      <c r="J137" s="43">
        <v>5974.66</v>
      </c>
      <c r="K137" s="44">
        <v>24</v>
      </c>
      <c r="L137" s="45">
        <v>181.814</v>
      </c>
      <c r="M137" s="46">
        <v>322.25</v>
      </c>
      <c r="N137" s="47">
        <v>0.12</v>
      </c>
      <c r="O137" s="48">
        <f t="shared" si="149"/>
        <v>16.36326</v>
      </c>
      <c r="P137" s="49">
        <f t="shared" si="154"/>
        <v>36.3628</v>
      </c>
      <c r="Q137" s="50">
        <f t="shared" ref="Q137:Q142" si="158">L137*0.18</f>
        <v>32.72652</v>
      </c>
      <c r="R137" s="50">
        <f t="shared" ref="R137:R141" si="159">M137*0.22</f>
        <v>70.895</v>
      </c>
      <c r="S137" s="31"/>
      <c r="T137" s="53">
        <v>117.45</v>
      </c>
      <c r="U137" s="33">
        <f t="shared" si="128"/>
        <v>0.364468580294802</v>
      </c>
      <c r="V137" s="34">
        <f t="shared" si="129"/>
        <v>273.79758</v>
      </c>
      <c r="W137" s="35">
        <f t="shared" si="150"/>
        <v>0.849643382467029</v>
      </c>
      <c r="X137" s="36">
        <f>(L137*'RESULTADO DIRETO'!N$27)/6*4</f>
        <v>25.3402184992532</v>
      </c>
      <c r="Y137" s="35">
        <f t="shared" si="155"/>
        <v>0.0786352785081559</v>
      </c>
      <c r="Z137" s="36">
        <f>(L137*'RESULTADO DIRETO'!N$15)/6*3</f>
        <v>17.3111483861401</v>
      </c>
      <c r="AA137" s="35">
        <f t="shared" si="147"/>
        <v>0.0537196226102099</v>
      </c>
      <c r="AB137" s="36">
        <f t="shared" si="151"/>
        <v>0.6415589908</v>
      </c>
      <c r="AC137" s="36">
        <f t="shared" si="140"/>
        <v>0.6415589908</v>
      </c>
      <c r="AD137" s="34">
        <f t="shared" ref="AD137:AD142" si="160">V137+X137+Z137+AB137+AC137</f>
        <v>317.732064866993</v>
      </c>
      <c r="AE137" s="37">
        <f t="shared" si="152"/>
        <v>0.985980030619064</v>
      </c>
      <c r="AF137" s="36">
        <f t="shared" si="122"/>
        <v>38.67</v>
      </c>
      <c r="AG137" s="36"/>
      <c r="AH137" s="36">
        <f t="shared" si="153"/>
        <v>16.757</v>
      </c>
      <c r="AI137" s="34">
        <f t="shared" si="156"/>
        <v>55.427</v>
      </c>
      <c r="AJ137" s="38">
        <f t="shared" si="142"/>
        <v>373.159064866993</v>
      </c>
      <c r="AK137" s="39">
        <f t="shared" si="148"/>
        <v>1.15798003061906</v>
      </c>
      <c r="AL137" s="38">
        <f t="shared" si="143"/>
        <v>-50.9090648669933</v>
      </c>
      <c r="AM137" s="40">
        <f t="shared" si="144"/>
        <v>-0.157980030619064</v>
      </c>
      <c r="AN137" s="38">
        <f t="shared" si="157"/>
        <v>1.77241576556261</v>
      </c>
    </row>
    <row r="138" hidden="1" spans="1:40">
      <c r="A138" s="41">
        <v>46253</v>
      </c>
      <c r="B138" s="41" t="str">
        <v>NORMAL</v>
      </c>
      <c r="C138" s="41" t="str">
        <v>MKY5A07</v>
      </c>
      <c r="D138" s="42" t="str">
        <v>CTB</v>
      </c>
      <c r="E138" s="42" t="str">
        <v>PR</v>
      </c>
      <c r="F138" s="42" t="str">
        <v>RJO</v>
      </c>
      <c r="G138" s="42" t="str">
        <v>RJ</v>
      </c>
      <c r="H138" s="42" t="str">
        <v>COLSON DO BRASIL LTDA</v>
      </c>
      <c r="I138" s="209" t="str">
        <v>000189744</v>
      </c>
      <c r="J138" s="43">
        <v>7625.28</v>
      </c>
      <c r="K138" s="44">
        <v>31</v>
      </c>
      <c r="L138" s="45">
        <v>301.225</v>
      </c>
      <c r="M138" s="46">
        <v>410.51</v>
      </c>
      <c r="N138" s="47">
        <v>0.12</v>
      </c>
      <c r="O138" s="48">
        <f t="shared" si="149"/>
        <v>27.11025</v>
      </c>
      <c r="P138" s="49">
        <f t="shared" si="154"/>
        <v>60.245</v>
      </c>
      <c r="Q138" s="50">
        <f t="shared" si="158"/>
        <v>54.2205</v>
      </c>
      <c r="R138" s="50">
        <f t="shared" si="159"/>
        <v>90.3122</v>
      </c>
      <c r="S138" s="31"/>
      <c r="T138" s="51">
        <v>0</v>
      </c>
      <c r="U138" s="33">
        <f t="shared" si="128"/>
        <v>0</v>
      </c>
      <c r="V138" s="34">
        <f t="shared" si="129"/>
        <v>231.88795</v>
      </c>
      <c r="W138" s="35">
        <f t="shared" si="150"/>
        <v>0.564877713088597</v>
      </c>
      <c r="X138" s="36">
        <f>(L138*'RESULTADO DIRETO'!N$27)/6*4</f>
        <v>41.9830558561912</v>
      </c>
      <c r="Y138" s="35">
        <f t="shared" si="155"/>
        <v>0.102270482707343</v>
      </c>
      <c r="Z138" s="36">
        <f>(L138*'RESULTADO DIRETO'!N$15)/6*3</f>
        <v>28.680688355215</v>
      </c>
      <c r="AA138" s="35">
        <f t="shared" si="147"/>
        <v>0.0698659919495627</v>
      </c>
      <c r="AB138" s="36">
        <f t="shared" si="151"/>
        <v>0.8188025664</v>
      </c>
      <c r="AC138" s="36">
        <f t="shared" si="140"/>
        <v>0.8188025664</v>
      </c>
      <c r="AD138" s="34">
        <f t="shared" si="160"/>
        <v>304.189299344206</v>
      </c>
      <c r="AE138" s="37">
        <f t="shared" si="152"/>
        <v>0.741003384434499</v>
      </c>
      <c r="AF138" s="36">
        <f t="shared" si="122"/>
        <v>49.2612</v>
      </c>
      <c r="AG138" s="36"/>
      <c r="AH138" s="36">
        <f t="shared" si="153"/>
        <v>21.34652</v>
      </c>
      <c r="AI138" s="34">
        <f t="shared" si="156"/>
        <v>70.60772</v>
      </c>
      <c r="AJ138" s="38">
        <f t="shared" si="142"/>
        <v>374.797019344206</v>
      </c>
      <c r="AK138" s="39">
        <f t="shared" si="148"/>
        <v>0.913003384434499</v>
      </c>
      <c r="AL138" s="38">
        <f t="shared" si="143"/>
        <v>35.7129806557937</v>
      </c>
      <c r="AM138" s="40">
        <f t="shared" si="144"/>
        <v>0.0869966155655006</v>
      </c>
      <c r="AN138" s="38">
        <f t="shared" si="157"/>
        <v>1.36280189227322</v>
      </c>
    </row>
    <row r="139" spans="1:40">
      <c r="A139" s="41">
        <v>46253</v>
      </c>
      <c r="B139" s="41" t="str">
        <v>NORMAL</v>
      </c>
      <c r="C139" s="41" t="str">
        <v>MKY5A07</v>
      </c>
      <c r="D139" s="42" t="str">
        <v>CTB</v>
      </c>
      <c r="E139" s="42" t="str">
        <v>PR</v>
      </c>
      <c r="F139" s="42" t="str">
        <v>SPO</v>
      </c>
      <c r="G139" s="42" t="str">
        <v>SP</v>
      </c>
      <c r="H139" s="42" t="str">
        <v>COLSON DO BRASIL LTDA</v>
      </c>
      <c r="I139" s="209" t="str">
        <v>000189765</v>
      </c>
      <c r="J139" s="43">
        <v>1592.66</v>
      </c>
      <c r="K139" s="44">
        <v>6</v>
      </c>
      <c r="L139" s="45">
        <v>38.378</v>
      </c>
      <c r="M139" s="46">
        <v>113.92</v>
      </c>
      <c r="N139" s="47">
        <v>0.12</v>
      </c>
      <c r="O139" s="48">
        <f t="shared" si="149"/>
        <v>3.45402</v>
      </c>
      <c r="P139" s="49">
        <f t="shared" si="154"/>
        <v>7.6756</v>
      </c>
      <c r="Q139" s="31"/>
      <c r="R139" s="49">
        <f>L139*0.19</f>
        <v>7.29182</v>
      </c>
      <c r="S139" s="31"/>
      <c r="T139" s="30">
        <v>0</v>
      </c>
      <c r="U139" s="33">
        <f t="shared" si="128"/>
        <v>0</v>
      </c>
      <c r="V139" s="34">
        <f t="shared" si="129"/>
        <v>18.42144</v>
      </c>
      <c r="W139" s="35">
        <f t="shared" si="150"/>
        <v>0.161705056179775</v>
      </c>
      <c r="X139" s="36">
        <f>(L139*'RESULTADO DIRETO'!N$27)/6*3</f>
        <v>4.01168325416775</v>
      </c>
      <c r="Y139" s="35">
        <f t="shared" si="155"/>
        <v>0.0352149162058265</v>
      </c>
      <c r="Z139" s="36">
        <f>(L139*'RESULTADO DIRETO'!N$15)/6*2</f>
        <v>2.43606928972571</v>
      </c>
      <c r="AA139" s="35">
        <f t="shared" si="147"/>
        <v>0.0213840351977327</v>
      </c>
      <c r="AB139" s="36">
        <f t="shared" si="151"/>
        <v>0.1710198308</v>
      </c>
      <c r="AC139" s="36">
        <f t="shared" si="140"/>
        <v>0.1710198308</v>
      </c>
      <c r="AD139" s="34">
        <f t="shared" si="160"/>
        <v>25.2112322054935</v>
      </c>
      <c r="AE139" s="37">
        <f t="shared" si="152"/>
        <v>0.221306462477997</v>
      </c>
      <c r="AF139" s="36">
        <f t="shared" si="122"/>
        <v>13.6704</v>
      </c>
      <c r="AG139" s="36"/>
      <c r="AH139" s="36">
        <f t="shared" si="153"/>
        <v>5.92384</v>
      </c>
      <c r="AI139" s="34">
        <f t="shared" si="156"/>
        <v>19.59424</v>
      </c>
      <c r="AJ139" s="38">
        <f t="shared" si="142"/>
        <v>44.8054722054935</v>
      </c>
      <c r="AK139" s="39">
        <f t="shared" si="148"/>
        <v>0.393306462477997</v>
      </c>
      <c r="AL139" s="38">
        <f t="shared" si="143"/>
        <v>69.1145277945065</v>
      </c>
      <c r="AM139" s="40">
        <f t="shared" si="144"/>
        <v>0.606693537522003</v>
      </c>
      <c r="AN139" s="38">
        <f t="shared" si="157"/>
        <v>2.96836729376205</v>
      </c>
    </row>
    <row r="140" spans="1:40">
      <c r="A140" s="41">
        <v>46253</v>
      </c>
      <c r="B140" s="41" t="str">
        <v>NORMAL</v>
      </c>
      <c r="C140" s="41" t="str">
        <v>MKY5A07</v>
      </c>
      <c r="D140" s="42" t="str">
        <v>CTB</v>
      </c>
      <c r="E140" s="42" t="str">
        <v>PR</v>
      </c>
      <c r="F140" s="42" t="str">
        <v>SPO</v>
      </c>
      <c r="G140" s="42" t="str">
        <v>SP</v>
      </c>
      <c r="H140" s="42" t="str">
        <v>COLSON DO BRASIL LTDA</v>
      </c>
      <c r="I140" s="209" t="str">
        <v>000189813</v>
      </c>
      <c r="J140" s="43">
        <v>2347.08</v>
      </c>
      <c r="K140" s="44">
        <v>4</v>
      </c>
      <c r="L140" s="45">
        <v>30.68</v>
      </c>
      <c r="M140" s="46">
        <v>118.2</v>
      </c>
      <c r="N140" s="47">
        <v>0.12</v>
      </c>
      <c r="O140" s="48">
        <f t="shared" si="149"/>
        <v>2.7612</v>
      </c>
      <c r="P140" s="49">
        <f t="shared" si="154"/>
        <v>6.136</v>
      </c>
      <c r="Q140" s="31"/>
      <c r="R140" s="49">
        <f>L140*0.19</f>
        <v>5.8292</v>
      </c>
      <c r="S140" s="31"/>
      <c r="T140" s="30">
        <v>0</v>
      </c>
      <c r="U140" s="33">
        <f t="shared" si="128"/>
        <v>0</v>
      </c>
      <c r="V140" s="34">
        <f t="shared" si="129"/>
        <v>14.7264</v>
      </c>
      <c r="W140" s="35">
        <f t="shared" si="150"/>
        <v>0.12458883248731</v>
      </c>
      <c r="X140" s="36">
        <f>(L140*'RESULTADO DIRETO'!N$27)/6*3</f>
        <v>3.2070051132906</v>
      </c>
      <c r="Y140" s="35">
        <f t="shared" si="155"/>
        <v>0.0271320229550812</v>
      </c>
      <c r="Z140" s="36">
        <f>(L140*'RESULTADO DIRETO'!N$15)/6*2</f>
        <v>1.94743357675712</v>
      </c>
      <c r="AA140" s="35">
        <f t="shared" si="147"/>
        <v>0.0164757493803479</v>
      </c>
      <c r="AB140" s="36">
        <f t="shared" si="151"/>
        <v>0.2520294504</v>
      </c>
      <c r="AC140" s="36">
        <f t="shared" si="140"/>
        <v>0.2520294504</v>
      </c>
      <c r="AD140" s="34">
        <f t="shared" si="160"/>
        <v>20.3848975908477</v>
      </c>
      <c r="AE140" s="37">
        <f t="shared" si="152"/>
        <v>0.172461062528322</v>
      </c>
      <c r="AF140" s="36">
        <f t="shared" si="122"/>
        <v>14.184</v>
      </c>
      <c r="AG140" s="36"/>
      <c r="AH140" s="36">
        <f t="shared" si="153"/>
        <v>6.1464</v>
      </c>
      <c r="AI140" s="34">
        <f t="shared" si="156"/>
        <v>20.3304</v>
      </c>
      <c r="AJ140" s="38">
        <f t="shared" si="142"/>
        <v>40.7152975908477</v>
      </c>
      <c r="AK140" s="39">
        <f t="shared" si="148"/>
        <v>0.344461062528322</v>
      </c>
      <c r="AL140" s="38">
        <f t="shared" si="143"/>
        <v>77.4847024091523</v>
      </c>
      <c r="AM140" s="40">
        <f t="shared" si="144"/>
        <v>0.655538937471678</v>
      </c>
      <c r="AN140" s="38">
        <f t="shared" si="157"/>
        <v>3.85267275097784</v>
      </c>
    </row>
    <row r="141" hidden="1" spans="1:40">
      <c r="A141" s="41">
        <v>46253</v>
      </c>
      <c r="B141" s="41" t="str">
        <v>NORMAL</v>
      </c>
      <c r="C141" s="41" t="str">
        <v>MKY5A07</v>
      </c>
      <c r="D141" s="42" t="str">
        <v>CTB</v>
      </c>
      <c r="E141" s="42" t="str">
        <v>PR</v>
      </c>
      <c r="F141" s="42" t="str">
        <v>RJO</v>
      </c>
      <c r="G141" s="42" t="str">
        <v>RJ</v>
      </c>
      <c r="H141" s="42" t="str">
        <v>COLSON DO BRASIL LTDA</v>
      </c>
      <c r="I141" s="209" t="str">
        <v>000189766</v>
      </c>
      <c r="J141" s="43">
        <v>5043.63</v>
      </c>
      <c r="K141" s="44">
        <v>18</v>
      </c>
      <c r="L141" s="45">
        <v>205.2</v>
      </c>
      <c r="M141" s="46">
        <v>291.38</v>
      </c>
      <c r="N141" s="47">
        <v>0.12</v>
      </c>
      <c r="O141" s="48">
        <f t="shared" si="149"/>
        <v>18.468</v>
      </c>
      <c r="P141" s="49">
        <f t="shared" si="154"/>
        <v>41.04</v>
      </c>
      <c r="Q141" s="50">
        <f t="shared" si="158"/>
        <v>36.936</v>
      </c>
      <c r="R141" s="50">
        <f t="shared" si="159"/>
        <v>64.1036</v>
      </c>
      <c r="S141" s="31"/>
      <c r="T141" s="51">
        <v>0</v>
      </c>
      <c r="U141" s="33">
        <f t="shared" si="128"/>
        <v>0</v>
      </c>
      <c r="V141" s="34">
        <f t="shared" si="129"/>
        <v>160.5476</v>
      </c>
      <c r="W141" s="35">
        <f t="shared" si="150"/>
        <v>0.550990459194179</v>
      </c>
      <c r="X141" s="36">
        <f>(L141*'RESULTADO DIRETO'!N$27)/6*4</f>
        <v>28.5996283897102</v>
      </c>
      <c r="Y141" s="35">
        <f t="shared" si="155"/>
        <v>0.0981523384916952</v>
      </c>
      <c r="Z141" s="36">
        <f>(L141*'RESULTADO DIRETO'!N$15)/6*3</f>
        <v>19.5378114382608</v>
      </c>
      <c r="AA141" s="35">
        <f t="shared" si="147"/>
        <v>0.067052685284717</v>
      </c>
      <c r="AB141" s="36">
        <f t="shared" si="151"/>
        <v>0.5415849894</v>
      </c>
      <c r="AC141" s="36">
        <f t="shared" si="140"/>
        <v>0.5415849894</v>
      </c>
      <c r="AD141" s="34">
        <f t="shared" si="160"/>
        <v>209.768209806771</v>
      </c>
      <c r="AE141" s="37">
        <f t="shared" si="152"/>
        <v>0.719912862264984</v>
      </c>
      <c r="AF141" s="36">
        <f t="shared" si="122"/>
        <v>34.9656</v>
      </c>
      <c r="AG141" s="36"/>
      <c r="AH141" s="36">
        <f t="shared" si="153"/>
        <v>15.15176</v>
      </c>
      <c r="AI141" s="34">
        <f t="shared" si="156"/>
        <v>50.11736</v>
      </c>
      <c r="AJ141" s="38">
        <f t="shared" si="142"/>
        <v>259.885569806771</v>
      </c>
      <c r="AK141" s="39">
        <f t="shared" si="148"/>
        <v>0.891912862264984</v>
      </c>
      <c r="AL141" s="38">
        <f t="shared" si="143"/>
        <v>31.494430193229</v>
      </c>
      <c r="AM141" s="40">
        <f t="shared" si="144"/>
        <v>0.108087137735016</v>
      </c>
      <c r="AN141" s="38">
        <f t="shared" si="157"/>
        <v>1.41998050682261</v>
      </c>
    </row>
    <row r="142" hidden="1" spans="1:40">
      <c r="A142" s="41">
        <v>46253</v>
      </c>
      <c r="B142" s="41" t="str">
        <v>NORMAL</v>
      </c>
      <c r="C142" s="41" t="str">
        <v>MKY5A07</v>
      </c>
      <c r="D142" s="42" t="str">
        <v>CTB</v>
      </c>
      <c r="E142" s="42" t="str">
        <v>PR</v>
      </c>
      <c r="F142" s="42" t="str">
        <v>TAM</v>
      </c>
      <c r="G142" s="42" t="str">
        <v>MG</v>
      </c>
      <c r="H142" s="42" t="str">
        <v>COLSON DO BRASIL LTDA</v>
      </c>
      <c r="I142" s="209" t="str">
        <v>000189822</v>
      </c>
      <c r="J142" s="43">
        <v>4540.73</v>
      </c>
      <c r="K142" s="44">
        <v>22</v>
      </c>
      <c r="L142" s="45">
        <v>128.7</v>
      </c>
      <c r="M142" s="46">
        <v>221.9</v>
      </c>
      <c r="N142" s="47">
        <v>0.12</v>
      </c>
      <c r="O142" s="48">
        <f t="shared" si="149"/>
        <v>11.583</v>
      </c>
      <c r="P142" s="49">
        <f t="shared" si="154"/>
        <v>25.74</v>
      </c>
      <c r="Q142" s="52">
        <f t="shared" si="158"/>
        <v>23.166</v>
      </c>
      <c r="R142" s="52">
        <f>L142*0.15</f>
        <v>19.305</v>
      </c>
      <c r="S142" s="31"/>
      <c r="T142" s="53">
        <v>69.5</v>
      </c>
      <c r="U142" s="33">
        <f t="shared" si="128"/>
        <v>0.313204146011717</v>
      </c>
      <c r="V142" s="34">
        <f t="shared" si="129"/>
        <v>149.294</v>
      </c>
      <c r="W142" s="35">
        <f t="shared" si="150"/>
        <v>0.672798557908968</v>
      </c>
      <c r="X142" s="36">
        <f>(L142*'RESULTADO DIRETO'!N$27)/6*4</f>
        <v>17.9374862268796</v>
      </c>
      <c r="Y142" s="35">
        <f t="shared" si="155"/>
        <v>0.0808359000760686</v>
      </c>
      <c r="Z142" s="36">
        <f>(L142*'RESULTADO DIRETO'!N$15)/6*3</f>
        <v>12.2539782266285</v>
      </c>
      <c r="AA142" s="35">
        <f t="shared" si="147"/>
        <v>0.0552229753340627</v>
      </c>
      <c r="AB142" s="36">
        <f t="shared" si="151"/>
        <v>0.4875835874</v>
      </c>
      <c r="AC142" s="36">
        <f t="shared" si="140"/>
        <v>0.4875835874</v>
      </c>
      <c r="AD142" s="34">
        <f t="shared" si="160"/>
        <v>180.460631628308</v>
      </c>
      <c r="AE142" s="37">
        <f t="shared" si="152"/>
        <v>0.813252057811213</v>
      </c>
      <c r="AF142" s="36">
        <f t="shared" si="122"/>
        <v>26.628</v>
      </c>
      <c r="AG142" s="36"/>
      <c r="AH142" s="36">
        <f t="shared" si="153"/>
        <v>11.5388</v>
      </c>
      <c r="AI142" s="34">
        <f t="shared" si="156"/>
        <v>38.1668</v>
      </c>
      <c r="AJ142" s="38">
        <f t="shared" si="142"/>
        <v>218.627431628308</v>
      </c>
      <c r="AK142" s="39">
        <f t="shared" si="148"/>
        <v>0.985252057811213</v>
      </c>
      <c r="AL142" s="38">
        <f t="shared" si="143"/>
        <v>3.2725683716919</v>
      </c>
      <c r="AM142" s="40">
        <f t="shared" si="144"/>
        <v>0.0147479421887873</v>
      </c>
      <c r="AN142" s="38">
        <f t="shared" si="157"/>
        <v>1.72416472416472</v>
      </c>
    </row>
    <row r="143" hidden="1" spans="1:40">
      <c r="A143" s="41">
        <v>46254</v>
      </c>
      <c r="B143" s="41" t="str">
        <v>NORMAL</v>
      </c>
      <c r="C143" s="41" t="str">
        <v>DQB8989</v>
      </c>
      <c r="D143" s="42" t="str">
        <v>CTB</v>
      </c>
      <c r="E143" s="42" t="str">
        <v>PR</v>
      </c>
      <c r="F143" s="42" t="str">
        <v>EPS</v>
      </c>
      <c r="G143" s="42" t="str">
        <v>ES</v>
      </c>
      <c r="H143" s="42" t="str">
        <v>COLSON DO BRASIL LTDA</v>
      </c>
      <c r="I143" s="209" t="str">
        <v>000189871</v>
      </c>
      <c r="J143" s="43">
        <v>3675.75</v>
      </c>
      <c r="K143" s="44">
        <v>12</v>
      </c>
      <c r="L143" s="45">
        <v>158.61</v>
      </c>
      <c r="M143" s="46">
        <v>237.91</v>
      </c>
      <c r="N143" s="47">
        <v>0.07</v>
      </c>
      <c r="O143" s="48">
        <f t="shared" si="149"/>
        <v>14.2749</v>
      </c>
      <c r="P143" s="49">
        <f t="shared" si="154"/>
        <v>31.722</v>
      </c>
      <c r="Q143" s="31"/>
      <c r="R143" s="31"/>
      <c r="S143" s="31"/>
      <c r="T143" s="30">
        <v>114.2</v>
      </c>
      <c r="U143" s="33">
        <f t="shared" si="128"/>
        <v>0.480013450464461</v>
      </c>
      <c r="V143" s="34">
        <f t="shared" si="129"/>
        <v>160.1969</v>
      </c>
      <c r="W143" s="35">
        <f t="shared" si="150"/>
        <v>0.673350846958934</v>
      </c>
      <c r="X143" s="36">
        <f>(L143*'RESULTADO DIRETO'!N$27)/6*3</f>
        <v>16.5796310632015</v>
      </c>
      <c r="Y143" s="35">
        <f t="shared" si="155"/>
        <v>0.0696886682493443</v>
      </c>
      <c r="Z143" s="36">
        <f>(L143*'RESULTADO DIRETO'!N$15)/6*3</f>
        <v>15.1018141921177</v>
      </c>
      <c r="AA143" s="35">
        <f t="shared" si="147"/>
        <v>0.0634770047165638</v>
      </c>
      <c r="AB143" s="36">
        <f t="shared" si="151"/>
        <v>0.394702035</v>
      </c>
      <c r="AC143" s="36">
        <f t="shared" si="140"/>
        <v>0.394702035</v>
      </c>
      <c r="AD143" s="34">
        <f>V143+X143+Z143+AB143+AC143</f>
        <v>192.667749325319</v>
      </c>
      <c r="AE143" s="37">
        <f t="shared" si="152"/>
        <v>0.809834598483961</v>
      </c>
      <c r="AF143" s="36">
        <f t="shared" si="122"/>
        <v>16.6537</v>
      </c>
      <c r="AG143" s="36"/>
      <c r="AH143" s="36">
        <f t="shared" si="153"/>
        <v>12.37132</v>
      </c>
      <c r="AI143" s="34">
        <f t="shared" si="156"/>
        <v>29.02502</v>
      </c>
      <c r="AJ143" s="38">
        <f t="shared" si="142"/>
        <v>221.692769325319</v>
      </c>
      <c r="AK143" s="39">
        <f t="shared" si="148"/>
        <v>0.931834598483961</v>
      </c>
      <c r="AL143" s="38">
        <f t="shared" si="143"/>
        <v>16.2172306746808</v>
      </c>
      <c r="AM143" s="40">
        <f t="shared" si="144"/>
        <v>0.0681654015160388</v>
      </c>
      <c r="AN143" s="38">
        <f t="shared" si="157"/>
        <v>1.49996847613644</v>
      </c>
    </row>
    <row r="144" hidden="1" spans="1:40">
      <c r="A144" s="41">
        <v>46254</v>
      </c>
      <c r="B144" s="41" t="str">
        <v>NORMAL</v>
      </c>
      <c r="C144" s="41" t="str">
        <v>DQB8989</v>
      </c>
      <c r="D144" s="42" t="str">
        <v>CTB</v>
      </c>
      <c r="E144" s="42" t="str">
        <v>PR</v>
      </c>
      <c r="F144" s="42" t="str">
        <v>BHZ</v>
      </c>
      <c r="G144" s="42" t="str">
        <v>MG</v>
      </c>
      <c r="H144" s="42" t="str">
        <v>COLSON DO BRASIL LTDA</v>
      </c>
      <c r="I144" s="209" t="str">
        <v>000189836</v>
      </c>
      <c r="J144" s="43">
        <v>4000.32</v>
      </c>
      <c r="K144" s="44">
        <v>8</v>
      </c>
      <c r="L144" s="45">
        <v>102</v>
      </c>
      <c r="M144" s="46">
        <v>171.41</v>
      </c>
      <c r="N144" s="47">
        <v>0.12</v>
      </c>
      <c r="O144" s="48">
        <f t="shared" si="149"/>
        <v>9.18</v>
      </c>
      <c r="P144" s="49">
        <f t="shared" si="154"/>
        <v>20.4</v>
      </c>
      <c r="Q144" s="52">
        <f t="shared" ref="Q144:Q148" si="161">L144*0.18</f>
        <v>18.36</v>
      </c>
      <c r="R144" s="52">
        <f>L144*0.15</f>
        <v>15.3</v>
      </c>
      <c r="S144" s="31"/>
      <c r="T144" s="54">
        <v>0</v>
      </c>
      <c r="U144" s="33">
        <f t="shared" si="128"/>
        <v>0</v>
      </c>
      <c r="V144" s="34">
        <f t="shared" si="129"/>
        <v>63.24</v>
      </c>
      <c r="W144" s="35">
        <f t="shared" si="150"/>
        <v>0.368939968496587</v>
      </c>
      <c r="X144" s="36">
        <f>(L144*'RESULTADO DIRETO'!N$27)/6*4</f>
        <v>14.2161895504407</v>
      </c>
      <c r="Y144" s="35">
        <f t="shared" si="155"/>
        <v>0.0829367571929335</v>
      </c>
      <c r="Z144" s="36">
        <f>(L144*'RESULTADO DIRETO'!N$15)/6*3</f>
        <v>9.71177761550977</v>
      </c>
      <c r="AA144" s="35">
        <f t="shared" si="147"/>
        <v>0.0566581740593301</v>
      </c>
      <c r="AB144" s="36">
        <f t="shared" si="151"/>
        <v>0.4295543616</v>
      </c>
      <c r="AC144" s="36">
        <f t="shared" si="140"/>
        <v>0.4295543616</v>
      </c>
      <c r="AD144" s="34">
        <f>V144+X144+Z144+AB144+AC144</f>
        <v>88.0270758891505</v>
      </c>
      <c r="AE144" s="37">
        <f t="shared" si="152"/>
        <v>0.513546910268657</v>
      </c>
      <c r="AF144" s="36">
        <f t="shared" si="122"/>
        <v>20.5692</v>
      </c>
      <c r="AG144" s="36"/>
      <c r="AH144" s="36">
        <f t="shared" si="153"/>
        <v>8.91332</v>
      </c>
      <c r="AI144" s="34">
        <f t="shared" si="156"/>
        <v>29.48252</v>
      </c>
      <c r="AJ144" s="38">
        <f t="shared" si="142"/>
        <v>117.50959588915</v>
      </c>
      <c r="AK144" s="39">
        <f t="shared" si="148"/>
        <v>0.685546910268657</v>
      </c>
      <c r="AL144" s="38">
        <f t="shared" si="143"/>
        <v>53.9004041108495</v>
      </c>
      <c r="AM144" s="40">
        <f t="shared" si="144"/>
        <v>0.314453089731343</v>
      </c>
      <c r="AN144" s="38">
        <f t="shared" si="157"/>
        <v>1.68049019607843</v>
      </c>
    </row>
    <row r="145" hidden="1" spans="1:40">
      <c r="A145" s="41">
        <v>46254</v>
      </c>
      <c r="B145" s="41" t="str">
        <v>NORMAL</v>
      </c>
      <c r="C145" s="41" t="str">
        <v>DQB8989</v>
      </c>
      <c r="D145" s="42" t="str">
        <v>CTB</v>
      </c>
      <c r="E145" s="42" t="str">
        <v>PR</v>
      </c>
      <c r="F145" s="42" t="str">
        <v>RJO</v>
      </c>
      <c r="G145" s="42" t="str">
        <v>RJ</v>
      </c>
      <c r="H145" s="42" t="str">
        <v>COLSON DO BRASIL LTDA</v>
      </c>
      <c r="I145" s="209" t="str">
        <v>000189839</v>
      </c>
      <c r="J145" s="43">
        <v>6334.66</v>
      </c>
      <c r="K145" s="44">
        <v>15</v>
      </c>
      <c r="L145" s="45">
        <v>246</v>
      </c>
      <c r="M145" s="46">
        <v>340.43</v>
      </c>
      <c r="N145" s="47">
        <v>0.12</v>
      </c>
      <c r="O145" s="48">
        <f t="shared" si="149"/>
        <v>22.14</v>
      </c>
      <c r="P145" s="49">
        <f t="shared" si="154"/>
        <v>49.2</v>
      </c>
      <c r="Q145" s="50">
        <f t="shared" si="161"/>
        <v>44.28</v>
      </c>
      <c r="R145" s="50">
        <f>M145*0.22</f>
        <v>74.8946</v>
      </c>
      <c r="S145" s="31"/>
      <c r="T145" s="51">
        <v>0</v>
      </c>
      <c r="U145" s="33">
        <f t="shared" si="128"/>
        <v>0</v>
      </c>
      <c r="V145" s="34">
        <f t="shared" si="129"/>
        <v>190.5146</v>
      </c>
      <c r="W145" s="35">
        <f t="shared" si="150"/>
        <v>0.559629292365538</v>
      </c>
      <c r="X145" s="36">
        <f>(L145*'RESULTADO DIRETO'!N$27)/6*4</f>
        <v>34.2861042098865</v>
      </c>
      <c r="Y145" s="35">
        <f t="shared" si="155"/>
        <v>0.100714109243858</v>
      </c>
      <c r="Z145" s="36">
        <f>(L145*'RESULTADO DIRETO'!N$15)/6*3</f>
        <v>23.4225224844647</v>
      </c>
      <c r="AA145" s="35">
        <f t="shared" si="147"/>
        <v>0.0688027567619327</v>
      </c>
      <c r="AB145" s="36">
        <f t="shared" si="151"/>
        <v>0.6802157908</v>
      </c>
      <c r="AC145" s="36">
        <f t="shared" ref="AC145:AC160" si="162">(J145*0.01%)*7.38%+(J145*0.01%)</f>
        <v>0.6802157908</v>
      </c>
      <c r="AD145" s="34">
        <f t="shared" ref="AD145:AD152" si="163">V145+X145+Z145+AB145+AC145</f>
        <v>249.583658275951</v>
      </c>
      <c r="AE145" s="37">
        <f t="shared" si="152"/>
        <v>0.733142373691952</v>
      </c>
      <c r="AF145" s="36">
        <f t="shared" si="122"/>
        <v>40.8516</v>
      </c>
      <c r="AG145" s="36"/>
      <c r="AH145" s="36">
        <f t="shared" si="153"/>
        <v>17.70236</v>
      </c>
      <c r="AI145" s="34">
        <f t="shared" ref="AI145:AI160" si="164">AF145+AG145+AH145</f>
        <v>58.55396</v>
      </c>
      <c r="AJ145" s="38">
        <f t="shared" ref="AJ145:AJ160" si="165">AD145+AI145</f>
        <v>308.137618275951</v>
      </c>
      <c r="AK145" s="39">
        <f t="shared" si="148"/>
        <v>0.905142373691952</v>
      </c>
      <c r="AL145" s="38">
        <f t="shared" ref="AL145:AL160" si="166">M145-AJ145</f>
        <v>32.2923817240488</v>
      </c>
      <c r="AM145" s="40">
        <f t="shared" ref="AM145:AM161" si="167">AL145/M145</f>
        <v>0.0948576263080481</v>
      </c>
      <c r="AN145" s="38">
        <f t="shared" ref="AN145:AN161" si="168">M145/L145</f>
        <v>1.38386178861789</v>
      </c>
    </row>
    <row r="146" spans="1:40">
      <c r="A146" s="41">
        <v>46254</v>
      </c>
      <c r="B146" s="41" t="str">
        <v>NORMAL</v>
      </c>
      <c r="C146" s="41" t="str">
        <v>DQB8989</v>
      </c>
      <c r="D146" s="42" t="str">
        <v>CTB</v>
      </c>
      <c r="E146" s="42" t="str">
        <v>PR</v>
      </c>
      <c r="F146" s="42" t="str">
        <v>SPO</v>
      </c>
      <c r="G146" s="42" t="str">
        <v>SP</v>
      </c>
      <c r="H146" s="42" t="str">
        <v>COLSON DO BRASIL LTDA</v>
      </c>
      <c r="I146" s="209" t="str">
        <v>000189837</v>
      </c>
      <c r="J146" s="43">
        <v>2374.95</v>
      </c>
      <c r="K146" s="44">
        <v>2</v>
      </c>
      <c r="L146" s="45">
        <v>25</v>
      </c>
      <c r="M146" s="46">
        <v>108.59</v>
      </c>
      <c r="N146" s="47">
        <v>0.12</v>
      </c>
      <c r="O146" s="48">
        <f t="shared" si="149"/>
        <v>2.25</v>
      </c>
      <c r="P146" s="49">
        <f t="shared" si="154"/>
        <v>5</v>
      </c>
      <c r="Q146" s="31"/>
      <c r="R146" s="49">
        <f t="shared" ref="R146:R150" si="169">L146*0.19</f>
        <v>4.75</v>
      </c>
      <c r="S146" s="31"/>
      <c r="T146" s="30">
        <v>0</v>
      </c>
      <c r="U146" s="33">
        <f t="shared" si="128"/>
        <v>0</v>
      </c>
      <c r="V146" s="34">
        <f t="shared" si="129"/>
        <v>12</v>
      </c>
      <c r="W146" s="35">
        <f t="shared" si="150"/>
        <v>0.110507413205636</v>
      </c>
      <c r="X146" s="36">
        <f>(L146*'RESULTADO DIRETO'!N$27)/6*3</f>
        <v>2.61327013794866</v>
      </c>
      <c r="Y146" s="35">
        <f t="shared" si="155"/>
        <v>0.0240654769126868</v>
      </c>
      <c r="Z146" s="36">
        <f>(L146*'RESULTADO DIRETO'!N$15)/6*2</f>
        <v>1.58689176724016</v>
      </c>
      <c r="AA146" s="35">
        <f t="shared" si="147"/>
        <v>0.0146136086862525</v>
      </c>
      <c r="AB146" s="36">
        <f t="shared" si="151"/>
        <v>0.255022131</v>
      </c>
      <c r="AC146" s="36">
        <f t="shared" si="162"/>
        <v>0.255022131</v>
      </c>
      <c r="AD146" s="34">
        <f t="shared" si="163"/>
        <v>16.7102061671888</v>
      </c>
      <c r="AE146" s="37">
        <f t="shared" si="152"/>
        <v>0.153883471472408</v>
      </c>
      <c r="AF146" s="36">
        <f t="shared" si="122"/>
        <v>13.0308</v>
      </c>
      <c r="AG146" s="36"/>
      <c r="AH146" s="36">
        <f t="shared" si="153"/>
        <v>5.64668</v>
      </c>
      <c r="AI146" s="34">
        <f t="shared" si="164"/>
        <v>18.67748</v>
      </c>
      <c r="AJ146" s="38">
        <f t="shared" si="165"/>
        <v>35.3876861671888</v>
      </c>
      <c r="AK146" s="39">
        <f t="shared" si="148"/>
        <v>0.325883471472408</v>
      </c>
      <c r="AL146" s="38">
        <f t="shared" si="166"/>
        <v>73.2023138328112</v>
      </c>
      <c r="AM146" s="40">
        <f t="shared" si="167"/>
        <v>0.674116528527592</v>
      </c>
      <c r="AN146" s="38">
        <f t="shared" si="168"/>
        <v>4.3436</v>
      </c>
    </row>
    <row r="147" hidden="1" spans="1:40">
      <c r="A147" s="41">
        <v>46254</v>
      </c>
      <c r="B147" s="41" t="str">
        <v>NORMAL</v>
      </c>
      <c r="C147" s="41" t="str">
        <v>DQB8989</v>
      </c>
      <c r="D147" s="42" t="str">
        <v>CTB</v>
      </c>
      <c r="E147" s="42" t="str">
        <v>PR</v>
      </c>
      <c r="F147" s="42" t="str">
        <v>RJO</v>
      </c>
      <c r="G147" s="42" t="str">
        <v>RJ</v>
      </c>
      <c r="H147" s="42" t="str">
        <v>COLSON DO BRASIL LTDA</v>
      </c>
      <c r="I147" s="209" t="str">
        <v>000189856</v>
      </c>
      <c r="J147" s="43">
        <v>3516.08</v>
      </c>
      <c r="K147" s="44">
        <v>9</v>
      </c>
      <c r="L147" s="45">
        <v>118.74</v>
      </c>
      <c r="M147" s="46">
        <v>188.01</v>
      </c>
      <c r="N147" s="47">
        <v>0.12</v>
      </c>
      <c r="O147" s="48">
        <f t="shared" si="149"/>
        <v>10.6866</v>
      </c>
      <c r="P147" s="49">
        <f t="shared" si="154"/>
        <v>23.748</v>
      </c>
      <c r="Q147" s="50">
        <f t="shared" si="161"/>
        <v>21.3732</v>
      </c>
      <c r="R147" s="50">
        <f>M147*0.22</f>
        <v>41.3622</v>
      </c>
      <c r="S147" s="31"/>
      <c r="T147" s="51">
        <v>0</v>
      </c>
      <c r="U147" s="33">
        <f t="shared" si="128"/>
        <v>0</v>
      </c>
      <c r="V147" s="34">
        <f t="shared" si="129"/>
        <v>97.17</v>
      </c>
      <c r="W147" s="35">
        <f t="shared" si="150"/>
        <v>0.516834210946226</v>
      </c>
      <c r="X147" s="36">
        <f>(L147*'RESULTADO DIRETO'!N$27)/6*4</f>
        <v>16.5493171296013</v>
      </c>
      <c r="Y147" s="35">
        <f t="shared" si="155"/>
        <v>0.0880236004978527</v>
      </c>
      <c r="Z147" s="36">
        <f>(L147*'RESULTADO DIRETO'!N$15)/6*3</f>
        <v>11.3056517065258</v>
      </c>
      <c r="AA147" s="35">
        <f t="shared" si="147"/>
        <v>0.060133246670527</v>
      </c>
      <c r="AB147" s="36">
        <f t="shared" si="151"/>
        <v>0.3775566704</v>
      </c>
      <c r="AC147" s="36">
        <f t="shared" si="162"/>
        <v>0.3775566704</v>
      </c>
      <c r="AD147" s="34">
        <f t="shared" si="163"/>
        <v>125.780082176927</v>
      </c>
      <c r="AE147" s="37">
        <f t="shared" si="152"/>
        <v>0.669007404802548</v>
      </c>
      <c r="AF147" s="36">
        <f t="shared" si="122"/>
        <v>22.5612</v>
      </c>
      <c r="AG147" s="36"/>
      <c r="AH147" s="36">
        <f t="shared" si="153"/>
        <v>9.77652</v>
      </c>
      <c r="AI147" s="34">
        <f t="shared" si="164"/>
        <v>32.33772</v>
      </c>
      <c r="AJ147" s="38">
        <f t="shared" si="165"/>
        <v>158.117802176927</v>
      </c>
      <c r="AK147" s="39">
        <f t="shared" si="148"/>
        <v>0.841007404802548</v>
      </c>
      <c r="AL147" s="38">
        <f t="shared" si="166"/>
        <v>29.8921978230729</v>
      </c>
      <c r="AM147" s="40">
        <f t="shared" si="167"/>
        <v>0.158992595197452</v>
      </c>
      <c r="AN147" s="38">
        <f t="shared" si="168"/>
        <v>1.5833754421425</v>
      </c>
    </row>
    <row r="148" hidden="1" spans="1:40">
      <c r="A148" s="41">
        <v>46254</v>
      </c>
      <c r="B148" s="41" t="str">
        <v>NORMAL</v>
      </c>
      <c r="C148" s="41" t="str">
        <v>DQB8989</v>
      </c>
      <c r="D148" s="42" t="str">
        <v>CTB</v>
      </c>
      <c r="E148" s="42" t="str">
        <v>PR</v>
      </c>
      <c r="F148" s="42" t="str">
        <v>DDB</v>
      </c>
      <c r="G148" s="42" t="str">
        <v>MG</v>
      </c>
      <c r="H148" s="42" t="str">
        <v>COLSON DO BRASIL LTDA</v>
      </c>
      <c r="I148" s="209" t="str">
        <v>000189858</v>
      </c>
      <c r="J148" s="43">
        <v>2446.68</v>
      </c>
      <c r="K148" s="44">
        <v>8</v>
      </c>
      <c r="L148" s="45">
        <v>63.505</v>
      </c>
      <c r="M148" s="46">
        <v>208.66</v>
      </c>
      <c r="N148" s="47">
        <v>0.12</v>
      </c>
      <c r="O148" s="48">
        <f t="shared" si="149"/>
        <v>5.71545</v>
      </c>
      <c r="P148" s="49">
        <f t="shared" si="154"/>
        <v>12.701</v>
      </c>
      <c r="Q148" s="55">
        <f t="shared" si="161"/>
        <v>11.4309</v>
      </c>
      <c r="R148" s="55">
        <v>0</v>
      </c>
      <c r="S148" s="31"/>
      <c r="T148" s="53">
        <v>54</v>
      </c>
      <c r="U148" s="33">
        <f t="shared" si="128"/>
        <v>0.258794210677657</v>
      </c>
      <c r="V148" s="34">
        <f t="shared" si="129"/>
        <v>83.84735</v>
      </c>
      <c r="W148" s="35">
        <f t="shared" si="150"/>
        <v>0.401837199271542</v>
      </c>
      <c r="X148" s="36">
        <f>(L148*'RESULTADO DIRETO'!N$27)/6*4</f>
        <v>8.85097173922292</v>
      </c>
      <c r="Y148" s="35">
        <f t="shared" si="155"/>
        <v>0.0424181526848602</v>
      </c>
      <c r="Z148" s="36">
        <f>(L148*'RESULTADO DIRETO'!N$15)/6*3</f>
        <v>6.04653370071517</v>
      </c>
      <c r="AA148" s="35">
        <f t="shared" si="147"/>
        <v>0.0289779243780081</v>
      </c>
      <c r="AB148" s="36">
        <f t="shared" si="151"/>
        <v>0.2627244984</v>
      </c>
      <c r="AC148" s="36">
        <f t="shared" si="162"/>
        <v>0.2627244984</v>
      </c>
      <c r="AD148" s="34">
        <f t="shared" si="163"/>
        <v>99.2703044367381</v>
      </c>
      <c r="AE148" s="37">
        <f t="shared" si="152"/>
        <v>0.475751482971044</v>
      </c>
      <c r="AF148" s="36">
        <f t="shared" ref="AF148:AF179" si="170">M148*N148</f>
        <v>25.0392</v>
      </c>
      <c r="AG148" s="36"/>
      <c r="AH148" s="36">
        <f t="shared" si="153"/>
        <v>10.85032</v>
      </c>
      <c r="AI148" s="34">
        <f t="shared" si="164"/>
        <v>35.88952</v>
      </c>
      <c r="AJ148" s="38">
        <f t="shared" si="165"/>
        <v>135.159824436738</v>
      </c>
      <c r="AK148" s="39">
        <f t="shared" si="148"/>
        <v>0.647751482971044</v>
      </c>
      <c r="AL148" s="38">
        <f t="shared" si="166"/>
        <v>73.5001755632619</v>
      </c>
      <c r="AM148" s="40">
        <f t="shared" si="167"/>
        <v>0.352248517028956</v>
      </c>
      <c r="AN148" s="38">
        <f t="shared" si="168"/>
        <v>3.28572553342256</v>
      </c>
    </row>
    <row r="149" spans="1:40">
      <c r="A149" s="41">
        <v>46254</v>
      </c>
      <c r="B149" s="41" t="str">
        <v>NORMAL</v>
      </c>
      <c r="C149" s="41" t="str">
        <v>DQB8989</v>
      </c>
      <c r="D149" s="42" t="str">
        <v>CTB</v>
      </c>
      <c r="E149" s="42" t="str">
        <v>PR</v>
      </c>
      <c r="F149" s="42" t="str">
        <v>SPO</v>
      </c>
      <c r="G149" s="42" t="str">
        <v>SP</v>
      </c>
      <c r="H149" s="42" t="str">
        <v>COLSON DO BRASIL LTDA</v>
      </c>
      <c r="I149" s="209" t="str">
        <v>000189911</v>
      </c>
      <c r="J149" s="43">
        <v>5040.41</v>
      </c>
      <c r="K149" s="44">
        <v>3</v>
      </c>
      <c r="L149" s="45">
        <v>42.9</v>
      </c>
      <c r="M149" s="46">
        <v>254.17</v>
      </c>
      <c r="N149" s="47">
        <v>0.12</v>
      </c>
      <c r="O149" s="48">
        <f t="shared" si="149"/>
        <v>3.861</v>
      </c>
      <c r="P149" s="49">
        <f t="shared" si="154"/>
        <v>8.58</v>
      </c>
      <c r="Q149" s="31"/>
      <c r="R149" s="49">
        <f t="shared" si="169"/>
        <v>8.151</v>
      </c>
      <c r="S149" s="31"/>
      <c r="T149" s="30">
        <v>0</v>
      </c>
      <c r="U149" s="33">
        <f t="shared" si="128"/>
        <v>0</v>
      </c>
      <c r="V149" s="34">
        <f t="shared" si="129"/>
        <v>20.592</v>
      </c>
      <c r="W149" s="35">
        <f t="shared" si="150"/>
        <v>0.0810166424046898</v>
      </c>
      <c r="X149" s="36">
        <f>(L149*'RESULTADO DIRETO'!N$27)/6*3</f>
        <v>4.4843715567199</v>
      </c>
      <c r="Y149" s="35">
        <f t="shared" si="155"/>
        <v>0.0176431976894201</v>
      </c>
      <c r="Z149" s="36">
        <f>(L149*'RESULTADO DIRETO'!N$15)/6*2</f>
        <v>2.72310627258411</v>
      </c>
      <c r="AA149" s="35">
        <f t="shared" si="147"/>
        <v>0.0107137202367868</v>
      </c>
      <c r="AB149" s="36">
        <f t="shared" si="151"/>
        <v>0.5412392258</v>
      </c>
      <c r="AC149" s="36">
        <f t="shared" si="162"/>
        <v>0.5412392258</v>
      </c>
      <c r="AD149" s="34">
        <f t="shared" si="163"/>
        <v>28.881956280904</v>
      </c>
      <c r="AE149" s="37">
        <f t="shared" si="152"/>
        <v>0.113632436089641</v>
      </c>
      <c r="AF149" s="36">
        <f t="shared" si="170"/>
        <v>30.5004</v>
      </c>
      <c r="AG149" s="36"/>
      <c r="AH149" s="36">
        <f t="shared" si="153"/>
        <v>13.21684</v>
      </c>
      <c r="AI149" s="34">
        <f t="shared" si="164"/>
        <v>43.71724</v>
      </c>
      <c r="AJ149" s="38">
        <f t="shared" si="165"/>
        <v>72.599196280904</v>
      </c>
      <c r="AK149" s="39">
        <f t="shared" si="148"/>
        <v>0.285632436089641</v>
      </c>
      <c r="AL149" s="38">
        <f t="shared" si="166"/>
        <v>181.570803719096</v>
      </c>
      <c r="AM149" s="40">
        <f t="shared" si="167"/>
        <v>0.714367563910359</v>
      </c>
      <c r="AN149" s="38">
        <f t="shared" si="168"/>
        <v>5.92470862470862</v>
      </c>
    </row>
    <row r="150" spans="1:40">
      <c r="A150" s="41">
        <v>46254</v>
      </c>
      <c r="B150" s="41" t="str">
        <v>NORMAL</v>
      </c>
      <c r="C150" s="41" t="str">
        <v>DQB8989</v>
      </c>
      <c r="D150" s="42" t="str">
        <v>CTB</v>
      </c>
      <c r="E150" s="42" t="str">
        <v>PR</v>
      </c>
      <c r="F150" s="42" t="str">
        <v>SPO</v>
      </c>
      <c r="G150" s="42" t="str">
        <v>SP</v>
      </c>
      <c r="H150" s="42" t="str">
        <v>COLSON DO BRASIL LTDA</v>
      </c>
      <c r="I150" s="209" t="str">
        <v>000189906</v>
      </c>
      <c r="J150" s="43">
        <v>1739.86</v>
      </c>
      <c r="K150" s="44">
        <v>4</v>
      </c>
      <c r="L150" s="45">
        <v>42.01</v>
      </c>
      <c r="M150" s="46">
        <v>398.85</v>
      </c>
      <c r="N150" s="47">
        <v>0.12</v>
      </c>
      <c r="O150" s="48">
        <f t="shared" si="149"/>
        <v>3.7809</v>
      </c>
      <c r="P150" s="49">
        <f t="shared" si="154"/>
        <v>8.402</v>
      </c>
      <c r="Q150" s="31"/>
      <c r="R150" s="49">
        <f t="shared" si="169"/>
        <v>7.9819</v>
      </c>
      <c r="S150" s="31"/>
      <c r="T150" s="30">
        <v>0</v>
      </c>
      <c r="U150" s="33">
        <f t="shared" ref="U150:U181" si="171">T150/M150</f>
        <v>0</v>
      </c>
      <c r="V150" s="34">
        <f t="shared" si="129"/>
        <v>20.1648</v>
      </c>
      <c r="W150" s="35">
        <f t="shared" si="150"/>
        <v>0.0505573523881158</v>
      </c>
      <c r="X150" s="36">
        <f>(L150*'RESULTADO DIRETO'!N$27)/6*3</f>
        <v>4.39133913980893</v>
      </c>
      <c r="Y150" s="35">
        <f t="shared" si="155"/>
        <v>0.0110100016041342</v>
      </c>
      <c r="Z150" s="36">
        <f>(L150*'RESULTADO DIRETO'!N$15)/6*2</f>
        <v>2.66661292567036</v>
      </c>
      <c r="AA150" s="35">
        <f t="shared" si="147"/>
        <v>0.00668575385651338</v>
      </c>
      <c r="AB150" s="36">
        <f t="shared" si="151"/>
        <v>0.1868261668</v>
      </c>
      <c r="AC150" s="36">
        <f t="shared" si="162"/>
        <v>0.1868261668</v>
      </c>
      <c r="AD150" s="34">
        <f t="shared" si="163"/>
        <v>27.5964043990793</v>
      </c>
      <c r="AE150" s="37">
        <f t="shared" si="152"/>
        <v>0.0691899320523487</v>
      </c>
      <c r="AF150" s="36">
        <f t="shared" si="170"/>
        <v>47.862</v>
      </c>
      <c r="AG150" s="36"/>
      <c r="AH150" s="36">
        <f t="shared" si="153"/>
        <v>20.7402</v>
      </c>
      <c r="AI150" s="34">
        <f t="shared" si="164"/>
        <v>68.6022</v>
      </c>
      <c r="AJ150" s="38">
        <f t="shared" si="165"/>
        <v>96.1986043990793</v>
      </c>
      <c r="AK150" s="39">
        <f t="shared" si="148"/>
        <v>0.241189932052349</v>
      </c>
      <c r="AL150" s="38">
        <f t="shared" si="166"/>
        <v>302.651395600921</v>
      </c>
      <c r="AM150" s="40">
        <f t="shared" si="167"/>
        <v>0.758810067947651</v>
      </c>
      <c r="AN150" s="38">
        <f t="shared" si="168"/>
        <v>9.49416805522495</v>
      </c>
    </row>
    <row r="151" spans="1:40">
      <c r="A151" s="41">
        <v>46260</v>
      </c>
      <c r="B151" s="41" t="str">
        <v>NORMAL</v>
      </c>
      <c r="C151" s="41" t="str">
        <v>DQB8989</v>
      </c>
      <c r="D151" s="42" t="str">
        <v>CTB</v>
      </c>
      <c r="E151" s="42" t="str">
        <v>PR</v>
      </c>
      <c r="F151" s="42" t="str">
        <v>PSP</v>
      </c>
      <c r="G151" s="42" t="str">
        <v>SP</v>
      </c>
      <c r="H151" s="42" t="str">
        <v>COLSON DO BRASIL LTDA</v>
      </c>
      <c r="I151" s="209" t="str">
        <v>000190216</v>
      </c>
      <c r="J151" s="43">
        <v>1797.81</v>
      </c>
      <c r="K151" s="44">
        <v>5</v>
      </c>
      <c r="L151" s="45">
        <v>26.652</v>
      </c>
      <c r="M151" s="46">
        <v>144.82</v>
      </c>
      <c r="N151" s="47">
        <v>0.12</v>
      </c>
      <c r="O151" s="48">
        <f t="shared" si="149"/>
        <v>2.39868</v>
      </c>
      <c r="P151" s="49">
        <f t="shared" si="154"/>
        <v>5.3304</v>
      </c>
      <c r="Q151" s="31"/>
      <c r="R151" s="49">
        <f t="shared" ref="R151:R156" si="172">L151*0</f>
        <v>0</v>
      </c>
      <c r="S151" s="31"/>
      <c r="T151" s="53">
        <v>49.5</v>
      </c>
      <c r="U151" s="33">
        <f t="shared" si="171"/>
        <v>0.341803618284767</v>
      </c>
      <c r="V151" s="34">
        <f t="shared" si="129"/>
        <v>57.22908</v>
      </c>
      <c r="W151" s="35">
        <f t="shared" si="150"/>
        <v>0.395173871012291</v>
      </c>
      <c r="X151" s="36">
        <f>(L151*'RESULTADO DIRETO'!N$27)/6*3</f>
        <v>2.78595502866431</v>
      </c>
      <c r="Y151" s="35">
        <f t="shared" si="155"/>
        <v>0.0192373638217395</v>
      </c>
      <c r="Z151" s="36">
        <f>(L151*'RESULTADO DIRETO'!N$15)/6*2</f>
        <v>1.69175357521939</v>
      </c>
      <c r="AA151" s="35">
        <f t="shared" si="147"/>
        <v>0.0116817675405289</v>
      </c>
      <c r="AB151" s="36">
        <f t="shared" si="151"/>
        <v>0.1930488378</v>
      </c>
      <c r="AC151" s="36">
        <f t="shared" si="162"/>
        <v>0.1930488378</v>
      </c>
      <c r="AD151" s="34">
        <f t="shared" si="163"/>
        <v>62.0928862794837</v>
      </c>
      <c r="AE151" s="37">
        <f t="shared" si="152"/>
        <v>0.428759054546911</v>
      </c>
      <c r="AF151" s="36">
        <f t="shared" si="170"/>
        <v>17.3784</v>
      </c>
      <c r="AG151" s="36"/>
      <c r="AH151" s="36">
        <f t="shared" si="153"/>
        <v>7.53064</v>
      </c>
      <c r="AI151" s="34">
        <f t="shared" si="164"/>
        <v>24.90904</v>
      </c>
      <c r="AJ151" s="38">
        <f t="shared" si="165"/>
        <v>87.0019262794837</v>
      </c>
      <c r="AK151" s="39">
        <f t="shared" si="148"/>
        <v>0.600759054546911</v>
      </c>
      <c r="AL151" s="38">
        <f t="shared" si="166"/>
        <v>57.8180737205163</v>
      </c>
      <c r="AM151" s="40">
        <f t="shared" si="167"/>
        <v>0.399240945453089</v>
      </c>
      <c r="AN151" s="38">
        <f t="shared" si="168"/>
        <v>5.43373855620591</v>
      </c>
    </row>
    <row r="152" hidden="1" spans="1:40">
      <c r="A152" s="41">
        <v>46262</v>
      </c>
      <c r="B152" s="41" t="str">
        <v>NORMAL</v>
      </c>
      <c r="C152" s="41" t="str">
        <v>MKY5A07</v>
      </c>
      <c r="D152" s="42" t="str">
        <v>CTB</v>
      </c>
      <c r="E152" s="42" t="str">
        <v>PR</v>
      </c>
      <c r="F152" s="42" t="str">
        <v>PSP</v>
      </c>
      <c r="G152" s="42" t="str">
        <v>SP</v>
      </c>
      <c r="H152" s="42" t="str">
        <v>COLSON DO BRASIL LTDA</v>
      </c>
      <c r="I152" s="209" t="str">
        <v>000190360</v>
      </c>
      <c r="J152" s="43">
        <v>5118.1</v>
      </c>
      <c r="K152" s="44">
        <v>13</v>
      </c>
      <c r="L152" s="45">
        <v>129.78</v>
      </c>
      <c r="M152" s="46">
        <v>533.91</v>
      </c>
      <c r="N152" s="47">
        <v>0.12</v>
      </c>
      <c r="O152" s="48">
        <f t="shared" si="149"/>
        <v>11.6802</v>
      </c>
      <c r="P152" s="49">
        <f t="shared" si="154"/>
        <v>25.956</v>
      </c>
      <c r="Q152" s="31"/>
      <c r="R152" s="49">
        <f t="shared" si="172"/>
        <v>0</v>
      </c>
      <c r="S152" s="31"/>
      <c r="T152" s="53">
        <v>242.91</v>
      </c>
      <c r="U152" s="33">
        <f t="shared" si="171"/>
        <v>0.454964319829185</v>
      </c>
      <c r="V152" s="34">
        <f t="shared" si="129"/>
        <v>280.5462</v>
      </c>
      <c r="W152" s="35">
        <f t="shared" si="150"/>
        <v>0.525455975726246</v>
      </c>
      <c r="X152" s="36">
        <f>(L152*'RESULTADO DIRETO'!N$27)/6*3</f>
        <v>13.5660079401191</v>
      </c>
      <c r="Y152" s="35">
        <f t="shared" si="155"/>
        <v>0.0254087916317715</v>
      </c>
      <c r="Z152" s="36">
        <f>(L152*'RESULTADO DIRETO'!N$15)/6*2</f>
        <v>8.23787254209711</v>
      </c>
      <c r="AA152" s="35">
        <f t="shared" si="147"/>
        <v>0.0154293280554721</v>
      </c>
      <c r="AB152" s="36">
        <f t="shared" si="151"/>
        <v>0.549581578</v>
      </c>
      <c r="AC152" s="36">
        <f t="shared" si="162"/>
        <v>0.549581578</v>
      </c>
      <c r="AD152" s="34">
        <f t="shared" si="163"/>
        <v>303.449243638216</v>
      </c>
      <c r="AE152" s="37">
        <f t="shared" si="152"/>
        <v>0.56835280035627</v>
      </c>
      <c r="AF152" s="36">
        <f t="shared" si="170"/>
        <v>64.0692</v>
      </c>
      <c r="AG152" s="36"/>
      <c r="AH152" s="36">
        <f t="shared" si="153"/>
        <v>27.76332</v>
      </c>
      <c r="AI152" s="34">
        <f t="shared" si="164"/>
        <v>91.83252</v>
      </c>
      <c r="AJ152" s="38">
        <f t="shared" si="165"/>
        <v>395.281763638216</v>
      </c>
      <c r="AK152" s="39">
        <f t="shared" si="148"/>
        <v>0.74035280035627</v>
      </c>
      <c r="AL152" s="38">
        <f t="shared" si="166"/>
        <v>138.628236361784</v>
      </c>
      <c r="AM152" s="40">
        <f t="shared" si="167"/>
        <v>0.25964719964373</v>
      </c>
      <c r="AN152" s="38">
        <f t="shared" si="168"/>
        <v>4.11396208969024</v>
      </c>
    </row>
    <row r="153" hidden="1" spans="1:40">
      <c r="A153" s="41">
        <v>46254</v>
      </c>
      <c r="B153" s="41" t="str">
        <v>NORMAL</v>
      </c>
      <c r="C153" s="41" t="str">
        <v>DQB8989</v>
      </c>
      <c r="D153" s="42" t="str">
        <v>CTB</v>
      </c>
      <c r="E153" s="42" t="str">
        <v>PR</v>
      </c>
      <c r="F153" s="42" t="str">
        <v>RJO</v>
      </c>
      <c r="G153" s="42" t="str">
        <v>RJ</v>
      </c>
      <c r="H153" s="42" t="str">
        <v>COLSON DO BRASIL LTDA</v>
      </c>
      <c r="I153" s="209" t="str">
        <v>000189898</v>
      </c>
      <c r="J153" s="43">
        <v>5055.31</v>
      </c>
      <c r="K153" s="44">
        <v>17</v>
      </c>
      <c r="L153" s="45">
        <v>201.132</v>
      </c>
      <c r="M153" s="46">
        <v>571.36</v>
      </c>
      <c r="N153" s="47">
        <v>0.12</v>
      </c>
      <c r="O153" s="48">
        <f t="shared" si="149"/>
        <v>18.10188</v>
      </c>
      <c r="P153" s="49">
        <f t="shared" si="154"/>
        <v>40.2264</v>
      </c>
      <c r="Q153" s="50">
        <f t="shared" ref="Q153:Q155" si="173">L153*0.18</f>
        <v>36.20376</v>
      </c>
      <c r="R153" s="50">
        <f t="shared" ref="R153:R155" si="174">M153*0.22</f>
        <v>125.6992</v>
      </c>
      <c r="S153" s="31"/>
      <c r="T153" s="51">
        <v>0</v>
      </c>
      <c r="U153" s="33">
        <f t="shared" si="171"/>
        <v>0</v>
      </c>
      <c r="V153" s="34">
        <f t="shared" ref="V153:V184" si="175">O153+P153+Q153+R153+S153+T153</f>
        <v>220.23124</v>
      </c>
      <c r="W153" s="35">
        <f t="shared" si="150"/>
        <v>0.385450924110893</v>
      </c>
      <c r="X153" s="36">
        <f>(L153*'RESULTADO DIRETO'!N$27)/6*4</f>
        <v>28.0326533005808</v>
      </c>
      <c r="Y153" s="35">
        <f t="shared" si="155"/>
        <v>0.0490630308397172</v>
      </c>
      <c r="Z153" s="36">
        <f>(L153*'RESULTADO DIRETO'!N$15)/6*3</f>
        <v>19.1504828957129</v>
      </c>
      <c r="AA153" s="35">
        <f t="shared" si="147"/>
        <v>0.0335173671515557</v>
      </c>
      <c r="AB153" s="36">
        <f t="shared" si="151"/>
        <v>0.5428391878</v>
      </c>
      <c r="AC153" s="36">
        <f t="shared" si="162"/>
        <v>0.5428391878</v>
      </c>
      <c r="AD153" s="34">
        <f t="shared" ref="AD152:AD157" si="176">V153+X153+Z153+AB153+AC153</f>
        <v>268.500054571894</v>
      </c>
      <c r="AE153" s="37">
        <f t="shared" si="152"/>
        <v>0.469931487279287</v>
      </c>
      <c r="AF153" s="36">
        <f t="shared" si="170"/>
        <v>68.5632</v>
      </c>
      <c r="AG153" s="36"/>
      <c r="AH153" s="36">
        <f t="shared" si="153"/>
        <v>29.71072</v>
      </c>
      <c r="AI153" s="34">
        <f t="shared" si="164"/>
        <v>98.27392</v>
      </c>
      <c r="AJ153" s="38">
        <f t="shared" si="165"/>
        <v>366.773974571894</v>
      </c>
      <c r="AK153" s="39">
        <f t="shared" si="148"/>
        <v>0.641931487279287</v>
      </c>
      <c r="AL153" s="38">
        <f t="shared" si="166"/>
        <v>204.586025428106</v>
      </c>
      <c r="AM153" s="40">
        <f t="shared" si="167"/>
        <v>0.358068512720713</v>
      </c>
      <c r="AN153" s="38">
        <f t="shared" si="168"/>
        <v>2.8407215162182</v>
      </c>
    </row>
    <row r="154" hidden="1" spans="1:40">
      <c r="A154" s="41">
        <v>46254</v>
      </c>
      <c r="B154" s="41" t="str">
        <v>NORMAL</v>
      </c>
      <c r="C154" s="41" t="str">
        <v>DQB8989</v>
      </c>
      <c r="D154" s="42" t="str">
        <v>CTB</v>
      </c>
      <c r="E154" s="42" t="str">
        <v>PR</v>
      </c>
      <c r="F154" s="42" t="str">
        <v>MVG</v>
      </c>
      <c r="G154" s="42" t="str">
        <v>RJ</v>
      </c>
      <c r="H154" s="42" t="str">
        <v>COLSON DO BRASIL LTDA</v>
      </c>
      <c r="I154" s="209" t="str">
        <v>000189893</v>
      </c>
      <c r="J154" s="43">
        <v>6327.31</v>
      </c>
      <c r="K154" s="44">
        <v>20</v>
      </c>
      <c r="L154" s="45">
        <v>254.09</v>
      </c>
      <c r="M154" s="46">
        <v>710.7</v>
      </c>
      <c r="N154" s="47">
        <v>0.12</v>
      </c>
      <c r="O154" s="48">
        <f t="shared" si="149"/>
        <v>22.8681</v>
      </c>
      <c r="P154" s="49">
        <f t="shared" si="154"/>
        <v>50.818</v>
      </c>
      <c r="Q154" s="50">
        <f t="shared" si="173"/>
        <v>45.7362</v>
      </c>
      <c r="R154" s="50">
        <f t="shared" si="174"/>
        <v>156.354</v>
      </c>
      <c r="S154" s="31"/>
      <c r="T154" s="53">
        <v>316.59</v>
      </c>
      <c r="U154" s="33">
        <f t="shared" si="171"/>
        <v>0.445462220346138</v>
      </c>
      <c r="V154" s="34">
        <f t="shared" si="175"/>
        <v>592.3663</v>
      </c>
      <c r="W154" s="35">
        <f t="shared" si="150"/>
        <v>0.833496974813564</v>
      </c>
      <c r="X154" s="36">
        <f>(L154*'RESULTADO DIRETO'!N$27)/6*4</f>
        <v>35.4136431654067</v>
      </c>
      <c r="Y154" s="35">
        <f t="shared" si="155"/>
        <v>0.049829243232597</v>
      </c>
      <c r="Z154" s="36">
        <f>(L154*'RESULTADO DIRETO'!N$15)/6*3</f>
        <v>24.1927997482831</v>
      </c>
      <c r="AA154" s="35">
        <f t="shared" si="147"/>
        <v>0.0340408044861167</v>
      </c>
      <c r="AB154" s="36">
        <f t="shared" si="151"/>
        <v>0.6794265478</v>
      </c>
      <c r="AC154" s="36">
        <f t="shared" si="162"/>
        <v>0.6794265478</v>
      </c>
      <c r="AD154" s="34">
        <f t="shared" si="176"/>
        <v>653.33159600929</v>
      </c>
      <c r="AE154" s="37">
        <f t="shared" si="152"/>
        <v>0.91927901506865</v>
      </c>
      <c r="AF154" s="36">
        <f t="shared" si="170"/>
        <v>85.284</v>
      </c>
      <c r="AG154" s="36"/>
      <c r="AH154" s="36">
        <f t="shared" si="153"/>
        <v>36.9564</v>
      </c>
      <c r="AI154" s="34">
        <f t="shared" si="164"/>
        <v>122.2404</v>
      </c>
      <c r="AJ154" s="38">
        <f t="shared" si="165"/>
        <v>775.57199600929</v>
      </c>
      <c r="AK154" s="39">
        <f t="shared" si="148"/>
        <v>1.09127901506865</v>
      </c>
      <c r="AL154" s="38">
        <f t="shared" si="166"/>
        <v>-64.8719960092897</v>
      </c>
      <c r="AM154" s="40">
        <f t="shared" si="167"/>
        <v>-0.0912790150686501</v>
      </c>
      <c r="AN154" s="38">
        <f t="shared" si="168"/>
        <v>2.79704041874926</v>
      </c>
    </row>
    <row r="155" hidden="1" spans="1:40">
      <c r="A155" s="41">
        <v>46254</v>
      </c>
      <c r="B155" s="41" t="str">
        <v>NORMAL</v>
      </c>
      <c r="C155" s="41" t="str">
        <v>DQB8989</v>
      </c>
      <c r="D155" s="42" t="str">
        <v>CTB</v>
      </c>
      <c r="E155" s="42" t="str">
        <v>PR</v>
      </c>
      <c r="F155" s="42" t="str">
        <v>RCG</v>
      </c>
      <c r="G155" s="42" t="str">
        <v>RJ</v>
      </c>
      <c r="H155" s="42" t="str">
        <v>COLSON DO BRASIL LTDA</v>
      </c>
      <c r="I155" s="209" t="str">
        <v>000189917</v>
      </c>
      <c r="J155" s="43">
        <v>5032.97</v>
      </c>
      <c r="K155" s="44">
        <v>16</v>
      </c>
      <c r="L155" s="45">
        <v>201.05</v>
      </c>
      <c r="M155" s="46">
        <v>348.74</v>
      </c>
      <c r="N155" s="47">
        <v>0.12</v>
      </c>
      <c r="O155" s="48">
        <f t="shared" si="149"/>
        <v>18.0945</v>
      </c>
      <c r="P155" s="49">
        <f t="shared" si="154"/>
        <v>40.21</v>
      </c>
      <c r="Q155" s="50">
        <f t="shared" si="173"/>
        <v>36.189</v>
      </c>
      <c r="R155" s="50">
        <f t="shared" si="174"/>
        <v>76.7228</v>
      </c>
      <c r="S155" s="31"/>
      <c r="T155" s="53">
        <v>135.98</v>
      </c>
      <c r="U155" s="33">
        <f t="shared" si="171"/>
        <v>0.389917990480014</v>
      </c>
      <c r="V155" s="34">
        <f t="shared" si="175"/>
        <v>307.1963</v>
      </c>
      <c r="W155" s="35">
        <f t="shared" si="150"/>
        <v>0.880874863795378</v>
      </c>
      <c r="X155" s="36">
        <f>(L155*'RESULTADO DIRETO'!N$27)/6*4</f>
        <v>28.0212245991775</v>
      </c>
      <c r="Y155" s="35">
        <f t="shared" si="155"/>
        <v>0.0803499013568203</v>
      </c>
      <c r="Z155" s="36">
        <f>(L155*'RESULTADO DIRETO'!N$15)/6*3</f>
        <v>19.142675388218</v>
      </c>
      <c r="AA155" s="35">
        <f t="shared" si="147"/>
        <v>0.0548909657286747</v>
      </c>
      <c r="AB155" s="36">
        <f t="shared" si="151"/>
        <v>0.5404403186</v>
      </c>
      <c r="AC155" s="36">
        <f t="shared" si="162"/>
        <v>0.5404403186</v>
      </c>
      <c r="AD155" s="34">
        <f t="shared" si="176"/>
        <v>355.441080624596</v>
      </c>
      <c r="AE155" s="37">
        <f t="shared" si="152"/>
        <v>1.01921511907035</v>
      </c>
      <c r="AF155" s="36">
        <f t="shared" si="170"/>
        <v>41.8488</v>
      </c>
      <c r="AG155" s="36"/>
      <c r="AH155" s="36">
        <f t="shared" si="153"/>
        <v>18.13448</v>
      </c>
      <c r="AI155" s="34">
        <f t="shared" si="164"/>
        <v>59.98328</v>
      </c>
      <c r="AJ155" s="38">
        <f t="shared" si="165"/>
        <v>415.424360624596</v>
      </c>
      <c r="AK155" s="39">
        <f t="shared" si="148"/>
        <v>1.19121511907035</v>
      </c>
      <c r="AL155" s="38">
        <f t="shared" si="166"/>
        <v>-66.6843606245956</v>
      </c>
      <c r="AM155" s="40">
        <f t="shared" si="167"/>
        <v>-0.191215119070355</v>
      </c>
      <c r="AN155" s="38">
        <f t="shared" si="168"/>
        <v>1.73459338473017</v>
      </c>
    </row>
    <row r="156" hidden="1" spans="1:40">
      <c r="A156" s="41">
        <v>46262</v>
      </c>
      <c r="B156" s="41" t="str">
        <v>NORMAL</v>
      </c>
      <c r="C156" s="41" t="str">
        <v>MKY5A07</v>
      </c>
      <c r="D156" s="42" t="str">
        <v>CTB</v>
      </c>
      <c r="E156" s="42" t="str">
        <v>PR</v>
      </c>
      <c r="F156" s="42" t="str">
        <v>PSP</v>
      </c>
      <c r="G156" s="42" t="str">
        <v>SP</v>
      </c>
      <c r="H156" s="42" t="str">
        <v>COLSON DO BRASIL LTDA</v>
      </c>
      <c r="I156" s="209" t="str">
        <v>000190361</v>
      </c>
      <c r="J156" s="43">
        <v>2790.85</v>
      </c>
      <c r="K156" s="44">
        <v>10</v>
      </c>
      <c r="L156" s="45">
        <v>94.8</v>
      </c>
      <c r="M156" s="46">
        <v>259.09</v>
      </c>
      <c r="N156" s="47">
        <v>0.12</v>
      </c>
      <c r="O156" s="48">
        <f t="shared" si="149"/>
        <v>8.532</v>
      </c>
      <c r="P156" s="49">
        <f t="shared" si="154"/>
        <v>18.96</v>
      </c>
      <c r="Q156" s="31"/>
      <c r="R156" s="49">
        <f t="shared" si="172"/>
        <v>0</v>
      </c>
      <c r="S156" s="31"/>
      <c r="T156" s="53">
        <v>66</v>
      </c>
      <c r="U156" s="33">
        <f t="shared" si="171"/>
        <v>0.25473773592188</v>
      </c>
      <c r="V156" s="34">
        <f t="shared" si="175"/>
        <v>93.492</v>
      </c>
      <c r="W156" s="35">
        <f t="shared" si="150"/>
        <v>0.36084758192134</v>
      </c>
      <c r="X156" s="36">
        <f>(L156*'RESULTADO DIRETO'!N$27)/6*3</f>
        <v>9.90952036310133</v>
      </c>
      <c r="Y156" s="35">
        <f t="shared" si="155"/>
        <v>0.0382474057783061</v>
      </c>
      <c r="Z156" s="36">
        <f>(L156*'RESULTADO DIRETO'!N$15)/6*2</f>
        <v>6.01749358137468</v>
      </c>
      <c r="AA156" s="35">
        <f t="shared" si="147"/>
        <v>0.0232254953158157</v>
      </c>
      <c r="AB156" s="36">
        <f t="shared" si="151"/>
        <v>0.299681473</v>
      </c>
      <c r="AC156" s="36">
        <f t="shared" si="162"/>
        <v>0.299681473</v>
      </c>
      <c r="AD156" s="34">
        <f t="shared" si="176"/>
        <v>110.018376890476</v>
      </c>
      <c r="AE156" s="37">
        <f t="shared" si="152"/>
        <v>0.424633821801212</v>
      </c>
      <c r="AF156" s="36">
        <f t="shared" si="170"/>
        <v>31.0908</v>
      </c>
      <c r="AG156" s="36"/>
      <c r="AH156" s="36">
        <f t="shared" si="153"/>
        <v>13.47268</v>
      </c>
      <c r="AI156" s="34">
        <f t="shared" si="164"/>
        <v>44.56348</v>
      </c>
      <c r="AJ156" s="38">
        <f t="shared" si="165"/>
        <v>154.581856890476</v>
      </c>
      <c r="AK156" s="39">
        <f t="shared" si="148"/>
        <v>0.596633821801212</v>
      </c>
      <c r="AL156" s="38">
        <f t="shared" si="166"/>
        <v>104.508143109524</v>
      </c>
      <c r="AM156" s="40">
        <f t="shared" si="167"/>
        <v>0.403366178198788</v>
      </c>
      <c r="AN156" s="38">
        <f t="shared" si="168"/>
        <v>2.73301687763713</v>
      </c>
    </row>
    <row r="157" hidden="1" spans="1:40">
      <c r="A157" s="41">
        <v>46255</v>
      </c>
      <c r="B157" s="41" t="str">
        <v>NORMAL</v>
      </c>
      <c r="C157" s="41" t="str">
        <v>AFF1761</v>
      </c>
      <c r="D157" s="42" t="str">
        <v>CTB</v>
      </c>
      <c r="E157" s="42" t="str">
        <v>PR</v>
      </c>
      <c r="F157" s="42" t="str">
        <v>DDB</v>
      </c>
      <c r="G157" s="42" t="str">
        <v>MG</v>
      </c>
      <c r="H157" s="42" t="str">
        <v>COLSON DO BRASIL LTDA</v>
      </c>
      <c r="I157" s="209" t="str">
        <v>000189966</v>
      </c>
      <c r="J157" s="43">
        <v>26010.75</v>
      </c>
      <c r="K157" s="44">
        <v>2</v>
      </c>
      <c r="L157" s="45">
        <v>1318.05</v>
      </c>
      <c r="M157" s="46">
        <v>2067.2</v>
      </c>
      <c r="N157" s="47">
        <v>0.12</v>
      </c>
      <c r="O157" s="48">
        <f t="shared" si="149"/>
        <v>118.6245</v>
      </c>
      <c r="P157" s="49">
        <f t="shared" si="154"/>
        <v>263.61</v>
      </c>
      <c r="Q157" s="55">
        <f t="shared" ref="Q157:Q160" si="177">L157*0.18</f>
        <v>237.249</v>
      </c>
      <c r="R157" s="55">
        <v>0</v>
      </c>
      <c r="S157" s="31"/>
      <c r="T157" s="53">
        <v>711.75</v>
      </c>
      <c r="U157" s="33">
        <f t="shared" si="171"/>
        <v>0.344306308049536</v>
      </c>
      <c r="V157" s="34">
        <f t="shared" si="175"/>
        <v>1331.2335</v>
      </c>
      <c r="W157" s="35">
        <f t="shared" si="150"/>
        <v>0.64397905379257</v>
      </c>
      <c r="X157" s="36">
        <f>(L157*'RESULTADO DIRETO'!N$27)/6*4</f>
        <v>183.702437617239</v>
      </c>
      <c r="Y157" s="35">
        <f t="shared" si="155"/>
        <v>0.0888653432745933</v>
      </c>
      <c r="Z157" s="36">
        <f>(L157*'RESULTADO DIRETO'!N$15)/6*3</f>
        <v>125.496161628653</v>
      </c>
      <c r="AA157" s="35">
        <f t="shared" si="147"/>
        <v>0.0607082825216009</v>
      </c>
      <c r="AB157" s="36">
        <f t="shared" si="151"/>
        <v>2.793034335</v>
      </c>
      <c r="AC157" s="36">
        <f t="shared" si="162"/>
        <v>2.793034335</v>
      </c>
      <c r="AD157" s="34">
        <f t="shared" si="176"/>
        <v>1646.01816791589</v>
      </c>
      <c r="AE157" s="37">
        <f t="shared" si="152"/>
        <v>0.796254918689964</v>
      </c>
      <c r="AF157" s="36">
        <f t="shared" si="170"/>
        <v>248.064</v>
      </c>
      <c r="AG157" s="36"/>
      <c r="AH157" s="36">
        <f t="shared" si="153"/>
        <v>107.4944</v>
      </c>
      <c r="AI157" s="34">
        <f t="shared" si="164"/>
        <v>355.5584</v>
      </c>
      <c r="AJ157" s="38">
        <f t="shared" si="165"/>
        <v>2001.57656791589</v>
      </c>
      <c r="AK157" s="39">
        <f t="shared" si="148"/>
        <v>0.968254918689963</v>
      </c>
      <c r="AL157" s="38">
        <f t="shared" si="166"/>
        <v>65.6234320841074</v>
      </c>
      <c r="AM157" s="40">
        <f t="shared" si="167"/>
        <v>0.0317450813100365</v>
      </c>
      <c r="AN157" s="38">
        <f t="shared" si="168"/>
        <v>1.56837752740791</v>
      </c>
    </row>
    <row r="158" hidden="1" spans="1:40">
      <c r="A158" s="41">
        <v>46255</v>
      </c>
      <c r="B158" s="41" t="str">
        <v>NORMAL</v>
      </c>
      <c r="C158" s="41" t="str">
        <v>AFF1761</v>
      </c>
      <c r="D158" s="42" t="str">
        <v>CTB</v>
      </c>
      <c r="E158" s="42" t="str">
        <v>PR</v>
      </c>
      <c r="F158" s="42" t="str">
        <v>RCG</v>
      </c>
      <c r="G158" s="42" t="str">
        <v>RJ</v>
      </c>
      <c r="H158" s="42" t="str">
        <v>COLSON DO BRASIL LTDA</v>
      </c>
      <c r="I158" s="209" t="str">
        <v>000189969</v>
      </c>
      <c r="J158" s="43">
        <v>1214.35</v>
      </c>
      <c r="K158" s="44">
        <v>3</v>
      </c>
      <c r="L158" s="45">
        <v>38.25</v>
      </c>
      <c r="M158" s="46">
        <v>130.56</v>
      </c>
      <c r="N158" s="47">
        <v>0.12</v>
      </c>
      <c r="O158" s="48">
        <f t="shared" si="149"/>
        <v>3.4425</v>
      </c>
      <c r="P158" s="49">
        <f t="shared" si="154"/>
        <v>7.65</v>
      </c>
      <c r="Q158" s="50">
        <f t="shared" si="177"/>
        <v>6.885</v>
      </c>
      <c r="R158" s="50">
        <f>M158*0.22</f>
        <v>28.7232</v>
      </c>
      <c r="S158" s="31"/>
      <c r="T158" s="53">
        <v>53.34</v>
      </c>
      <c r="U158" s="33">
        <f t="shared" si="171"/>
        <v>0.408547794117647</v>
      </c>
      <c r="V158" s="34">
        <f t="shared" si="175"/>
        <v>100.0407</v>
      </c>
      <c r="W158" s="35">
        <f t="shared" si="150"/>
        <v>0.766243106617647</v>
      </c>
      <c r="X158" s="36">
        <f>(L158*'RESULTADO DIRETO'!N$27)/6*4</f>
        <v>5.33107108141527</v>
      </c>
      <c r="Y158" s="35">
        <f t="shared" si="155"/>
        <v>0.0408323459054478</v>
      </c>
      <c r="Z158" s="36">
        <f>(L158*'RESULTADO DIRETO'!N$15)/6*3</f>
        <v>3.64191660581616</v>
      </c>
      <c r="AA158" s="35">
        <f t="shared" si="147"/>
        <v>0.0278945818460184</v>
      </c>
      <c r="AB158" s="36">
        <f t="shared" si="151"/>
        <v>0.130396903</v>
      </c>
      <c r="AC158" s="36">
        <f t="shared" si="162"/>
        <v>0.130396903</v>
      </c>
      <c r="AD158" s="34">
        <f t="shared" ref="AD158:AD162" si="178">V158+X158+Z158+AB158+AC158</f>
        <v>109.274481493231</v>
      </c>
      <c r="AE158" s="37">
        <f t="shared" si="152"/>
        <v>0.836967535946932</v>
      </c>
      <c r="AF158" s="36">
        <f t="shared" si="170"/>
        <v>15.6672</v>
      </c>
      <c r="AG158" s="36"/>
      <c r="AH158" s="36">
        <f t="shared" si="153"/>
        <v>6.78912</v>
      </c>
      <c r="AI158" s="34">
        <f t="shared" si="164"/>
        <v>22.45632</v>
      </c>
      <c r="AJ158" s="38">
        <f t="shared" si="165"/>
        <v>131.730801493231</v>
      </c>
      <c r="AK158" s="39">
        <f t="shared" si="148"/>
        <v>1.00896753594693</v>
      </c>
      <c r="AL158" s="38">
        <f t="shared" si="166"/>
        <v>-1.17080149323144</v>
      </c>
      <c r="AM158" s="40">
        <f t="shared" si="167"/>
        <v>-0.00896753594693196</v>
      </c>
      <c r="AN158" s="38">
        <f t="shared" si="168"/>
        <v>3.41333333333333</v>
      </c>
    </row>
    <row r="159" spans="1:40">
      <c r="A159" s="41">
        <v>46255</v>
      </c>
      <c r="B159" s="41" t="str">
        <v>NORMAL</v>
      </c>
      <c r="C159" s="41" t="str">
        <v>AFF1761</v>
      </c>
      <c r="D159" s="42" t="str">
        <v>CTB</v>
      </c>
      <c r="E159" s="42" t="str">
        <v>PR</v>
      </c>
      <c r="F159" s="42" t="str">
        <v>SPO</v>
      </c>
      <c r="G159" s="42" t="str">
        <v>SP</v>
      </c>
      <c r="H159" s="42" t="str">
        <v>COLSON DO BRASIL LTDA</v>
      </c>
      <c r="I159" s="209" t="str">
        <v>000189935</v>
      </c>
      <c r="J159" s="43">
        <v>1284.39</v>
      </c>
      <c r="K159" s="44">
        <v>2</v>
      </c>
      <c r="L159" s="45">
        <v>34</v>
      </c>
      <c r="M159" s="46">
        <v>112.55</v>
      </c>
      <c r="N159" s="47">
        <v>0.12</v>
      </c>
      <c r="O159" s="48">
        <f t="shared" si="149"/>
        <v>3.06</v>
      </c>
      <c r="P159" s="49">
        <f t="shared" si="154"/>
        <v>6.8</v>
      </c>
      <c r="Q159" s="31"/>
      <c r="R159" s="49">
        <f>L159*0.19</f>
        <v>6.46</v>
      </c>
      <c r="S159" s="31"/>
      <c r="T159" s="30">
        <v>0</v>
      </c>
      <c r="U159" s="33">
        <f t="shared" si="171"/>
        <v>0</v>
      </c>
      <c r="V159" s="34">
        <f t="shared" si="175"/>
        <v>16.32</v>
      </c>
      <c r="W159" s="35">
        <f t="shared" si="150"/>
        <v>0.145002221235007</v>
      </c>
      <c r="X159" s="36">
        <f>(L159*'RESULTADO DIRETO'!N$27)/6*3</f>
        <v>3.55404738761018</v>
      </c>
      <c r="Y159" s="35">
        <f t="shared" si="155"/>
        <v>0.0315774978908057</v>
      </c>
      <c r="Z159" s="36">
        <f>(L159*'RESULTADO DIRETO'!N$15)/6*2</f>
        <v>2.15817280344662</v>
      </c>
      <c r="AA159" s="35">
        <f t="shared" si="147"/>
        <v>0.0191752359257807</v>
      </c>
      <c r="AB159" s="36">
        <f t="shared" si="151"/>
        <v>0.1379177982</v>
      </c>
      <c r="AC159" s="36">
        <f t="shared" si="162"/>
        <v>0.1379177982</v>
      </c>
      <c r="AD159" s="34">
        <f t="shared" si="178"/>
        <v>22.3080557874568</v>
      </c>
      <c r="AE159" s="37">
        <f t="shared" si="152"/>
        <v>0.198205737782824</v>
      </c>
      <c r="AF159" s="36">
        <f t="shared" si="170"/>
        <v>13.506</v>
      </c>
      <c r="AG159" s="36"/>
      <c r="AH159" s="36">
        <f t="shared" si="153"/>
        <v>5.8526</v>
      </c>
      <c r="AI159" s="34">
        <f t="shared" si="164"/>
        <v>19.3586</v>
      </c>
      <c r="AJ159" s="38">
        <f t="shared" si="165"/>
        <v>41.6666557874568</v>
      </c>
      <c r="AK159" s="39">
        <f t="shared" si="148"/>
        <v>0.370205737782824</v>
      </c>
      <c r="AL159" s="38">
        <f t="shared" si="166"/>
        <v>70.8833442125432</v>
      </c>
      <c r="AM159" s="40">
        <f t="shared" si="167"/>
        <v>0.629794262217176</v>
      </c>
      <c r="AN159" s="38">
        <f t="shared" si="168"/>
        <v>3.31029411764706</v>
      </c>
    </row>
    <row r="160" hidden="1" spans="1:40">
      <c r="A160" s="41">
        <v>46255</v>
      </c>
      <c r="B160" s="41" t="str">
        <v>NORMAL</v>
      </c>
      <c r="C160" s="41" t="str">
        <v>AFF1761</v>
      </c>
      <c r="D160" s="42" t="str">
        <v>CTB</v>
      </c>
      <c r="E160" s="42" t="str">
        <v>PR</v>
      </c>
      <c r="F160" s="42" t="str">
        <v>NVS</v>
      </c>
      <c r="G160" s="42" t="str">
        <v>MG</v>
      </c>
      <c r="H160" s="42" t="str">
        <v>COLSON DO BRASIL LTDA</v>
      </c>
      <c r="I160" s="209" t="str">
        <v>000189952</v>
      </c>
      <c r="J160" s="43">
        <v>4580.77</v>
      </c>
      <c r="K160" s="44">
        <v>17</v>
      </c>
      <c r="L160" s="45">
        <v>129.485</v>
      </c>
      <c r="M160" s="46">
        <v>249.22</v>
      </c>
      <c r="N160" s="47">
        <v>0.12</v>
      </c>
      <c r="O160" s="48">
        <f t="shared" si="149"/>
        <v>11.65365</v>
      </c>
      <c r="P160" s="49">
        <f t="shared" si="154"/>
        <v>25.897</v>
      </c>
      <c r="Q160" s="55">
        <f t="shared" si="177"/>
        <v>23.3073</v>
      </c>
      <c r="R160" s="55">
        <f>L160*0.06</f>
        <v>7.7691</v>
      </c>
      <c r="S160" s="31"/>
      <c r="T160" s="53">
        <v>44.8596</v>
      </c>
      <c r="U160" s="33">
        <f t="shared" si="171"/>
        <v>0.18</v>
      </c>
      <c r="V160" s="34">
        <f t="shared" si="175"/>
        <v>113.48665</v>
      </c>
      <c r="W160" s="35">
        <f t="shared" si="150"/>
        <v>0.455367346119894</v>
      </c>
      <c r="X160" s="36">
        <f>(L160*'RESULTADO DIRETO'!N$27)/6*4</f>
        <v>18.0468951366551</v>
      </c>
      <c r="Y160" s="35">
        <f t="shared" si="155"/>
        <v>0.0724135107000043</v>
      </c>
      <c r="Z160" s="36">
        <f>(L160*'RESULTADO DIRETO'!N$15)/6*3</f>
        <v>12.3287208288655</v>
      </c>
      <c r="AA160" s="35">
        <f t="shared" ref="AA160:AA191" si="179">Z160/M160</f>
        <v>0.0494692273046526</v>
      </c>
      <c r="AB160" s="36">
        <f t="shared" si="151"/>
        <v>0.4918830826</v>
      </c>
      <c r="AC160" s="36">
        <f t="shared" ref="AC160:AC191" si="180">(J160*0.01%)*7.38%+(J160*0.01%)</f>
        <v>0.4918830826</v>
      </c>
      <c r="AD160" s="34">
        <f t="shared" si="178"/>
        <v>144.846032130721</v>
      </c>
      <c r="AE160" s="37">
        <f t="shared" si="152"/>
        <v>0.581197464612473</v>
      </c>
      <c r="AF160" s="36">
        <f t="shared" si="170"/>
        <v>29.9064</v>
      </c>
      <c r="AG160" s="36"/>
      <c r="AH160" s="36">
        <f t="shared" si="153"/>
        <v>12.95944</v>
      </c>
      <c r="AI160" s="34">
        <f t="shared" ref="AI160:AI191" si="181">AF160+AG160+AH160</f>
        <v>42.86584</v>
      </c>
      <c r="AJ160" s="38">
        <f t="shared" ref="AJ160:AJ191" si="182">AD160+AI160</f>
        <v>187.711872130721</v>
      </c>
      <c r="AK160" s="39">
        <f t="shared" ref="AK160:AK191" si="183">AJ160/M160</f>
        <v>0.753197464612473</v>
      </c>
      <c r="AL160" s="38">
        <f t="shared" ref="AL160:AL191" si="184">M160-AJ160</f>
        <v>61.5081278692794</v>
      </c>
      <c r="AM160" s="40">
        <f t="shared" ref="AM160:AM191" si="185">AL160/M160</f>
        <v>0.246802535387527</v>
      </c>
      <c r="AN160" s="38">
        <f t="shared" ref="AN160:AN191" si="186">M160/L160</f>
        <v>1.92470170289995</v>
      </c>
    </row>
    <row r="161" hidden="1" spans="1:40">
      <c r="A161" s="41">
        <v>46255</v>
      </c>
      <c r="B161" s="41" t="str">
        <v>NORMAL</v>
      </c>
      <c r="C161" s="41" t="str">
        <v>AFF1761</v>
      </c>
      <c r="D161" s="42" t="str">
        <v>CTB</v>
      </c>
      <c r="E161" s="42" t="str">
        <v>PR</v>
      </c>
      <c r="F161" s="42" t="str">
        <v>RJO</v>
      </c>
      <c r="G161" s="42" t="str">
        <v>RJ</v>
      </c>
      <c r="H161" s="42" t="str">
        <v>COLSON DO BRASIL LTDA</v>
      </c>
      <c r="I161" s="209" t="str">
        <v>000189986</v>
      </c>
      <c r="J161" s="43">
        <v>3927.58</v>
      </c>
      <c r="K161" s="44">
        <v>12</v>
      </c>
      <c r="L161" s="45">
        <v>108.3</v>
      </c>
      <c r="M161" s="46">
        <v>179.67</v>
      </c>
      <c r="N161" s="47">
        <v>0.12</v>
      </c>
      <c r="O161" s="48">
        <f t="shared" si="149"/>
        <v>9.747</v>
      </c>
      <c r="P161" s="49">
        <f t="shared" si="154"/>
        <v>21.66</v>
      </c>
      <c r="Q161" s="50">
        <f t="shared" ref="Q161:Q166" si="187">L161*0.18</f>
        <v>19.494</v>
      </c>
      <c r="R161" s="50">
        <f t="shared" ref="R161:R166" si="188">M161*0.22</f>
        <v>39.5274</v>
      </c>
      <c r="S161" s="31"/>
      <c r="T161" s="51">
        <v>0</v>
      </c>
      <c r="U161" s="33">
        <f t="shared" si="171"/>
        <v>0</v>
      </c>
      <c r="V161" s="34">
        <f t="shared" si="175"/>
        <v>90.4284</v>
      </c>
      <c r="W161" s="35">
        <f t="shared" si="150"/>
        <v>0.50330272165637</v>
      </c>
      <c r="X161" s="36">
        <f>(L161*'RESULTADO DIRETO'!N$27)/6*4</f>
        <v>15.0942483167915</v>
      </c>
      <c r="Y161" s="35">
        <f t="shared" si="155"/>
        <v>0.0840109551777786</v>
      </c>
      <c r="Z161" s="36">
        <f>(L161*'RESULTADO DIRETO'!N$15)/6*3</f>
        <v>10.3116227035265</v>
      </c>
      <c r="AA161" s="35">
        <f t="shared" si="179"/>
        <v>0.0573920114850924</v>
      </c>
      <c r="AB161" s="36">
        <f t="shared" si="151"/>
        <v>0.4217435404</v>
      </c>
      <c r="AC161" s="36">
        <f t="shared" si="180"/>
        <v>0.4217435404</v>
      </c>
      <c r="AD161" s="34">
        <f t="shared" si="178"/>
        <v>116.677758101118</v>
      </c>
      <c r="AE161" s="37">
        <f t="shared" si="152"/>
        <v>0.649400334508366</v>
      </c>
      <c r="AF161" s="36">
        <f t="shared" si="170"/>
        <v>21.5604</v>
      </c>
      <c r="AG161" s="36"/>
      <c r="AH161" s="36">
        <f t="shared" si="153"/>
        <v>9.34284</v>
      </c>
      <c r="AI161" s="34">
        <f t="shared" si="181"/>
        <v>30.90324</v>
      </c>
      <c r="AJ161" s="38">
        <f t="shared" si="182"/>
        <v>147.580998101118</v>
      </c>
      <c r="AK161" s="39">
        <f t="shared" si="183"/>
        <v>0.821400334508366</v>
      </c>
      <c r="AL161" s="38">
        <f t="shared" si="184"/>
        <v>32.0890018988819</v>
      </c>
      <c r="AM161" s="40">
        <f t="shared" si="185"/>
        <v>0.178599665491634</v>
      </c>
      <c r="AN161" s="38">
        <f t="shared" si="186"/>
        <v>1.6590027700831</v>
      </c>
    </row>
    <row r="162" hidden="1" spans="1:40">
      <c r="A162" s="41">
        <v>46255</v>
      </c>
      <c r="B162" s="41" t="str">
        <v>NORMAL</v>
      </c>
      <c r="C162" s="41" t="str">
        <v>AFF1761</v>
      </c>
      <c r="D162" s="42" t="str">
        <v>CTB</v>
      </c>
      <c r="E162" s="42" t="str">
        <v>PR</v>
      </c>
      <c r="F162" s="42" t="str">
        <v>NSL</v>
      </c>
      <c r="G162" s="42" t="str">
        <v>SP</v>
      </c>
      <c r="H162" s="42" t="str">
        <v>COLSON DO BRASIL LTDA</v>
      </c>
      <c r="I162" s="209" t="str">
        <v>000189970</v>
      </c>
      <c r="J162" s="43">
        <v>8328.37</v>
      </c>
      <c r="K162" s="44">
        <v>26</v>
      </c>
      <c r="L162" s="45">
        <v>256.99</v>
      </c>
      <c r="M162" s="46">
        <v>371.39</v>
      </c>
      <c r="N162" s="47">
        <v>0.12</v>
      </c>
      <c r="O162" s="48">
        <f t="shared" si="149"/>
        <v>23.1291</v>
      </c>
      <c r="P162" s="49">
        <f t="shared" si="154"/>
        <v>51.398</v>
      </c>
      <c r="Q162" s="31"/>
      <c r="R162" s="49">
        <f>L162*0.09</f>
        <v>23.1291</v>
      </c>
      <c r="S162" s="31"/>
      <c r="T162" s="53">
        <v>169.91</v>
      </c>
      <c r="U162" s="33">
        <f t="shared" si="171"/>
        <v>0.457497509356741</v>
      </c>
      <c r="V162" s="34">
        <f t="shared" si="175"/>
        <v>267.5662</v>
      </c>
      <c r="W162" s="35">
        <f t="shared" si="150"/>
        <v>0.720445353940601</v>
      </c>
      <c r="X162" s="36">
        <f>(L162*'RESULTADO DIRETO'!N$27)/6*3</f>
        <v>26.8633717100571</v>
      </c>
      <c r="Y162" s="35">
        <f t="shared" si="155"/>
        <v>0.0723319736935757</v>
      </c>
      <c r="Z162" s="36">
        <f>(L162*'RESULTADO DIRETO'!N$15)/6*2</f>
        <v>16.3126126105219</v>
      </c>
      <c r="AA162" s="35">
        <f t="shared" si="179"/>
        <v>0.0439231336614393</v>
      </c>
      <c r="AB162" s="36">
        <f t="shared" si="151"/>
        <v>0.8943003706</v>
      </c>
      <c r="AC162" s="36">
        <f t="shared" si="180"/>
        <v>0.8943003706</v>
      </c>
      <c r="AD162" s="34">
        <f t="shared" si="178"/>
        <v>312.530785061779</v>
      </c>
      <c r="AE162" s="37">
        <f t="shared" si="152"/>
        <v>0.841516424948919</v>
      </c>
      <c r="AF162" s="36">
        <f t="shared" si="170"/>
        <v>44.5668</v>
      </c>
      <c r="AG162" s="36"/>
      <c r="AH162" s="36">
        <f t="shared" si="153"/>
        <v>19.31228</v>
      </c>
      <c r="AI162" s="34">
        <f t="shared" si="181"/>
        <v>63.87908</v>
      </c>
      <c r="AJ162" s="38">
        <f t="shared" si="182"/>
        <v>376.409865061779</v>
      </c>
      <c r="AK162" s="39">
        <f t="shared" si="183"/>
        <v>1.01351642494892</v>
      </c>
      <c r="AL162" s="38">
        <f t="shared" si="184"/>
        <v>-5.01986506177894</v>
      </c>
      <c r="AM162" s="40">
        <f t="shared" si="185"/>
        <v>-0.0135164249489188</v>
      </c>
      <c r="AN162" s="38">
        <f t="shared" si="186"/>
        <v>1.4451535079186</v>
      </c>
    </row>
    <row r="163" hidden="1" spans="1:40">
      <c r="A163" s="41">
        <v>46259</v>
      </c>
      <c r="B163" s="41" t="str">
        <v>NORMAL</v>
      </c>
      <c r="C163" s="41" t="str">
        <v>MMB8B50</v>
      </c>
      <c r="D163" s="42" t="str">
        <v>CTB</v>
      </c>
      <c r="E163" s="42" t="str">
        <v>PR</v>
      </c>
      <c r="F163" s="42" t="str">
        <v>EPS</v>
      </c>
      <c r="G163" s="42" t="str">
        <v>ES</v>
      </c>
      <c r="H163" s="42" t="str">
        <v>COLSON DO BRASIL LTDA</v>
      </c>
      <c r="I163" s="209" t="str">
        <v>000190015</v>
      </c>
      <c r="J163" s="43">
        <v>2165.79</v>
      </c>
      <c r="K163" s="44">
        <v>6</v>
      </c>
      <c r="L163" s="45">
        <v>75.9</v>
      </c>
      <c r="M163" s="46">
        <v>443.14</v>
      </c>
      <c r="N163" s="47">
        <v>0.07</v>
      </c>
      <c r="O163" s="48">
        <f t="shared" si="149"/>
        <v>6.831</v>
      </c>
      <c r="P163" s="49">
        <f t="shared" si="154"/>
        <v>15.18</v>
      </c>
      <c r="Q163" s="31"/>
      <c r="R163" s="31"/>
      <c r="S163" s="31"/>
      <c r="T163" s="30">
        <v>212.71</v>
      </c>
      <c r="U163" s="33">
        <f t="shared" si="171"/>
        <v>0.480006318544929</v>
      </c>
      <c r="V163" s="34">
        <f t="shared" si="175"/>
        <v>234.721</v>
      </c>
      <c r="W163" s="35">
        <f t="shared" si="150"/>
        <v>0.529676851559327</v>
      </c>
      <c r="X163" s="36">
        <f>(L163*'RESULTADO DIRETO'!N$27)/6*3</f>
        <v>7.93388813881214</v>
      </c>
      <c r="Y163" s="35">
        <f t="shared" si="155"/>
        <v>0.0179037959534507</v>
      </c>
      <c r="Z163" s="36">
        <f>(L163*'RESULTADO DIRETO'!N$15)/6*3</f>
        <v>7.22670510801168</v>
      </c>
      <c r="AA163" s="35">
        <f t="shared" si="179"/>
        <v>0.0163079503272367</v>
      </c>
      <c r="AB163" s="36">
        <f t="shared" si="151"/>
        <v>0.2325625302</v>
      </c>
      <c r="AC163" s="36">
        <f t="shared" si="180"/>
        <v>0.2325625302</v>
      </c>
      <c r="AD163" s="34"/>
      <c r="AE163" s="37">
        <f t="shared" si="152"/>
        <v>0</v>
      </c>
      <c r="AF163" s="36">
        <f t="shared" si="170"/>
        <v>31.0198</v>
      </c>
      <c r="AG163" s="36"/>
      <c r="AH163" s="36">
        <f t="shared" si="153"/>
        <v>23.04328</v>
      </c>
      <c r="AI163" s="34">
        <f t="shared" si="181"/>
        <v>54.06308</v>
      </c>
      <c r="AJ163" s="38">
        <f t="shared" si="182"/>
        <v>54.06308</v>
      </c>
      <c r="AK163" s="39">
        <f t="shared" si="183"/>
        <v>0.122</v>
      </c>
      <c r="AL163" s="38">
        <f t="shared" si="184"/>
        <v>389.07692</v>
      </c>
      <c r="AM163" s="40">
        <f t="shared" si="185"/>
        <v>0.878</v>
      </c>
      <c r="AN163" s="38">
        <f t="shared" si="186"/>
        <v>5.83847167325428</v>
      </c>
    </row>
    <row r="164" hidden="1" spans="1:40">
      <c r="A164" s="41">
        <v>46259</v>
      </c>
      <c r="B164" s="41" t="str">
        <v>NORMAL</v>
      </c>
      <c r="C164" s="41" t="str">
        <v>MMB8B50</v>
      </c>
      <c r="D164" s="42" t="str">
        <v>CTB</v>
      </c>
      <c r="E164" s="42" t="str">
        <v>PR</v>
      </c>
      <c r="F164" s="42" t="str">
        <v>RSO</v>
      </c>
      <c r="G164" s="42" t="str">
        <v>SP</v>
      </c>
      <c r="H164" s="42" t="str">
        <v>COLSON DO BRASIL LTDA</v>
      </c>
      <c r="I164" s="209" t="str">
        <v>000190050</v>
      </c>
      <c r="J164" s="43">
        <v>5040.75</v>
      </c>
      <c r="K164" s="44">
        <v>11</v>
      </c>
      <c r="L164" s="45">
        <v>58.871</v>
      </c>
      <c r="M164" s="46">
        <v>469.08</v>
      </c>
      <c r="N164" s="47">
        <v>0.12</v>
      </c>
      <c r="O164" s="48">
        <f t="shared" si="149"/>
        <v>5.29839</v>
      </c>
      <c r="P164" s="49">
        <f t="shared" si="154"/>
        <v>11.7742</v>
      </c>
      <c r="Q164" s="31"/>
      <c r="R164" s="49">
        <f>L164*0.09</f>
        <v>5.29839</v>
      </c>
      <c r="S164" s="31"/>
      <c r="T164" s="53">
        <v>92.05</v>
      </c>
      <c r="U164" s="33">
        <f t="shared" si="171"/>
        <v>0.196235183763964</v>
      </c>
      <c r="V164" s="34">
        <f t="shared" si="175"/>
        <v>114.42098</v>
      </c>
      <c r="W164" s="35">
        <f t="shared" si="150"/>
        <v>0.243926366504647</v>
      </c>
      <c r="X164" s="36">
        <f>(L164*'RESULTADO DIRETO'!N$27)/6*3</f>
        <v>6.15383305164703</v>
      </c>
      <c r="Y164" s="35">
        <f t="shared" si="155"/>
        <v>0.0131189414420718</v>
      </c>
      <c r="Z164" s="36">
        <f>(L164*'RESULTADO DIRETO'!N$15)/6*2</f>
        <v>3.73687620916781</v>
      </c>
      <c r="AA164" s="35">
        <f t="shared" si="179"/>
        <v>0.00796639423801444</v>
      </c>
      <c r="AB164" s="36">
        <f t="shared" si="151"/>
        <v>0.541275735</v>
      </c>
      <c r="AC164" s="36">
        <f t="shared" si="180"/>
        <v>0.541275735</v>
      </c>
      <c r="AD164" s="34">
        <f>V164+X164+Z164+AB164+AC164</f>
        <v>125.394240730815</v>
      </c>
      <c r="AE164" s="37">
        <f t="shared" si="152"/>
        <v>0.267319520616558</v>
      </c>
      <c r="AF164" s="36">
        <f t="shared" si="170"/>
        <v>56.2896</v>
      </c>
      <c r="AG164" s="36"/>
      <c r="AH164" s="36">
        <f t="shared" si="153"/>
        <v>24.39216</v>
      </c>
      <c r="AI164" s="34">
        <f t="shared" si="181"/>
        <v>80.68176</v>
      </c>
      <c r="AJ164" s="38">
        <f t="shared" si="182"/>
        <v>206.076000730815</v>
      </c>
      <c r="AK164" s="39">
        <f t="shared" si="183"/>
        <v>0.439319520616558</v>
      </c>
      <c r="AL164" s="38">
        <f t="shared" si="184"/>
        <v>263.003999269185</v>
      </c>
      <c r="AM164" s="40">
        <f t="shared" si="185"/>
        <v>0.560680479383442</v>
      </c>
      <c r="AN164" s="38">
        <f t="shared" si="186"/>
        <v>7.96792988058637</v>
      </c>
    </row>
    <row r="165" hidden="1" spans="1:40">
      <c r="A165" s="41">
        <v>46259</v>
      </c>
      <c r="B165" s="41" t="str">
        <v>NORMAL</v>
      </c>
      <c r="C165" s="41" t="str">
        <v>MMB8B50</v>
      </c>
      <c r="D165" s="42" t="str">
        <v>CTB</v>
      </c>
      <c r="E165" s="42" t="str">
        <v>PR</v>
      </c>
      <c r="F165" s="42" t="str">
        <v>RJO</v>
      </c>
      <c r="G165" s="42" t="str">
        <v>RJ</v>
      </c>
      <c r="H165" s="42" t="str">
        <v>COLSON DO BRASIL LTDA</v>
      </c>
      <c r="I165" s="209" t="str">
        <v>000190019</v>
      </c>
      <c r="J165" s="43">
        <v>2516.05</v>
      </c>
      <c r="K165" s="44">
        <v>5</v>
      </c>
      <c r="L165" s="45">
        <v>75</v>
      </c>
      <c r="M165" s="46">
        <v>168.49</v>
      </c>
      <c r="N165" s="47">
        <v>0.12</v>
      </c>
      <c r="O165" s="48">
        <f t="shared" si="149"/>
        <v>6.75</v>
      </c>
      <c r="P165" s="49">
        <f t="shared" si="154"/>
        <v>15</v>
      </c>
      <c r="Q165" s="50">
        <f t="shared" si="187"/>
        <v>13.5</v>
      </c>
      <c r="R165" s="50">
        <f t="shared" si="188"/>
        <v>37.0678</v>
      </c>
      <c r="S165" s="31"/>
      <c r="T165" s="51">
        <v>0</v>
      </c>
      <c r="U165" s="33">
        <f t="shared" si="171"/>
        <v>0</v>
      </c>
      <c r="V165" s="34">
        <f t="shared" si="175"/>
        <v>72.3178</v>
      </c>
      <c r="W165" s="35">
        <f t="shared" si="150"/>
        <v>0.429211229153065</v>
      </c>
      <c r="X165" s="36">
        <f>(L165*'RESULTADO DIRETO'!N$27)/6*4</f>
        <v>10.4530805517946</v>
      </c>
      <c r="Y165" s="35">
        <f t="shared" si="155"/>
        <v>0.062039768246155</v>
      </c>
      <c r="Z165" s="36">
        <f>(L165*'RESULTADO DIRETO'!N$15)/6*3</f>
        <v>7.14101295258071</v>
      </c>
      <c r="AA165" s="35">
        <f t="shared" si="179"/>
        <v>0.0423824141051737</v>
      </c>
      <c r="AB165" s="36">
        <f t="shared" si="151"/>
        <v>0.270173449</v>
      </c>
      <c r="AC165" s="36">
        <f t="shared" si="180"/>
        <v>0.270173449</v>
      </c>
      <c r="AD165" s="34">
        <f t="shared" ref="AD165:AD171" si="189">V165+X165+Z165+AB165+AC165</f>
        <v>90.4522404023754</v>
      </c>
      <c r="AE165" s="37">
        <f t="shared" si="152"/>
        <v>0.536840408346937</v>
      </c>
      <c r="AF165" s="36">
        <f t="shared" si="170"/>
        <v>20.2188</v>
      </c>
      <c r="AG165" s="36"/>
      <c r="AH165" s="36">
        <f t="shared" si="153"/>
        <v>8.76148</v>
      </c>
      <c r="AI165" s="34">
        <f t="shared" si="181"/>
        <v>28.98028</v>
      </c>
      <c r="AJ165" s="38">
        <f t="shared" si="182"/>
        <v>119.432520402375</v>
      </c>
      <c r="AK165" s="39">
        <f t="shared" si="183"/>
        <v>0.708840408346937</v>
      </c>
      <c r="AL165" s="38">
        <f t="shared" si="184"/>
        <v>49.0574795976246</v>
      </c>
      <c r="AM165" s="40">
        <f t="shared" si="185"/>
        <v>0.291159591653063</v>
      </c>
      <c r="AN165" s="38">
        <f t="shared" si="186"/>
        <v>2.24653333333333</v>
      </c>
    </row>
    <row r="166" hidden="1" spans="1:40">
      <c r="A166" s="41">
        <v>46259</v>
      </c>
      <c r="B166" s="41" t="str">
        <v>NORMAL</v>
      </c>
      <c r="C166" s="41" t="str">
        <v>MMB8B50</v>
      </c>
      <c r="D166" s="42" t="str">
        <v>CTB</v>
      </c>
      <c r="E166" s="42" t="str">
        <v>PR</v>
      </c>
      <c r="F166" s="42" t="str">
        <v>RJO</v>
      </c>
      <c r="G166" s="42" t="str">
        <v>RJ</v>
      </c>
      <c r="H166" s="42" t="str">
        <v>COLSON DO BRASIL LTDA</v>
      </c>
      <c r="I166" s="209" t="str">
        <v>000189575</v>
      </c>
      <c r="J166" s="43">
        <v>2401.45</v>
      </c>
      <c r="K166" s="44">
        <v>6</v>
      </c>
      <c r="L166" s="45">
        <v>68.6</v>
      </c>
      <c r="M166" s="46">
        <v>431.93</v>
      </c>
      <c r="N166" s="47">
        <v>0.12</v>
      </c>
      <c r="O166" s="48">
        <f t="shared" si="149"/>
        <v>6.174</v>
      </c>
      <c r="P166" s="49">
        <f t="shared" si="154"/>
        <v>13.72</v>
      </c>
      <c r="Q166" s="50">
        <f t="shared" si="187"/>
        <v>12.348</v>
      </c>
      <c r="R166" s="50">
        <f t="shared" si="188"/>
        <v>95.0246</v>
      </c>
      <c r="S166" s="31"/>
      <c r="T166" s="51">
        <v>0</v>
      </c>
      <c r="U166" s="33">
        <f t="shared" si="171"/>
        <v>0</v>
      </c>
      <c r="V166" s="34">
        <f t="shared" si="175"/>
        <v>127.2666</v>
      </c>
      <c r="W166" s="35">
        <f t="shared" si="150"/>
        <v>0.294646354733406</v>
      </c>
      <c r="X166" s="36">
        <f>(L166*'RESULTADO DIRETO'!N$27)/6*4</f>
        <v>9.56108434470817</v>
      </c>
      <c r="Y166" s="35">
        <f t="shared" si="155"/>
        <v>0.0221357264943583</v>
      </c>
      <c r="Z166" s="36">
        <f>(L166*'RESULTADO DIRETO'!N$15)/6*3</f>
        <v>6.53164651396049</v>
      </c>
      <c r="AA166" s="35">
        <f t="shared" si="179"/>
        <v>0.0151220024401187</v>
      </c>
      <c r="AB166" s="36">
        <f t="shared" si="151"/>
        <v>0.257867701</v>
      </c>
      <c r="AC166" s="36">
        <f t="shared" si="180"/>
        <v>0.257867701</v>
      </c>
      <c r="AD166" s="34">
        <f t="shared" si="189"/>
        <v>143.875066260669</v>
      </c>
      <c r="AE166" s="37">
        <f t="shared" si="152"/>
        <v>0.333098109093299</v>
      </c>
      <c r="AF166" s="36">
        <f t="shared" si="170"/>
        <v>51.8316</v>
      </c>
      <c r="AG166" s="36"/>
      <c r="AH166" s="36">
        <f t="shared" si="153"/>
        <v>22.46036</v>
      </c>
      <c r="AI166" s="34">
        <f t="shared" si="181"/>
        <v>74.29196</v>
      </c>
      <c r="AJ166" s="38">
        <f t="shared" si="182"/>
        <v>218.167026260669</v>
      </c>
      <c r="AK166" s="39">
        <f t="shared" si="183"/>
        <v>0.505098109093299</v>
      </c>
      <c r="AL166" s="38">
        <f t="shared" si="184"/>
        <v>213.762973739331</v>
      </c>
      <c r="AM166" s="40">
        <f t="shared" si="185"/>
        <v>0.494901890906701</v>
      </c>
      <c r="AN166" s="38">
        <f t="shared" si="186"/>
        <v>6.2963556851312</v>
      </c>
    </row>
    <row r="167" spans="1:40">
      <c r="A167" s="41">
        <v>46259</v>
      </c>
      <c r="B167" s="41" t="str">
        <v>NORMAL</v>
      </c>
      <c r="C167" s="41" t="str">
        <v>MMB8B50</v>
      </c>
      <c r="D167" s="42" t="str">
        <v>CTB</v>
      </c>
      <c r="E167" s="42" t="str">
        <v>PR</v>
      </c>
      <c r="F167" s="42" t="str">
        <v>SJK</v>
      </c>
      <c r="G167" s="42" t="str">
        <v>SP</v>
      </c>
      <c r="H167" s="42" t="str">
        <v>COLSON DO BRASIL LTDA</v>
      </c>
      <c r="I167" s="209" t="str">
        <v>000190048</v>
      </c>
      <c r="J167" s="43">
        <v>386.61</v>
      </c>
      <c r="K167" s="44">
        <v>1</v>
      </c>
      <c r="L167" s="45">
        <v>1.98</v>
      </c>
      <c r="M167" s="46">
        <v>79.53</v>
      </c>
      <c r="N167" s="47">
        <v>0.12</v>
      </c>
      <c r="O167" s="48">
        <f t="shared" si="149"/>
        <v>0.1782</v>
      </c>
      <c r="P167" s="49">
        <f t="shared" si="154"/>
        <v>0.396</v>
      </c>
      <c r="Q167" s="31"/>
      <c r="R167" s="49">
        <f>L167*0</f>
        <v>0</v>
      </c>
      <c r="S167" s="31"/>
      <c r="T167" s="53">
        <v>42.02</v>
      </c>
      <c r="U167" s="33">
        <f t="shared" si="171"/>
        <v>0.5283540802213</v>
      </c>
      <c r="V167" s="34">
        <f t="shared" si="175"/>
        <v>42.5942</v>
      </c>
      <c r="W167" s="35">
        <f t="shared" si="150"/>
        <v>0.535573997233748</v>
      </c>
      <c r="X167" s="36">
        <f>(L167*'RESULTADO DIRETO'!N$27)/6*3</f>
        <v>0.206970994925534</v>
      </c>
      <c r="Y167" s="35">
        <f t="shared" si="155"/>
        <v>0.00260242669339286</v>
      </c>
      <c r="Z167" s="36">
        <f>(L167*'RESULTADO DIRETO'!N$15)/6*2</f>
        <v>0.125681827965421</v>
      </c>
      <c r="AA167" s="35">
        <f t="shared" si="179"/>
        <v>0.00158030715409808</v>
      </c>
      <c r="AB167" s="36">
        <f t="shared" si="151"/>
        <v>0.0415141818</v>
      </c>
      <c r="AC167" s="36">
        <f t="shared" si="180"/>
        <v>0.0415141818</v>
      </c>
      <c r="AD167" s="34">
        <f t="shared" si="189"/>
        <v>43.009881186491</v>
      </c>
      <c r="AE167" s="37">
        <f t="shared" si="152"/>
        <v>0.540800719055588</v>
      </c>
      <c r="AF167" s="36">
        <f t="shared" si="170"/>
        <v>9.5436</v>
      </c>
      <c r="AG167" s="36"/>
      <c r="AH167" s="36">
        <f t="shared" si="153"/>
        <v>4.13556</v>
      </c>
      <c r="AI167" s="34">
        <f t="shared" si="181"/>
        <v>13.67916</v>
      </c>
      <c r="AJ167" s="38">
        <f t="shared" si="182"/>
        <v>56.689041186491</v>
      </c>
      <c r="AK167" s="39">
        <f t="shared" si="183"/>
        <v>0.712800719055589</v>
      </c>
      <c r="AL167" s="38">
        <f t="shared" si="184"/>
        <v>22.840958813509</v>
      </c>
      <c r="AM167" s="40">
        <f t="shared" si="185"/>
        <v>0.287199280944411</v>
      </c>
      <c r="AN167" s="38">
        <f t="shared" si="186"/>
        <v>40.1666666666667</v>
      </c>
    </row>
    <row r="168" hidden="1" spans="1:40">
      <c r="A168" s="41">
        <v>46259</v>
      </c>
      <c r="B168" s="41" t="str">
        <v>NORMAL</v>
      </c>
      <c r="C168" s="41" t="str">
        <v>MMB8B50</v>
      </c>
      <c r="D168" s="42" t="str">
        <v>CTB</v>
      </c>
      <c r="E168" s="42" t="str">
        <v>PR</v>
      </c>
      <c r="F168" s="42" t="str">
        <v>MVG</v>
      </c>
      <c r="G168" s="42" t="str">
        <v>RJ</v>
      </c>
      <c r="H168" s="42" t="str">
        <v>COLSON DO BRASIL LTDA</v>
      </c>
      <c r="I168" s="209" t="str">
        <v>000190018</v>
      </c>
      <c r="J168" s="43">
        <v>3247.5</v>
      </c>
      <c r="K168" s="44">
        <v>13</v>
      </c>
      <c r="L168" s="45">
        <v>120.601</v>
      </c>
      <c r="M168" s="46">
        <v>225.38</v>
      </c>
      <c r="N168" s="47">
        <v>0.12</v>
      </c>
      <c r="O168" s="48">
        <f t="shared" si="149"/>
        <v>10.85409</v>
      </c>
      <c r="P168" s="49">
        <f t="shared" si="154"/>
        <v>24.1202</v>
      </c>
      <c r="Q168" s="50">
        <f t="shared" ref="Q168:Q173" si="190">L168*0.18</f>
        <v>21.70818</v>
      </c>
      <c r="R168" s="50">
        <f t="shared" ref="R168:R173" si="191">M168*0.22</f>
        <v>49.5836</v>
      </c>
      <c r="S168" s="31"/>
      <c r="T168" s="53">
        <v>76.55</v>
      </c>
      <c r="U168" s="33">
        <f t="shared" si="171"/>
        <v>0.339648593486556</v>
      </c>
      <c r="V168" s="34">
        <f t="shared" si="175"/>
        <v>182.81607</v>
      </c>
      <c r="W168" s="35">
        <f t="shared" si="150"/>
        <v>0.811145931316</v>
      </c>
      <c r="X168" s="36">
        <f>(L168*'RESULTADO DIRETO'!N$27)/6*4</f>
        <v>16.8086929016932</v>
      </c>
      <c r="Y168" s="35">
        <f t="shared" si="155"/>
        <v>0.0745793455572507</v>
      </c>
      <c r="Z168" s="36">
        <f>(L168*'RESULTADO DIRETO'!N$15)/6*3</f>
        <v>11.4828440412558</v>
      </c>
      <c r="AA168" s="35">
        <f t="shared" si="179"/>
        <v>0.0509488155171525</v>
      </c>
      <c r="AB168" s="36">
        <f t="shared" si="151"/>
        <v>0.34871655</v>
      </c>
      <c r="AC168" s="36">
        <f t="shared" si="180"/>
        <v>0.34871655</v>
      </c>
      <c r="AD168" s="34">
        <f t="shared" si="189"/>
        <v>211.805040042949</v>
      </c>
      <c r="AE168" s="37">
        <f t="shared" si="152"/>
        <v>0.939768568830193</v>
      </c>
      <c r="AF168" s="36">
        <f t="shared" si="170"/>
        <v>27.0456</v>
      </c>
      <c r="AG168" s="36"/>
      <c r="AH168" s="36">
        <f t="shared" si="153"/>
        <v>11.71976</v>
      </c>
      <c r="AI168" s="34">
        <f t="shared" si="181"/>
        <v>38.76536</v>
      </c>
      <c r="AJ168" s="38">
        <f t="shared" si="182"/>
        <v>250.570400042949</v>
      </c>
      <c r="AK168" s="39">
        <f t="shared" si="183"/>
        <v>1.11176856883019</v>
      </c>
      <c r="AL168" s="38">
        <f t="shared" si="184"/>
        <v>-25.1904000429489</v>
      </c>
      <c r="AM168" s="40">
        <f t="shared" si="185"/>
        <v>-0.111768568830193</v>
      </c>
      <c r="AN168" s="38">
        <f t="shared" si="186"/>
        <v>1.86880705798459</v>
      </c>
    </row>
    <row r="169" hidden="1" spans="1:40">
      <c r="A169" s="41">
        <v>46259</v>
      </c>
      <c r="B169" s="41" t="str">
        <v>NORMAL</v>
      </c>
      <c r="C169" s="41" t="str">
        <v>MMB8B50</v>
      </c>
      <c r="D169" s="42" t="str">
        <v>CTB</v>
      </c>
      <c r="E169" s="42" t="str">
        <v>PR</v>
      </c>
      <c r="F169" s="42" t="str">
        <v>RJO</v>
      </c>
      <c r="G169" s="42" t="str">
        <v>RJ</v>
      </c>
      <c r="H169" s="42" t="str">
        <v>COLSON DO BRASIL LTDA</v>
      </c>
      <c r="I169" s="209" t="str">
        <v>000190074</v>
      </c>
      <c r="J169" s="43">
        <v>2416.57</v>
      </c>
      <c r="K169" s="44">
        <v>10</v>
      </c>
      <c r="L169" s="45">
        <v>107.35</v>
      </c>
      <c r="M169" s="46">
        <v>170.11</v>
      </c>
      <c r="N169" s="47">
        <v>0.12</v>
      </c>
      <c r="O169" s="48">
        <f t="shared" si="149"/>
        <v>9.6615</v>
      </c>
      <c r="P169" s="49">
        <f t="shared" si="154"/>
        <v>21.47</v>
      </c>
      <c r="Q169" s="50">
        <f t="shared" si="190"/>
        <v>19.323</v>
      </c>
      <c r="R169" s="50">
        <f t="shared" si="191"/>
        <v>37.4242</v>
      </c>
      <c r="S169" s="31"/>
      <c r="T169" s="51">
        <v>0</v>
      </c>
      <c r="U169" s="33">
        <f t="shared" si="171"/>
        <v>0</v>
      </c>
      <c r="V169" s="34">
        <f t="shared" si="175"/>
        <v>87.8787</v>
      </c>
      <c r="W169" s="35">
        <f t="shared" si="150"/>
        <v>0.516599259302804</v>
      </c>
      <c r="X169" s="36">
        <f>(L169*'RESULTADO DIRETO'!N$27)/6*4</f>
        <v>14.9618426298021</v>
      </c>
      <c r="Y169" s="35">
        <f t="shared" si="155"/>
        <v>0.0879539276338961</v>
      </c>
      <c r="Z169" s="36">
        <f>(L169*'RESULTADO DIRETO'!N$15)/6*3</f>
        <v>10.2211698727939</v>
      </c>
      <c r="AA169" s="35">
        <f t="shared" si="179"/>
        <v>0.0600856497136786</v>
      </c>
      <c r="AB169" s="36">
        <f t="shared" si="151"/>
        <v>0.2594912866</v>
      </c>
      <c r="AC169" s="36">
        <f t="shared" si="180"/>
        <v>0.2594912866</v>
      </c>
      <c r="AD169" s="34">
        <f t="shared" si="189"/>
        <v>113.580695075796</v>
      </c>
      <c r="AE169" s="37">
        <f t="shared" si="152"/>
        <v>0.667689701227417</v>
      </c>
      <c r="AF169" s="36">
        <f t="shared" si="170"/>
        <v>20.4132</v>
      </c>
      <c r="AG169" s="36"/>
      <c r="AH169" s="36">
        <f t="shared" si="153"/>
        <v>8.84572</v>
      </c>
      <c r="AI169" s="34">
        <f t="shared" si="181"/>
        <v>29.25892</v>
      </c>
      <c r="AJ169" s="38">
        <f t="shared" si="182"/>
        <v>142.839615075796</v>
      </c>
      <c r="AK169" s="39">
        <f t="shared" si="183"/>
        <v>0.839689701227417</v>
      </c>
      <c r="AL169" s="38">
        <f t="shared" si="184"/>
        <v>27.2703849242041</v>
      </c>
      <c r="AM169" s="40">
        <f t="shared" si="185"/>
        <v>0.160310298772583</v>
      </c>
      <c r="AN169" s="38">
        <f t="shared" si="186"/>
        <v>1.58462971588263</v>
      </c>
    </row>
    <row r="170" spans="1:40">
      <c r="A170" s="41">
        <v>46259</v>
      </c>
      <c r="B170" s="41" t="str">
        <v>NORMAL</v>
      </c>
      <c r="C170" s="41" t="str">
        <v>MMB8B50</v>
      </c>
      <c r="D170" s="42" t="str">
        <v>CTB</v>
      </c>
      <c r="E170" s="42" t="str">
        <v>PR</v>
      </c>
      <c r="F170" s="42" t="str">
        <v>SPO</v>
      </c>
      <c r="G170" s="42" t="str">
        <v>SP</v>
      </c>
      <c r="H170" s="42" t="str">
        <v>COLSON DO BRASIL LTDA</v>
      </c>
      <c r="I170" s="209" t="str">
        <v>000189979</v>
      </c>
      <c r="J170" s="43">
        <v>2955.59</v>
      </c>
      <c r="K170" s="44">
        <v>1</v>
      </c>
      <c r="L170" s="45">
        <v>9.16</v>
      </c>
      <c r="M170" s="46">
        <v>95.86</v>
      </c>
      <c r="N170" s="47">
        <v>0.12</v>
      </c>
      <c r="O170" s="48">
        <f t="shared" si="149"/>
        <v>0.8244</v>
      </c>
      <c r="P170" s="49">
        <f t="shared" si="154"/>
        <v>1.832</v>
      </c>
      <c r="Q170" s="31"/>
      <c r="R170" s="49">
        <f t="shared" ref="R170:R175" si="192">L170*0.19</f>
        <v>1.7404</v>
      </c>
      <c r="S170" s="31"/>
      <c r="T170" s="30">
        <v>0</v>
      </c>
      <c r="U170" s="33">
        <f t="shared" si="171"/>
        <v>0</v>
      </c>
      <c r="V170" s="34">
        <f t="shared" si="175"/>
        <v>4.3968</v>
      </c>
      <c r="W170" s="35">
        <f t="shared" si="150"/>
        <v>0.0458668892134363</v>
      </c>
      <c r="X170" s="36">
        <f>(L170*'RESULTADO DIRETO'!N$27)/6*3</f>
        <v>0.95750217854439</v>
      </c>
      <c r="Y170" s="35">
        <f t="shared" si="155"/>
        <v>0.00998854765850605</v>
      </c>
      <c r="Z170" s="36">
        <f>(L170*'RESULTADO DIRETO'!N$15)/6*2</f>
        <v>0.581437143516794</v>
      </c>
      <c r="AA170" s="35">
        <f t="shared" si="179"/>
        <v>0.00606548240680987</v>
      </c>
      <c r="AB170" s="36">
        <f t="shared" si="151"/>
        <v>0.3173712542</v>
      </c>
      <c r="AC170" s="36">
        <f t="shared" si="180"/>
        <v>0.3173712542</v>
      </c>
      <c r="AD170" s="34">
        <f t="shared" si="189"/>
        <v>6.57048183046118</v>
      </c>
      <c r="AE170" s="37">
        <f t="shared" si="152"/>
        <v>0.0685424768460378</v>
      </c>
      <c r="AF170" s="36">
        <f t="shared" si="170"/>
        <v>11.5032</v>
      </c>
      <c r="AG170" s="36"/>
      <c r="AH170" s="36">
        <f t="shared" si="153"/>
        <v>4.98472</v>
      </c>
      <c r="AI170" s="34">
        <f t="shared" si="181"/>
        <v>16.48792</v>
      </c>
      <c r="AJ170" s="38">
        <f t="shared" si="182"/>
        <v>23.0584018304612</v>
      </c>
      <c r="AK170" s="39">
        <f t="shared" si="183"/>
        <v>0.240542476846038</v>
      </c>
      <c r="AL170" s="38">
        <f t="shared" si="184"/>
        <v>72.8015981695388</v>
      </c>
      <c r="AM170" s="40">
        <f t="shared" si="185"/>
        <v>0.759457523153962</v>
      </c>
      <c r="AN170" s="38">
        <f t="shared" si="186"/>
        <v>10.4650655021834</v>
      </c>
    </row>
    <row r="171" spans="1:40">
      <c r="A171" s="41">
        <v>46259</v>
      </c>
      <c r="B171" s="41" t="str">
        <v>NORMAL</v>
      </c>
      <c r="C171" s="41" t="str">
        <v>MMB8B50</v>
      </c>
      <c r="D171" s="42" t="str">
        <v>CTB</v>
      </c>
      <c r="E171" s="42" t="str">
        <v>PR</v>
      </c>
      <c r="F171" s="42" t="str">
        <v>SPO</v>
      </c>
      <c r="G171" s="42" t="str">
        <v>SP</v>
      </c>
      <c r="H171" s="42" t="str">
        <v>COLSON DO BRASIL LTDA</v>
      </c>
      <c r="I171" s="209" t="str">
        <v>000190029</v>
      </c>
      <c r="J171" s="43">
        <v>1559.92</v>
      </c>
      <c r="K171" s="44">
        <v>2</v>
      </c>
      <c r="L171" s="45">
        <v>21.52</v>
      </c>
      <c r="M171" s="46">
        <v>103.97</v>
      </c>
      <c r="N171" s="47">
        <v>0.12</v>
      </c>
      <c r="O171" s="48">
        <f t="shared" si="149"/>
        <v>1.9368</v>
      </c>
      <c r="P171" s="49">
        <f t="shared" si="154"/>
        <v>4.304</v>
      </c>
      <c r="Q171" s="31"/>
      <c r="R171" s="49">
        <f t="shared" si="192"/>
        <v>4.0888</v>
      </c>
      <c r="S171" s="31"/>
      <c r="T171" s="30">
        <v>0</v>
      </c>
      <c r="U171" s="33">
        <f t="shared" si="171"/>
        <v>0</v>
      </c>
      <c r="V171" s="34">
        <f t="shared" si="175"/>
        <v>10.3296</v>
      </c>
      <c r="W171" s="35">
        <f t="shared" si="150"/>
        <v>0.0993517360777147</v>
      </c>
      <c r="X171" s="36">
        <f>(L171*'RESULTADO DIRETO'!N$27)/6*3</f>
        <v>2.24950293474621</v>
      </c>
      <c r="Y171" s="35">
        <f t="shared" si="155"/>
        <v>0.0216360770871041</v>
      </c>
      <c r="Z171" s="36">
        <f>(L171*'RESULTADO DIRETO'!N$15)/6*2</f>
        <v>1.36599643324033</v>
      </c>
      <c r="AA171" s="35">
        <f t="shared" si="179"/>
        <v>0.0131383710035619</v>
      </c>
      <c r="AB171" s="36">
        <f t="shared" si="151"/>
        <v>0.1675042096</v>
      </c>
      <c r="AC171" s="36">
        <f t="shared" si="180"/>
        <v>0.1675042096</v>
      </c>
      <c r="AD171" s="34">
        <f t="shared" si="189"/>
        <v>14.2801077871865</v>
      </c>
      <c r="AE171" s="37">
        <f t="shared" si="152"/>
        <v>0.137348348438843</v>
      </c>
      <c r="AF171" s="36">
        <f t="shared" si="170"/>
        <v>12.4764</v>
      </c>
      <c r="AG171" s="36"/>
      <c r="AH171" s="36">
        <f t="shared" si="153"/>
        <v>5.40644</v>
      </c>
      <c r="AI171" s="34">
        <f t="shared" si="181"/>
        <v>17.88284</v>
      </c>
      <c r="AJ171" s="38">
        <f t="shared" si="182"/>
        <v>32.1629477871865</v>
      </c>
      <c r="AK171" s="39">
        <f t="shared" si="183"/>
        <v>0.309348348438843</v>
      </c>
      <c r="AL171" s="38">
        <f t="shared" si="184"/>
        <v>71.8070522128135</v>
      </c>
      <c r="AM171" s="40">
        <f t="shared" si="185"/>
        <v>0.690651651561157</v>
      </c>
      <c r="AN171" s="38">
        <f t="shared" si="186"/>
        <v>4.83131970260223</v>
      </c>
    </row>
    <row r="172" hidden="1" spans="1:40">
      <c r="A172" s="41">
        <v>46259</v>
      </c>
      <c r="B172" s="41" t="str">
        <v>NORMAL</v>
      </c>
      <c r="C172" s="41" t="str">
        <v>MMB8B50</v>
      </c>
      <c r="D172" s="42" t="str">
        <v>CTB</v>
      </c>
      <c r="E172" s="42" t="str">
        <v>PR</v>
      </c>
      <c r="F172" s="42" t="str">
        <v>DCC</v>
      </c>
      <c r="G172" s="42" t="str">
        <v>MG</v>
      </c>
      <c r="H172" s="42" t="str">
        <v>COLSON DO BRASIL LTDA</v>
      </c>
      <c r="I172" s="209" t="str">
        <v>000190026</v>
      </c>
      <c r="J172" s="43">
        <v>3342</v>
      </c>
      <c r="K172" s="44">
        <v>8</v>
      </c>
      <c r="L172" s="45">
        <v>77</v>
      </c>
      <c r="M172" s="46">
        <v>256.14</v>
      </c>
      <c r="N172" s="47">
        <v>0.12</v>
      </c>
      <c r="O172" s="48">
        <f t="shared" si="149"/>
        <v>6.93</v>
      </c>
      <c r="P172" s="49">
        <f t="shared" si="154"/>
        <v>15.4</v>
      </c>
      <c r="Q172" s="52">
        <f>L172*0.18</f>
        <v>13.86</v>
      </c>
      <c r="R172" s="31"/>
      <c r="S172" s="31"/>
      <c r="T172" s="53">
        <v>89.65</v>
      </c>
      <c r="U172" s="33">
        <f t="shared" si="171"/>
        <v>0.350003904114937</v>
      </c>
      <c r="V172" s="34">
        <f t="shared" si="175"/>
        <v>125.84</v>
      </c>
      <c r="W172" s="35">
        <f t="shared" si="150"/>
        <v>0.491293823690169</v>
      </c>
      <c r="X172" s="36">
        <f>(L172*'RESULTADO DIRETO'!N$27)/6*3</f>
        <v>8.04887202488188</v>
      </c>
      <c r="Y172" s="35">
        <f t="shared" si="155"/>
        <v>0.0314237214994998</v>
      </c>
      <c r="Z172" s="36">
        <f>(L172*'RESULTADO DIRETO'!N$15)/6*2</f>
        <v>4.88762664309969</v>
      </c>
      <c r="AA172" s="35">
        <f t="shared" si="179"/>
        <v>0.0190818561845073</v>
      </c>
      <c r="AB172" s="36">
        <f t="shared" si="151"/>
        <v>0.35886396</v>
      </c>
      <c r="AC172" s="36">
        <f t="shared" si="180"/>
        <v>0.35886396</v>
      </c>
      <c r="AD172" s="34">
        <f t="shared" ref="AD172:AD175" si="193">V172+X172+Z172+AB172+AC172</f>
        <v>139.494226587982</v>
      </c>
      <c r="AE172" s="37">
        <f t="shared" si="152"/>
        <v>0.544601493667454</v>
      </c>
      <c r="AF172" s="36">
        <f t="shared" si="170"/>
        <v>30.7368</v>
      </c>
      <c r="AG172" s="36"/>
      <c r="AH172" s="36">
        <f t="shared" si="153"/>
        <v>13.31928</v>
      </c>
      <c r="AI172" s="34">
        <f t="shared" si="181"/>
        <v>44.05608</v>
      </c>
      <c r="AJ172" s="38">
        <f t="shared" si="182"/>
        <v>183.550306587982</v>
      </c>
      <c r="AK172" s="39">
        <f t="shared" si="183"/>
        <v>0.716601493667454</v>
      </c>
      <c r="AL172" s="38">
        <f t="shared" si="184"/>
        <v>72.5896934120184</v>
      </c>
      <c r="AM172" s="40">
        <f t="shared" si="185"/>
        <v>0.283398506332546</v>
      </c>
      <c r="AN172" s="38">
        <f t="shared" si="186"/>
        <v>3.32649350649351</v>
      </c>
    </row>
    <row r="173" hidden="1" spans="1:40">
      <c r="A173" s="41">
        <v>46259</v>
      </c>
      <c r="B173" s="41" t="str">
        <v>NORMAL</v>
      </c>
      <c r="C173" s="41" t="str">
        <v>MMB8B50</v>
      </c>
      <c r="D173" s="42" t="str">
        <v>CTB</v>
      </c>
      <c r="E173" s="42" t="str">
        <v>PR</v>
      </c>
      <c r="F173" s="42" t="str">
        <v>MVG</v>
      </c>
      <c r="G173" s="42" t="str">
        <v>RJ</v>
      </c>
      <c r="H173" s="42" t="str">
        <v>COLSON DO BRASIL LTDA</v>
      </c>
      <c r="I173" s="209" t="str">
        <v>000190056</v>
      </c>
      <c r="J173" s="43">
        <v>805.75</v>
      </c>
      <c r="K173" s="44">
        <v>1</v>
      </c>
      <c r="L173" s="45">
        <v>194.25</v>
      </c>
      <c r="M173" s="46">
        <v>310.6</v>
      </c>
      <c r="N173" s="47">
        <v>0.12</v>
      </c>
      <c r="O173" s="48">
        <f t="shared" si="149"/>
        <v>17.4825</v>
      </c>
      <c r="P173" s="49">
        <f t="shared" si="154"/>
        <v>38.85</v>
      </c>
      <c r="Q173" s="50">
        <f t="shared" si="190"/>
        <v>34.965</v>
      </c>
      <c r="R173" s="50">
        <f t="shared" si="191"/>
        <v>68.332</v>
      </c>
      <c r="S173" s="31"/>
      <c r="T173" s="53">
        <v>101.3</v>
      </c>
      <c r="U173" s="33">
        <f t="shared" si="171"/>
        <v>0.326142949130715</v>
      </c>
      <c r="V173" s="34">
        <f t="shared" si="175"/>
        <v>260.9295</v>
      </c>
      <c r="W173" s="35">
        <f t="shared" si="150"/>
        <v>0.840082099162911</v>
      </c>
      <c r="X173" s="36">
        <f>(L173*'RESULTADO DIRETO'!N$27)/6*4</f>
        <v>27.0734786291481</v>
      </c>
      <c r="Y173" s="35">
        <f t="shared" si="155"/>
        <v>0.0871650953932651</v>
      </c>
      <c r="Z173" s="36">
        <f>(L173*'RESULTADO DIRETO'!N$15)/6*3</f>
        <v>18.495223547184</v>
      </c>
      <c r="AA173" s="35">
        <f t="shared" si="179"/>
        <v>0.0595467596496589</v>
      </c>
      <c r="AB173" s="36">
        <f t="shared" si="151"/>
        <v>0.086521435</v>
      </c>
      <c r="AC173" s="36">
        <f t="shared" si="180"/>
        <v>0.086521435</v>
      </c>
      <c r="AD173" s="34">
        <f t="shared" si="193"/>
        <v>306.671245046332</v>
      </c>
      <c r="AE173" s="37">
        <f t="shared" si="152"/>
        <v>0.9873510787068</v>
      </c>
      <c r="AF173" s="36">
        <f t="shared" si="170"/>
        <v>37.272</v>
      </c>
      <c r="AG173" s="36"/>
      <c r="AH173" s="36">
        <f t="shared" si="153"/>
        <v>16.1512</v>
      </c>
      <c r="AI173" s="34">
        <f t="shared" si="181"/>
        <v>53.4232</v>
      </c>
      <c r="AJ173" s="38">
        <f t="shared" si="182"/>
        <v>360.094445046332</v>
      </c>
      <c r="AK173" s="39">
        <f t="shared" si="183"/>
        <v>1.1593510787068</v>
      </c>
      <c r="AL173" s="38">
        <f t="shared" si="184"/>
        <v>-49.4944450463322</v>
      </c>
      <c r="AM173" s="40">
        <f t="shared" si="185"/>
        <v>-0.1593510787068</v>
      </c>
      <c r="AN173" s="38">
        <f t="shared" si="186"/>
        <v>1.5989703989704</v>
      </c>
    </row>
    <row r="174" hidden="1" spans="1:40">
      <c r="A174" s="41">
        <v>46259</v>
      </c>
      <c r="B174" s="41" t="str">
        <v>NORMAL</v>
      </c>
      <c r="C174" s="41" t="str">
        <v>DQB8989</v>
      </c>
      <c r="D174" s="42" t="str">
        <v>CTB</v>
      </c>
      <c r="E174" s="42" t="str">
        <v>PR</v>
      </c>
      <c r="F174" s="42" t="str">
        <v>TRU</v>
      </c>
      <c r="G174" s="42" t="str">
        <v>MG</v>
      </c>
      <c r="H174" s="42" t="str">
        <v>COLSON DO BRASIL LTDA</v>
      </c>
      <c r="I174" s="209" t="str">
        <v>000190146</v>
      </c>
      <c r="J174" s="43">
        <v>903.99</v>
      </c>
      <c r="K174" s="44">
        <v>3</v>
      </c>
      <c r="L174" s="45">
        <v>45.22</v>
      </c>
      <c r="M174" s="46">
        <v>171.59</v>
      </c>
      <c r="N174" s="47">
        <v>0.12</v>
      </c>
      <c r="O174" s="48">
        <f t="shared" si="149"/>
        <v>4.0698</v>
      </c>
      <c r="P174" s="49">
        <f t="shared" si="154"/>
        <v>9.044</v>
      </c>
      <c r="Q174" s="31"/>
      <c r="R174" s="49">
        <f>L174*0.09</f>
        <v>4.0698</v>
      </c>
      <c r="S174" s="31"/>
      <c r="T174" s="53">
        <v>65.53</v>
      </c>
      <c r="U174" s="33">
        <f t="shared" si="171"/>
        <v>0.381898712046157</v>
      </c>
      <c r="V174" s="34">
        <f t="shared" si="175"/>
        <v>82.7136</v>
      </c>
      <c r="W174" s="35">
        <f t="shared" si="150"/>
        <v>0.482042077044117</v>
      </c>
      <c r="X174" s="36">
        <f>(L174*'RESULTADO DIRETO'!N$27)/6*3</f>
        <v>4.72688302552154</v>
      </c>
      <c r="Y174" s="35">
        <f t="shared" si="155"/>
        <v>0.0275475437118803</v>
      </c>
      <c r="Z174" s="36">
        <f>(L174*'RESULTADO DIRETO'!N$15)/6*2</f>
        <v>2.870369828584</v>
      </c>
      <c r="AA174" s="35">
        <f t="shared" si="179"/>
        <v>0.0167280717325252</v>
      </c>
      <c r="AB174" s="36">
        <f t="shared" si="151"/>
        <v>0.0970704462</v>
      </c>
      <c r="AC174" s="36">
        <f t="shared" si="180"/>
        <v>0.0970704462</v>
      </c>
      <c r="AD174" s="34">
        <f t="shared" si="193"/>
        <v>90.5049937465055</v>
      </c>
      <c r="AE174" s="37">
        <f t="shared" si="152"/>
        <v>0.527449115604088</v>
      </c>
      <c r="AF174" s="36">
        <f t="shared" si="170"/>
        <v>20.5908</v>
      </c>
      <c r="AG174" s="36"/>
      <c r="AH174" s="36">
        <f t="shared" si="153"/>
        <v>8.92268</v>
      </c>
      <c r="AI174" s="34">
        <f t="shared" si="181"/>
        <v>29.51348</v>
      </c>
      <c r="AJ174" s="38">
        <f t="shared" si="182"/>
        <v>120.018473746506</v>
      </c>
      <c r="AK174" s="39">
        <f t="shared" si="183"/>
        <v>0.699449115604088</v>
      </c>
      <c r="AL174" s="38">
        <f t="shared" si="184"/>
        <v>51.5715262534945</v>
      </c>
      <c r="AM174" s="40">
        <f t="shared" si="185"/>
        <v>0.300550884395912</v>
      </c>
      <c r="AN174" s="38">
        <f t="shared" si="186"/>
        <v>3.79455992923485</v>
      </c>
    </row>
    <row r="175" spans="1:40">
      <c r="A175" s="41">
        <v>46259</v>
      </c>
      <c r="B175" s="41" t="str">
        <v>NORMAL</v>
      </c>
      <c r="C175" s="41" t="str">
        <v>DQB8989</v>
      </c>
      <c r="D175" s="42" t="str">
        <v>CTB</v>
      </c>
      <c r="E175" s="42" t="str">
        <v>PR</v>
      </c>
      <c r="F175" s="42" t="str">
        <v>SPO</v>
      </c>
      <c r="G175" s="42" t="str">
        <v>SP</v>
      </c>
      <c r="H175" s="42" t="str">
        <v>COLSON DO BRASIL LTDA</v>
      </c>
      <c r="I175" s="209" t="str">
        <v>000190126</v>
      </c>
      <c r="J175" s="43">
        <v>1523.56</v>
      </c>
      <c r="K175" s="44">
        <v>6</v>
      </c>
      <c r="L175" s="45">
        <v>48.96</v>
      </c>
      <c r="M175" s="46">
        <v>234.19</v>
      </c>
      <c r="N175" s="47">
        <v>0.12</v>
      </c>
      <c r="O175" s="48">
        <f t="shared" si="149"/>
        <v>4.4064</v>
      </c>
      <c r="P175" s="49">
        <f t="shared" si="154"/>
        <v>9.792</v>
      </c>
      <c r="Q175" s="31"/>
      <c r="R175" s="49">
        <f t="shared" si="192"/>
        <v>9.3024</v>
      </c>
      <c r="S175" s="31"/>
      <c r="T175" s="30">
        <v>0</v>
      </c>
      <c r="U175" s="33">
        <f t="shared" si="171"/>
        <v>0</v>
      </c>
      <c r="V175" s="34">
        <f t="shared" si="175"/>
        <v>23.5008</v>
      </c>
      <c r="W175" s="35">
        <f t="shared" si="150"/>
        <v>0.100349289038815</v>
      </c>
      <c r="X175" s="36">
        <f>(L175*'RESULTADO DIRETO'!N$27)/6*3</f>
        <v>5.11782823815866</v>
      </c>
      <c r="Y175" s="35">
        <f t="shared" si="155"/>
        <v>0.0218533167007928</v>
      </c>
      <c r="Z175" s="36">
        <f>(L175*'RESULTADO DIRETO'!N$15)/6*2</f>
        <v>3.10776883696313</v>
      </c>
      <c r="AA175" s="35">
        <f t="shared" si="179"/>
        <v>0.0132702883853415</v>
      </c>
      <c r="AB175" s="36">
        <f t="shared" si="151"/>
        <v>0.1635998728</v>
      </c>
      <c r="AC175" s="36">
        <f t="shared" si="180"/>
        <v>0.1635998728</v>
      </c>
      <c r="AD175" s="34">
        <f t="shared" si="193"/>
        <v>32.0535968207218</v>
      </c>
      <c r="AE175" s="37">
        <f t="shared" si="152"/>
        <v>0.13687004919391</v>
      </c>
      <c r="AF175" s="36">
        <f t="shared" si="170"/>
        <v>28.1028</v>
      </c>
      <c r="AG175" s="36"/>
      <c r="AH175" s="36">
        <f t="shared" si="153"/>
        <v>12.17788</v>
      </c>
      <c r="AI175" s="34">
        <f t="shared" si="181"/>
        <v>40.28068</v>
      </c>
      <c r="AJ175" s="38">
        <f t="shared" si="182"/>
        <v>72.3342768207218</v>
      </c>
      <c r="AK175" s="39">
        <f t="shared" si="183"/>
        <v>0.30887004919391</v>
      </c>
      <c r="AL175" s="38">
        <f t="shared" si="184"/>
        <v>161.855723179278</v>
      </c>
      <c r="AM175" s="40">
        <f t="shared" si="185"/>
        <v>0.69112995080609</v>
      </c>
      <c r="AN175" s="38">
        <f t="shared" si="186"/>
        <v>4.78329248366013</v>
      </c>
    </row>
    <row r="176" hidden="1" spans="1:40">
      <c r="A176" s="41">
        <v>46259</v>
      </c>
      <c r="B176" s="41" t="str">
        <v>NORMAL</v>
      </c>
      <c r="C176" s="41" t="str">
        <v>DQB8989</v>
      </c>
      <c r="D176" s="42" t="str">
        <v>CTB</v>
      </c>
      <c r="E176" s="42" t="str">
        <v>PR</v>
      </c>
      <c r="F176" s="42" t="str">
        <v>RJO</v>
      </c>
      <c r="G176" s="42" t="str">
        <v>RJ</v>
      </c>
      <c r="H176" s="42" t="str">
        <v>COLSON DO BRASIL LTDA</v>
      </c>
      <c r="I176" s="209" t="str">
        <v>000190142</v>
      </c>
      <c r="J176" s="43">
        <v>3501.72</v>
      </c>
      <c r="K176" s="44">
        <v>13</v>
      </c>
      <c r="L176" s="45">
        <v>123.86</v>
      </c>
      <c r="M176" s="46">
        <v>193.17</v>
      </c>
      <c r="N176" s="47">
        <v>0.12</v>
      </c>
      <c r="O176" s="48">
        <f t="shared" si="149"/>
        <v>11.1474</v>
      </c>
      <c r="P176" s="49">
        <f t="shared" si="154"/>
        <v>24.772</v>
      </c>
      <c r="Q176" s="50">
        <f t="shared" ref="Q176:Q182" si="194">L176*0.18</f>
        <v>22.2948</v>
      </c>
      <c r="R176" s="50">
        <f t="shared" ref="R176:R181" si="195">M176*0.22</f>
        <v>42.4974</v>
      </c>
      <c r="S176" s="31"/>
      <c r="T176" s="51">
        <v>0</v>
      </c>
      <c r="U176" s="33">
        <f t="shared" si="171"/>
        <v>0</v>
      </c>
      <c r="V176" s="34">
        <f t="shared" si="175"/>
        <v>100.7116</v>
      </c>
      <c r="W176" s="35">
        <f t="shared" si="150"/>
        <v>0.521362530413625</v>
      </c>
      <c r="X176" s="36">
        <f>(L176*'RESULTADO DIRETO'!N$27)/6*4</f>
        <v>17.2629140952705</v>
      </c>
      <c r="Y176" s="35">
        <f t="shared" si="155"/>
        <v>0.0893664342044338</v>
      </c>
      <c r="Z176" s="36">
        <f>(L176*'RESULTADO DIRETO'!N$15)/6*3</f>
        <v>11.793144857422</v>
      </c>
      <c r="AA176" s="35">
        <f t="shared" si="179"/>
        <v>0.0610506023576226</v>
      </c>
      <c r="AB176" s="36">
        <f t="shared" si="151"/>
        <v>0.3760146936</v>
      </c>
      <c r="AC176" s="36">
        <f t="shared" si="180"/>
        <v>0.3760146936</v>
      </c>
      <c r="AD176" s="34">
        <f>V176+X176+Z176+AB176+AC176</f>
        <v>130.519688339892</v>
      </c>
      <c r="AE176" s="37">
        <f t="shared" si="152"/>
        <v>0.675672663145895</v>
      </c>
      <c r="AF176" s="36">
        <f t="shared" si="170"/>
        <v>23.1804</v>
      </c>
      <c r="AG176" s="36"/>
      <c r="AH176" s="36">
        <f t="shared" si="153"/>
        <v>10.04484</v>
      </c>
      <c r="AI176" s="34">
        <f t="shared" si="181"/>
        <v>33.22524</v>
      </c>
      <c r="AJ176" s="38">
        <f t="shared" si="182"/>
        <v>163.744928339892</v>
      </c>
      <c r="AK176" s="39">
        <f t="shared" si="183"/>
        <v>0.847672663145895</v>
      </c>
      <c r="AL176" s="38">
        <f t="shared" si="184"/>
        <v>29.4250716601075</v>
      </c>
      <c r="AM176" s="40">
        <f t="shared" si="185"/>
        <v>0.152327336854105</v>
      </c>
      <c r="AN176" s="38">
        <f t="shared" si="186"/>
        <v>1.5595834006136</v>
      </c>
    </row>
    <row r="177" hidden="1" spans="1:40">
      <c r="A177" s="41">
        <v>46260</v>
      </c>
      <c r="B177" s="41" t="str">
        <v>REENTREGA</v>
      </c>
      <c r="C177" s="41" t="str">
        <v>MKY5A07</v>
      </c>
      <c r="D177" s="42" t="str">
        <v>CTB</v>
      </c>
      <c r="E177" s="42" t="str">
        <v>PR</v>
      </c>
      <c r="F177" s="42" t="str">
        <v>RJO</v>
      </c>
      <c r="G177" s="42" t="str">
        <v>RJ</v>
      </c>
      <c r="H177" s="42" t="str">
        <v>COLSON DO BRASIL LTDA</v>
      </c>
      <c r="I177" s="209" t="str">
        <v>000189744</v>
      </c>
      <c r="J177" s="43">
        <v>7625.28</v>
      </c>
      <c r="K177" s="44">
        <v>31</v>
      </c>
      <c r="L177" s="45">
        <v>301.225</v>
      </c>
      <c r="M177" s="46">
        <v>205.26</v>
      </c>
      <c r="N177" s="47">
        <v>0.12</v>
      </c>
      <c r="O177" s="48">
        <f t="shared" si="149"/>
        <v>27.11025</v>
      </c>
      <c r="P177" s="49">
        <f t="shared" si="154"/>
        <v>60.245</v>
      </c>
      <c r="Q177" s="50">
        <f t="shared" si="194"/>
        <v>54.2205</v>
      </c>
      <c r="R177" s="50">
        <f t="shared" si="195"/>
        <v>45.1572</v>
      </c>
      <c r="S177" s="31"/>
      <c r="T177" s="51">
        <v>0</v>
      </c>
      <c r="U177" s="33">
        <f t="shared" si="171"/>
        <v>0</v>
      </c>
      <c r="V177" s="34">
        <f t="shared" si="175"/>
        <v>186.73295</v>
      </c>
      <c r="W177" s="35">
        <f t="shared" si="150"/>
        <v>0.909738624183962</v>
      </c>
      <c r="X177" s="36">
        <f>(L177*'RESULTADO DIRETO'!N$27)/6*4</f>
        <v>41.9830558561912</v>
      </c>
      <c r="Y177" s="35">
        <f t="shared" si="155"/>
        <v>0.2045359829299</v>
      </c>
      <c r="Z177" s="36">
        <f>(L177*'RESULTADO DIRETO'!N$15)/6*3</f>
        <v>28.680688355215</v>
      </c>
      <c r="AA177" s="35">
        <f t="shared" si="179"/>
        <v>0.139728580118947</v>
      </c>
      <c r="AB177" s="36">
        <f t="shared" si="151"/>
        <v>0.8188025664</v>
      </c>
      <c r="AC177" s="36">
        <f t="shared" si="180"/>
        <v>0.8188025664</v>
      </c>
      <c r="AD177" s="34">
        <f t="shared" ref="AD177:AD187" si="196">V177+X177+Z177+AB177+AC177</f>
        <v>259.034299344206</v>
      </c>
      <c r="AE177" s="37">
        <f t="shared" si="152"/>
        <v>1.26198138626233</v>
      </c>
      <c r="AF177" s="36">
        <f t="shared" si="170"/>
        <v>24.6312</v>
      </c>
      <c r="AG177" s="36"/>
      <c r="AH177" s="36">
        <f t="shared" si="153"/>
        <v>10.67352</v>
      </c>
      <c r="AI177" s="34">
        <f t="shared" si="181"/>
        <v>35.30472</v>
      </c>
      <c r="AJ177" s="38">
        <f t="shared" si="182"/>
        <v>294.339019344206</v>
      </c>
      <c r="AK177" s="39">
        <f t="shared" si="183"/>
        <v>1.43398138626233</v>
      </c>
      <c r="AL177" s="38">
        <f t="shared" si="184"/>
        <v>-89.0790193442062</v>
      </c>
      <c r="AM177" s="40">
        <f t="shared" si="185"/>
        <v>-0.433981386262332</v>
      </c>
      <c r="AN177" s="38">
        <f t="shared" si="186"/>
        <v>0.681417545024483</v>
      </c>
    </row>
    <row r="178" hidden="1" spans="1:40">
      <c r="A178" s="41">
        <v>46265</v>
      </c>
      <c r="B178" s="41" t="str">
        <v>NORMAL</v>
      </c>
      <c r="C178" s="41" t="str">
        <v>DQB8989</v>
      </c>
      <c r="D178" s="42" t="str">
        <v>CTB</v>
      </c>
      <c r="E178" s="42" t="str">
        <v>PR</v>
      </c>
      <c r="F178" s="42" t="str">
        <v>PSP</v>
      </c>
      <c r="G178" s="42" t="str">
        <v>SP</v>
      </c>
      <c r="H178" s="42" t="str">
        <v>COLSON DO BRASIL LTDA</v>
      </c>
      <c r="I178" s="209" t="str">
        <v>000190562</v>
      </c>
      <c r="J178" s="43">
        <v>4523.77</v>
      </c>
      <c r="K178" s="44">
        <v>9</v>
      </c>
      <c r="L178" s="45">
        <v>102.475</v>
      </c>
      <c r="M178" s="46">
        <v>209.8</v>
      </c>
      <c r="N178" s="47">
        <v>0.12</v>
      </c>
      <c r="O178" s="48">
        <f t="shared" si="149"/>
        <v>9.22275</v>
      </c>
      <c r="P178" s="49">
        <f t="shared" si="154"/>
        <v>20.495</v>
      </c>
      <c r="Q178" s="31"/>
      <c r="R178" s="49">
        <f>L178*0</f>
        <v>0</v>
      </c>
      <c r="S178" s="31"/>
      <c r="T178" s="53">
        <v>66.99</v>
      </c>
      <c r="U178" s="33">
        <f t="shared" si="171"/>
        <v>0.31930409914204</v>
      </c>
      <c r="V178" s="34">
        <f t="shared" si="175"/>
        <v>96.70775</v>
      </c>
      <c r="W178" s="35">
        <f t="shared" si="150"/>
        <v>0.460952097235462</v>
      </c>
      <c r="X178" s="36">
        <f>(L178*'RESULTADO DIRETO'!N$27)/6*3</f>
        <v>10.7117942954516</v>
      </c>
      <c r="Y178" s="35">
        <f t="shared" si="155"/>
        <v>0.0510571701403792</v>
      </c>
      <c r="Z178" s="36">
        <f>(L178*'RESULTADO DIRETO'!N$15)/6*2</f>
        <v>6.50466935391741</v>
      </c>
      <c r="AA178" s="35">
        <f t="shared" si="179"/>
        <v>0.0310041437269657</v>
      </c>
      <c r="AB178" s="36">
        <f t="shared" si="151"/>
        <v>0.4857624226</v>
      </c>
      <c r="AC178" s="36">
        <f t="shared" si="180"/>
        <v>0.4857624226</v>
      </c>
      <c r="AD178" s="34">
        <f t="shared" si="196"/>
        <v>114.895738494569</v>
      </c>
      <c r="AE178" s="37">
        <f t="shared" si="152"/>
        <v>0.547644130098041</v>
      </c>
      <c r="AF178" s="36">
        <f t="shared" si="170"/>
        <v>25.176</v>
      </c>
      <c r="AG178" s="36"/>
      <c r="AH178" s="36">
        <f t="shared" si="153"/>
        <v>10.9096</v>
      </c>
      <c r="AI178" s="34">
        <f t="shared" si="181"/>
        <v>36.0856</v>
      </c>
      <c r="AJ178" s="38">
        <f t="shared" si="182"/>
        <v>150.981338494569</v>
      </c>
      <c r="AK178" s="39">
        <f t="shared" si="183"/>
        <v>0.719644130098041</v>
      </c>
      <c r="AL178" s="38">
        <f t="shared" si="184"/>
        <v>58.818661505431</v>
      </c>
      <c r="AM178" s="40">
        <f t="shared" si="185"/>
        <v>0.280355869901959</v>
      </c>
      <c r="AN178" s="38">
        <f t="shared" si="186"/>
        <v>2.04732861673579</v>
      </c>
    </row>
    <row r="179" spans="1:40">
      <c r="A179" s="41">
        <v>46260</v>
      </c>
      <c r="B179" s="41" t="str">
        <v>NORMAL</v>
      </c>
      <c r="C179" s="41" t="str">
        <v>DQB8989</v>
      </c>
      <c r="D179" s="42" t="str">
        <v>CTB</v>
      </c>
      <c r="E179" s="42" t="str">
        <v>PR</v>
      </c>
      <c r="F179" s="42" t="str">
        <v>SPO</v>
      </c>
      <c r="G179" s="42" t="str">
        <v>SP</v>
      </c>
      <c r="H179" s="42" t="str">
        <v>COLSON DO BRASIL LTDA</v>
      </c>
      <c r="I179" s="209" t="str">
        <v>000190211</v>
      </c>
      <c r="J179" s="43">
        <v>2240.42</v>
      </c>
      <c r="K179" s="44">
        <v>3</v>
      </c>
      <c r="L179" s="45">
        <v>32.16</v>
      </c>
      <c r="M179" s="46">
        <v>117.6</v>
      </c>
      <c r="N179" s="47">
        <v>0.12</v>
      </c>
      <c r="O179" s="48">
        <f t="shared" si="149"/>
        <v>2.8944</v>
      </c>
      <c r="P179" s="49">
        <f t="shared" si="154"/>
        <v>6.432</v>
      </c>
      <c r="Q179" s="31"/>
      <c r="R179" s="49">
        <f>L179*0.19</f>
        <v>6.1104</v>
      </c>
      <c r="S179" s="31"/>
      <c r="T179" s="30">
        <v>0</v>
      </c>
      <c r="U179" s="33">
        <f t="shared" si="171"/>
        <v>0</v>
      </c>
      <c r="V179" s="34">
        <f t="shared" si="175"/>
        <v>15.4368</v>
      </c>
      <c r="W179" s="35">
        <f t="shared" si="150"/>
        <v>0.131265306122449</v>
      </c>
      <c r="X179" s="36">
        <f>(L179*'RESULTADO DIRETO'!N$27)/6*3</f>
        <v>3.36171070545716</v>
      </c>
      <c r="Y179" s="35">
        <f t="shared" si="155"/>
        <v>0.0285859753865405</v>
      </c>
      <c r="Z179" s="36">
        <f>(L179*'RESULTADO DIRETO'!N$15)/6*2</f>
        <v>2.04137756937774</v>
      </c>
      <c r="AA179" s="35">
        <f t="shared" si="179"/>
        <v>0.0173586528008311</v>
      </c>
      <c r="AB179" s="36">
        <f t="shared" si="151"/>
        <v>0.2405762996</v>
      </c>
      <c r="AC179" s="36">
        <f t="shared" si="180"/>
        <v>0.2405762996</v>
      </c>
      <c r="AD179" s="34">
        <f t="shared" si="196"/>
        <v>21.3210408740349</v>
      </c>
      <c r="AE179" s="37">
        <f t="shared" si="152"/>
        <v>0.181301367976487</v>
      </c>
      <c r="AF179" s="36">
        <f t="shared" si="170"/>
        <v>14.112</v>
      </c>
      <c r="AG179" s="36"/>
      <c r="AH179" s="36">
        <f t="shared" si="153"/>
        <v>6.1152</v>
      </c>
      <c r="AI179" s="34">
        <f t="shared" si="181"/>
        <v>20.2272</v>
      </c>
      <c r="AJ179" s="38">
        <f t="shared" si="182"/>
        <v>41.5482408740349</v>
      </c>
      <c r="AK179" s="39">
        <f t="shared" si="183"/>
        <v>0.353301367976487</v>
      </c>
      <c r="AL179" s="38">
        <f t="shared" si="184"/>
        <v>76.0517591259651</v>
      </c>
      <c r="AM179" s="40">
        <f t="shared" si="185"/>
        <v>0.646698632023513</v>
      </c>
      <c r="AN179" s="38">
        <f t="shared" si="186"/>
        <v>3.65671641791045</v>
      </c>
    </row>
    <row r="180" hidden="1" spans="1:40">
      <c r="A180" s="41">
        <v>46261</v>
      </c>
      <c r="B180" s="41" t="str">
        <v>NORMAL</v>
      </c>
      <c r="C180" s="41" t="str">
        <v>DQB8989</v>
      </c>
      <c r="D180" s="42" t="str">
        <v>CTB</v>
      </c>
      <c r="E180" s="42" t="str">
        <v>PR</v>
      </c>
      <c r="F180" s="42" t="str">
        <v>RJO</v>
      </c>
      <c r="G180" s="42" t="str">
        <v>RJ</v>
      </c>
      <c r="H180" s="42" t="str">
        <v>COLSON DO BRASIL LTDA</v>
      </c>
      <c r="I180" s="209" t="str">
        <v>000190246</v>
      </c>
      <c r="J180" s="43">
        <v>3525.39</v>
      </c>
      <c r="K180" s="44">
        <v>13</v>
      </c>
      <c r="L180" s="45">
        <v>115.181</v>
      </c>
      <c r="M180" s="46">
        <v>184.42</v>
      </c>
      <c r="N180" s="47">
        <v>0.12</v>
      </c>
      <c r="O180" s="48">
        <f t="shared" si="149"/>
        <v>10.36629</v>
      </c>
      <c r="P180" s="49">
        <f t="shared" si="154"/>
        <v>23.0362</v>
      </c>
      <c r="Q180" s="50">
        <f t="shared" si="194"/>
        <v>20.73258</v>
      </c>
      <c r="R180" s="50">
        <f t="shared" si="195"/>
        <v>40.5724</v>
      </c>
      <c r="S180" s="31"/>
      <c r="T180" s="51">
        <v>0</v>
      </c>
      <c r="U180" s="33">
        <f t="shared" si="171"/>
        <v>0</v>
      </c>
      <c r="V180" s="34">
        <f t="shared" si="175"/>
        <v>94.70747</v>
      </c>
      <c r="W180" s="35">
        <f t="shared" si="150"/>
        <v>0.513542294761956</v>
      </c>
      <c r="X180" s="36">
        <f>(L180*'RESULTADO DIRETO'!N$27)/6*4</f>
        <v>16.0532836138168</v>
      </c>
      <c r="Y180" s="35">
        <f t="shared" si="155"/>
        <v>0.0870474114185923</v>
      </c>
      <c r="Z180" s="36">
        <f>(L180*'RESULTADO DIRETO'!N$15)/6*3</f>
        <v>10.9667868385493</v>
      </c>
      <c r="AA180" s="35">
        <f t="shared" si="179"/>
        <v>0.0594663639439829</v>
      </c>
      <c r="AB180" s="36">
        <f t="shared" si="151"/>
        <v>0.3785563782</v>
      </c>
      <c r="AC180" s="36">
        <f t="shared" si="180"/>
        <v>0.3785563782</v>
      </c>
      <c r="AD180" s="34">
        <f t="shared" si="196"/>
        <v>122.484653208766</v>
      </c>
      <c r="AE180" s="37">
        <f t="shared" si="152"/>
        <v>0.664161442407364</v>
      </c>
      <c r="AF180" s="36">
        <f t="shared" ref="AF180:AF213" si="197">M180*N180</f>
        <v>22.1304</v>
      </c>
      <c r="AG180" s="36"/>
      <c r="AH180" s="36">
        <f t="shared" si="153"/>
        <v>9.58984</v>
      </c>
      <c r="AI180" s="34">
        <f t="shared" si="181"/>
        <v>31.72024</v>
      </c>
      <c r="AJ180" s="38">
        <f t="shared" si="182"/>
        <v>154.204893208766</v>
      </c>
      <c r="AK180" s="39">
        <f t="shared" si="183"/>
        <v>0.836161442407364</v>
      </c>
      <c r="AL180" s="38">
        <f t="shared" si="184"/>
        <v>30.2151067912339</v>
      </c>
      <c r="AM180" s="40">
        <f t="shared" si="185"/>
        <v>0.163838557592636</v>
      </c>
      <c r="AN180" s="38">
        <f t="shared" si="186"/>
        <v>1.60113213116747</v>
      </c>
    </row>
    <row r="181" hidden="1" spans="1:40">
      <c r="A181" s="41">
        <v>46261</v>
      </c>
      <c r="B181" s="41" t="str">
        <v>NORMAL</v>
      </c>
      <c r="C181" s="41" t="str">
        <v>DQB8989</v>
      </c>
      <c r="D181" s="42" t="str">
        <v>CTB</v>
      </c>
      <c r="E181" s="42" t="str">
        <v>PR</v>
      </c>
      <c r="F181" s="42" t="str">
        <v>RJO</v>
      </c>
      <c r="G181" s="42" t="str">
        <v>RJ</v>
      </c>
      <c r="H181" s="42" t="str">
        <v>COLSON DO BRASIL LTDA</v>
      </c>
      <c r="I181" s="209" t="str">
        <v>000190300</v>
      </c>
      <c r="J181" s="43">
        <v>4132.2</v>
      </c>
      <c r="K181" s="44">
        <v>8</v>
      </c>
      <c r="L181" s="45">
        <v>106.4</v>
      </c>
      <c r="M181" s="46">
        <v>178.89</v>
      </c>
      <c r="N181" s="47">
        <v>0.12</v>
      </c>
      <c r="O181" s="48">
        <f t="shared" si="149"/>
        <v>9.576</v>
      </c>
      <c r="P181" s="49">
        <f t="shared" si="154"/>
        <v>21.28</v>
      </c>
      <c r="Q181" s="50">
        <f t="shared" si="194"/>
        <v>19.152</v>
      </c>
      <c r="R181" s="50">
        <f t="shared" si="195"/>
        <v>39.3558</v>
      </c>
      <c r="S181" s="31"/>
      <c r="T181" s="51">
        <v>0</v>
      </c>
      <c r="U181" s="33">
        <f t="shared" si="171"/>
        <v>0</v>
      </c>
      <c r="V181" s="34">
        <f t="shared" si="175"/>
        <v>89.3638</v>
      </c>
      <c r="W181" s="35">
        <f t="shared" si="150"/>
        <v>0.49954608977584</v>
      </c>
      <c r="X181" s="36">
        <f>(L181*'RESULTADO DIRETO'!N$27)/6*4</f>
        <v>14.8294369428127</v>
      </c>
      <c r="Y181" s="35">
        <f t="shared" si="155"/>
        <v>0.0828969587054205</v>
      </c>
      <c r="Z181" s="36">
        <f>(L181*'RESULTADO DIRETO'!N$15)/6*3</f>
        <v>10.1307170420612</v>
      </c>
      <c r="AA181" s="35">
        <f t="shared" si="179"/>
        <v>0.0566309857569522</v>
      </c>
      <c r="AB181" s="36">
        <f t="shared" si="151"/>
        <v>0.443715636</v>
      </c>
      <c r="AC181" s="36">
        <f t="shared" si="180"/>
        <v>0.443715636</v>
      </c>
      <c r="AD181" s="34">
        <f t="shared" si="196"/>
        <v>115.211385256874</v>
      </c>
      <c r="AE181" s="37">
        <f t="shared" si="152"/>
        <v>0.644034799356442</v>
      </c>
      <c r="AF181" s="36">
        <f t="shared" si="197"/>
        <v>21.4668</v>
      </c>
      <c r="AG181" s="36"/>
      <c r="AH181" s="36">
        <f t="shared" si="153"/>
        <v>9.30228</v>
      </c>
      <c r="AI181" s="34">
        <f t="shared" si="181"/>
        <v>30.76908</v>
      </c>
      <c r="AJ181" s="38">
        <f t="shared" si="182"/>
        <v>145.980465256874</v>
      </c>
      <c r="AK181" s="39">
        <f t="shared" si="183"/>
        <v>0.816034799356442</v>
      </c>
      <c r="AL181" s="38">
        <f t="shared" si="184"/>
        <v>32.9095347431262</v>
      </c>
      <c r="AM181" s="40">
        <f t="shared" si="185"/>
        <v>0.183965200643558</v>
      </c>
      <c r="AN181" s="38">
        <f t="shared" si="186"/>
        <v>1.6812969924812</v>
      </c>
    </row>
    <row r="182" hidden="1" spans="1:40">
      <c r="A182" s="41">
        <v>46261</v>
      </c>
      <c r="B182" s="41" t="str">
        <v>NORMAL</v>
      </c>
      <c r="C182" s="41" t="str">
        <v>DQB8989</v>
      </c>
      <c r="D182" s="42" t="str">
        <v>CTB</v>
      </c>
      <c r="E182" s="42" t="str">
        <v>PR</v>
      </c>
      <c r="F182" s="42" t="str">
        <v>TAM</v>
      </c>
      <c r="G182" s="42" t="str">
        <v>MG</v>
      </c>
      <c r="H182" s="42" t="str">
        <v>COLSON DO BRASIL LTDA</v>
      </c>
      <c r="I182" s="209" t="str">
        <v>000190264</v>
      </c>
      <c r="J182" s="43">
        <v>5022.69</v>
      </c>
      <c r="K182" s="44">
        <v>11</v>
      </c>
      <c r="L182" s="45">
        <v>99</v>
      </c>
      <c r="M182" s="46">
        <v>212.84</v>
      </c>
      <c r="N182" s="47">
        <v>0.12</v>
      </c>
      <c r="O182" s="48">
        <f t="shared" si="149"/>
        <v>8.91</v>
      </c>
      <c r="P182" s="49">
        <f t="shared" si="154"/>
        <v>19.8</v>
      </c>
      <c r="Q182" s="52">
        <f t="shared" si="194"/>
        <v>17.82</v>
      </c>
      <c r="R182" s="52">
        <f>L182*0.15</f>
        <v>14.85</v>
      </c>
      <c r="S182" s="31"/>
      <c r="T182" s="53">
        <v>49.5</v>
      </c>
      <c r="U182" s="33">
        <f t="shared" ref="U182:U213" si="198">T182/M182</f>
        <v>0.232569065965044</v>
      </c>
      <c r="V182" s="34">
        <f t="shared" si="175"/>
        <v>110.88</v>
      </c>
      <c r="W182" s="35">
        <f t="shared" si="150"/>
        <v>0.520954707761699</v>
      </c>
      <c r="X182" s="36">
        <f>(L182*'RESULTADO DIRETO'!N$27)/6*4</f>
        <v>13.7980663283689</v>
      </c>
      <c r="Y182" s="35">
        <f t="shared" si="155"/>
        <v>0.06482835147702</v>
      </c>
      <c r="Z182" s="36">
        <f>(L182*'RESULTADO DIRETO'!N$15)/6*3</f>
        <v>9.42613709740654</v>
      </c>
      <c r="AA182" s="35">
        <f t="shared" si="179"/>
        <v>0.0442874323313594</v>
      </c>
      <c r="AB182" s="36">
        <f t="shared" si="151"/>
        <v>0.5393364522</v>
      </c>
      <c r="AC182" s="36">
        <f t="shared" si="180"/>
        <v>0.5393364522</v>
      </c>
      <c r="AD182" s="34">
        <f t="shared" si="196"/>
        <v>135.182876330175</v>
      </c>
      <c r="AE182" s="37">
        <f t="shared" si="152"/>
        <v>0.635138490557111</v>
      </c>
      <c r="AF182" s="36">
        <f t="shared" si="197"/>
        <v>25.5408</v>
      </c>
      <c r="AG182" s="36"/>
      <c r="AH182" s="36">
        <f t="shared" si="153"/>
        <v>11.06768</v>
      </c>
      <c r="AI182" s="34">
        <f t="shared" si="181"/>
        <v>36.60848</v>
      </c>
      <c r="AJ182" s="38">
        <f t="shared" si="182"/>
        <v>171.791356330175</v>
      </c>
      <c r="AK182" s="39">
        <f t="shared" si="183"/>
        <v>0.807138490557111</v>
      </c>
      <c r="AL182" s="38">
        <f t="shared" si="184"/>
        <v>41.0486436698245</v>
      </c>
      <c r="AM182" s="40">
        <f t="shared" si="185"/>
        <v>0.192861509442889</v>
      </c>
      <c r="AN182" s="38">
        <f t="shared" si="186"/>
        <v>2.14989898989899</v>
      </c>
    </row>
    <row r="183" spans="1:40">
      <c r="A183" s="41">
        <v>46262</v>
      </c>
      <c r="B183" s="41" t="str">
        <v>NORMAL</v>
      </c>
      <c r="C183" s="41" t="str">
        <v>MKY5A07</v>
      </c>
      <c r="D183" s="42" t="str">
        <v>CTB</v>
      </c>
      <c r="E183" s="42" t="str">
        <v>PR</v>
      </c>
      <c r="F183" s="42" t="str">
        <v>LFN</v>
      </c>
      <c r="G183" s="42" t="str">
        <v>SP</v>
      </c>
      <c r="H183" s="42" t="str">
        <v>COLSON DO BRASIL LTDA</v>
      </c>
      <c r="I183" s="209" t="str">
        <v>000190458</v>
      </c>
      <c r="J183" s="43">
        <v>4957.24</v>
      </c>
      <c r="K183" s="44">
        <v>4</v>
      </c>
      <c r="L183" s="45">
        <v>33.2</v>
      </c>
      <c r="M183" s="46">
        <v>152.84</v>
      </c>
      <c r="N183" s="47">
        <v>0.12</v>
      </c>
      <c r="O183" s="48">
        <f t="shared" si="149"/>
        <v>2.988</v>
      </c>
      <c r="P183" s="49">
        <f t="shared" si="154"/>
        <v>6.64</v>
      </c>
      <c r="Q183" s="31"/>
      <c r="R183" s="49">
        <f t="shared" ref="R183:R185" si="199">L183*0.09</f>
        <v>2.988</v>
      </c>
      <c r="S183" s="31"/>
      <c r="T183" s="53">
        <v>80.59</v>
      </c>
      <c r="U183" s="33">
        <f t="shared" si="198"/>
        <v>0.527283433656111</v>
      </c>
      <c r="V183" s="34">
        <f t="shared" si="175"/>
        <v>93.206</v>
      </c>
      <c r="W183" s="35">
        <f t="shared" si="150"/>
        <v>0.609827270348076</v>
      </c>
      <c r="X183" s="36">
        <f>(L183*'RESULTADO DIRETO'!N$27)/6*3</f>
        <v>3.47042274319582</v>
      </c>
      <c r="Y183" s="35">
        <f t="shared" si="155"/>
        <v>0.0227062466840868</v>
      </c>
      <c r="Z183" s="36">
        <f>(L183*'RESULTADO DIRETO'!N$15)/6*2</f>
        <v>2.10739226689493</v>
      </c>
      <c r="AA183" s="35">
        <f t="shared" si="179"/>
        <v>0.0137882247245154</v>
      </c>
      <c r="AB183" s="36">
        <f t="shared" si="151"/>
        <v>0.5323084312</v>
      </c>
      <c r="AC183" s="36">
        <f t="shared" si="180"/>
        <v>0.5323084312</v>
      </c>
      <c r="AD183" s="34">
        <f t="shared" si="196"/>
        <v>99.8484318724907</v>
      </c>
      <c r="AE183" s="37">
        <f t="shared" si="152"/>
        <v>0.653287306153433</v>
      </c>
      <c r="AF183" s="36">
        <f t="shared" si="197"/>
        <v>18.3408</v>
      </c>
      <c r="AG183" s="36"/>
      <c r="AH183" s="36">
        <f t="shared" si="153"/>
        <v>7.94768</v>
      </c>
      <c r="AI183" s="34">
        <f t="shared" si="181"/>
        <v>26.28848</v>
      </c>
      <c r="AJ183" s="38">
        <f t="shared" si="182"/>
        <v>126.136911872491</v>
      </c>
      <c r="AK183" s="39">
        <f t="shared" si="183"/>
        <v>0.825287306153433</v>
      </c>
      <c r="AL183" s="38">
        <f t="shared" si="184"/>
        <v>26.7030881275093</v>
      </c>
      <c r="AM183" s="40">
        <f t="shared" si="185"/>
        <v>0.174712693846567</v>
      </c>
      <c r="AN183" s="38">
        <f t="shared" si="186"/>
        <v>4.60361445783133</v>
      </c>
    </row>
    <row r="184" spans="1:40">
      <c r="A184" s="41">
        <v>46262</v>
      </c>
      <c r="B184" s="41" t="str">
        <v>NORMAL</v>
      </c>
      <c r="C184" s="41" t="str">
        <v>MKY5A07</v>
      </c>
      <c r="D184" s="42" t="str">
        <v>CTB</v>
      </c>
      <c r="E184" s="42" t="str">
        <v>PR</v>
      </c>
      <c r="F184" s="42" t="str">
        <v>LFN</v>
      </c>
      <c r="G184" s="42" t="str">
        <v>SP</v>
      </c>
      <c r="H184" s="42" t="str">
        <v>COLSON DO BRASIL LTDA</v>
      </c>
      <c r="I184" s="209" t="str">
        <v>000190456</v>
      </c>
      <c r="J184" s="43">
        <v>5124.1</v>
      </c>
      <c r="K184" s="44">
        <v>4</v>
      </c>
      <c r="L184" s="45">
        <v>34.3</v>
      </c>
      <c r="M184" s="46">
        <v>153.78</v>
      </c>
      <c r="N184" s="47">
        <v>0.12</v>
      </c>
      <c r="O184" s="48">
        <f t="shared" si="149"/>
        <v>3.087</v>
      </c>
      <c r="P184" s="49">
        <f t="shared" si="154"/>
        <v>6.86</v>
      </c>
      <c r="Q184" s="31"/>
      <c r="R184" s="49">
        <f t="shared" si="199"/>
        <v>3.087</v>
      </c>
      <c r="S184" s="31"/>
      <c r="T184" s="53">
        <v>80.78</v>
      </c>
      <c r="U184" s="33">
        <f t="shared" si="198"/>
        <v>0.525295877227208</v>
      </c>
      <c r="V184" s="34">
        <f t="shared" si="175"/>
        <v>93.814</v>
      </c>
      <c r="W184" s="35">
        <f t="shared" si="150"/>
        <v>0.610053322928859</v>
      </c>
      <c r="X184" s="36">
        <f>(L184*'RESULTADO DIRETO'!N$27)/6*3</f>
        <v>3.58540662926556</v>
      </c>
      <c r="Y184" s="35">
        <f t="shared" si="155"/>
        <v>0.0233151686127296</v>
      </c>
      <c r="Z184" s="36">
        <f>(L184*'RESULTADO DIRETO'!N$15)/6*2</f>
        <v>2.1772155046535</v>
      </c>
      <c r="AA184" s="35">
        <f t="shared" si="179"/>
        <v>0.0141579887153954</v>
      </c>
      <c r="AB184" s="36">
        <f t="shared" si="151"/>
        <v>0.550225858</v>
      </c>
      <c r="AC184" s="36">
        <f t="shared" si="180"/>
        <v>0.550225858</v>
      </c>
      <c r="AD184" s="34">
        <f t="shared" si="196"/>
        <v>100.677073849919</v>
      </c>
      <c r="AE184" s="37">
        <f t="shared" si="152"/>
        <v>0.654682493496678</v>
      </c>
      <c r="AF184" s="36">
        <f t="shared" si="197"/>
        <v>18.4536</v>
      </c>
      <c r="AG184" s="36"/>
      <c r="AH184" s="36">
        <f t="shared" si="153"/>
        <v>7.99656</v>
      </c>
      <c r="AI184" s="34">
        <f t="shared" si="181"/>
        <v>26.45016</v>
      </c>
      <c r="AJ184" s="38">
        <f t="shared" si="182"/>
        <v>127.127233849919</v>
      </c>
      <c r="AK184" s="39">
        <f t="shared" si="183"/>
        <v>0.826682493496677</v>
      </c>
      <c r="AL184" s="38">
        <f t="shared" si="184"/>
        <v>26.6527661500809</v>
      </c>
      <c r="AM184" s="40">
        <f t="shared" si="185"/>
        <v>0.173317506503323</v>
      </c>
      <c r="AN184" s="38">
        <f t="shared" si="186"/>
        <v>4.48338192419825</v>
      </c>
    </row>
    <row r="185" spans="1:40">
      <c r="A185" s="41">
        <v>46262</v>
      </c>
      <c r="B185" s="41" t="str">
        <v>NORMAL</v>
      </c>
      <c r="C185" s="41" t="str">
        <v>MKY5A07</v>
      </c>
      <c r="D185" s="42" t="str">
        <v>CTB</v>
      </c>
      <c r="E185" s="42" t="str">
        <v>PR</v>
      </c>
      <c r="F185" s="42" t="str">
        <v>NSL</v>
      </c>
      <c r="G185" s="42" t="str">
        <v>SP</v>
      </c>
      <c r="H185" s="42" t="str">
        <v>COLSON DO BRASIL LTDA</v>
      </c>
      <c r="I185" s="209" t="str">
        <v>000190294</v>
      </c>
      <c r="J185" s="43">
        <v>1276.83</v>
      </c>
      <c r="K185" s="44">
        <v>4</v>
      </c>
      <c r="L185" s="45">
        <v>37.56</v>
      </c>
      <c r="M185" s="46">
        <v>132.31</v>
      </c>
      <c r="N185" s="47">
        <v>0.12</v>
      </c>
      <c r="O185" s="48">
        <f t="shared" si="149"/>
        <v>3.3804</v>
      </c>
      <c r="P185" s="49">
        <f t="shared" si="154"/>
        <v>7.512</v>
      </c>
      <c r="Q185" s="31"/>
      <c r="R185" s="49">
        <f t="shared" si="199"/>
        <v>3.3804</v>
      </c>
      <c r="S185" s="31"/>
      <c r="T185" s="53">
        <v>94.43</v>
      </c>
      <c r="U185" s="33">
        <f t="shared" si="198"/>
        <v>0.713702667976721</v>
      </c>
      <c r="V185" s="34">
        <f t="shared" ref="V185:V213" si="200">O185+P185+Q185+R185+S185+T185</f>
        <v>108.7028</v>
      </c>
      <c r="W185" s="35">
        <f t="shared" si="150"/>
        <v>0.821576600408133</v>
      </c>
      <c r="X185" s="36">
        <f>(L185*'RESULTADO DIRETO'!N$27)/6*3</f>
        <v>3.92617705525407</v>
      </c>
      <c r="Y185" s="35">
        <f t="shared" si="155"/>
        <v>0.0296740764511682</v>
      </c>
      <c r="Z185" s="36">
        <f>(L185*'RESULTADO DIRETO'!N$15)/6*2</f>
        <v>2.38414619110161</v>
      </c>
      <c r="AA185" s="35">
        <f t="shared" si="179"/>
        <v>0.0180193952921292</v>
      </c>
      <c r="AB185" s="36">
        <f t="shared" si="151"/>
        <v>0.1371060054</v>
      </c>
      <c r="AC185" s="36">
        <f t="shared" si="180"/>
        <v>0.1371060054</v>
      </c>
      <c r="AD185" s="34">
        <f t="shared" si="196"/>
        <v>115.287335257156</v>
      </c>
      <c r="AE185" s="37">
        <f t="shared" si="152"/>
        <v>0.871342568643003</v>
      </c>
      <c r="AF185" s="36">
        <f t="shared" si="197"/>
        <v>15.8772</v>
      </c>
      <c r="AG185" s="36"/>
      <c r="AH185" s="36">
        <f t="shared" si="153"/>
        <v>6.88012</v>
      </c>
      <c r="AI185" s="34">
        <f t="shared" si="181"/>
        <v>22.75732</v>
      </c>
      <c r="AJ185" s="38">
        <f t="shared" si="182"/>
        <v>138.044655257156</v>
      </c>
      <c r="AK185" s="39">
        <f t="shared" si="183"/>
        <v>1.043342568643</v>
      </c>
      <c r="AL185" s="38">
        <f t="shared" si="184"/>
        <v>-5.73465525715571</v>
      </c>
      <c r="AM185" s="40">
        <f t="shared" si="185"/>
        <v>-0.0433425686430029</v>
      </c>
      <c r="AN185" s="38">
        <f t="shared" si="186"/>
        <v>3.52263045793397</v>
      </c>
    </row>
    <row r="186" hidden="1" spans="1:40">
      <c r="A186" s="41">
        <v>46262</v>
      </c>
      <c r="B186" s="41" t="str">
        <v>NORMAL</v>
      </c>
      <c r="C186" s="41" t="str">
        <v>MKY5A07</v>
      </c>
      <c r="D186" s="42" t="str">
        <v>CTB</v>
      </c>
      <c r="E186" s="42" t="str">
        <v>PR</v>
      </c>
      <c r="F186" s="42" t="str">
        <v>SPO</v>
      </c>
      <c r="G186" s="42" t="str">
        <v>SP</v>
      </c>
      <c r="H186" s="42" t="str">
        <v>COLSON DO BRASIL LTDA</v>
      </c>
      <c r="I186" s="209" t="str">
        <v>000189487</v>
      </c>
      <c r="J186" s="43">
        <v>1652.08</v>
      </c>
      <c r="K186" s="44">
        <v>6</v>
      </c>
      <c r="L186" s="45">
        <v>62.21</v>
      </c>
      <c r="M186" s="46">
        <v>423.92</v>
      </c>
      <c r="N186" s="47">
        <v>0.12</v>
      </c>
      <c r="O186" s="48">
        <f t="shared" si="149"/>
        <v>5.5989</v>
      </c>
      <c r="P186" s="49">
        <f t="shared" si="154"/>
        <v>12.442</v>
      </c>
      <c r="Q186" s="31"/>
      <c r="R186" s="49">
        <f>L186*0.19</f>
        <v>11.8199</v>
      </c>
      <c r="S186" s="31"/>
      <c r="T186" s="30">
        <v>0</v>
      </c>
      <c r="U186" s="33">
        <f t="shared" si="198"/>
        <v>0</v>
      </c>
      <c r="V186" s="34">
        <f t="shared" si="200"/>
        <v>29.8608</v>
      </c>
      <c r="W186" s="35">
        <f t="shared" si="150"/>
        <v>0.0704397056048311</v>
      </c>
      <c r="X186" s="36">
        <f>(L186*'RESULTADO DIRETO'!N$27)/6*3</f>
        <v>6.50286141127145</v>
      </c>
      <c r="Y186" s="35">
        <f t="shared" si="155"/>
        <v>0.0153398315985833</v>
      </c>
      <c r="Z186" s="36">
        <f>(L186*'RESULTADO DIRETO'!N$15)/6*2</f>
        <v>3.94882147360041</v>
      </c>
      <c r="AA186" s="35">
        <f t="shared" si="179"/>
        <v>0.00931501574259391</v>
      </c>
      <c r="AB186" s="36">
        <f t="shared" si="151"/>
        <v>0.1774003504</v>
      </c>
      <c r="AC186" s="36">
        <f t="shared" si="180"/>
        <v>0.1774003504</v>
      </c>
      <c r="AD186" s="34">
        <f t="shared" si="196"/>
        <v>40.6672835856719</v>
      </c>
      <c r="AE186" s="37">
        <f t="shared" si="152"/>
        <v>0.0959315049671444</v>
      </c>
      <c r="AF186" s="36">
        <f t="shared" si="197"/>
        <v>50.8704</v>
      </c>
      <c r="AG186" s="36"/>
      <c r="AH186" s="36">
        <f t="shared" si="153"/>
        <v>22.04384</v>
      </c>
      <c r="AI186" s="34">
        <f t="shared" si="181"/>
        <v>72.91424</v>
      </c>
      <c r="AJ186" s="38">
        <f t="shared" si="182"/>
        <v>113.581523585672</v>
      </c>
      <c r="AK186" s="39">
        <f t="shared" si="183"/>
        <v>0.267931504967144</v>
      </c>
      <c r="AL186" s="38">
        <f t="shared" si="184"/>
        <v>310.338476414328</v>
      </c>
      <c r="AM186" s="40">
        <f t="shared" si="185"/>
        <v>0.732068495032856</v>
      </c>
      <c r="AN186" s="38">
        <f t="shared" si="186"/>
        <v>6.81433853078283</v>
      </c>
    </row>
    <row r="187" hidden="1" spans="1:40">
      <c r="A187" s="41">
        <v>46262</v>
      </c>
      <c r="B187" s="41" t="str">
        <v>NORMAL</v>
      </c>
      <c r="C187" s="41" t="str">
        <v>MKY5A07</v>
      </c>
      <c r="D187" s="42" t="str">
        <v>CTB</v>
      </c>
      <c r="E187" s="42" t="str">
        <v>PR</v>
      </c>
      <c r="F187" s="42" t="str">
        <v>RSO</v>
      </c>
      <c r="G187" s="42" t="str">
        <v>SP</v>
      </c>
      <c r="H187" s="42" t="str">
        <v>COLSON DO BRASIL LTDA</v>
      </c>
      <c r="I187" s="209" t="str">
        <v>000190452</v>
      </c>
      <c r="J187" s="43">
        <v>8376.92</v>
      </c>
      <c r="K187" s="44">
        <v>19</v>
      </c>
      <c r="L187" s="45">
        <v>505.68</v>
      </c>
      <c r="M187" s="46">
        <v>1004.95</v>
      </c>
      <c r="N187" s="47">
        <v>0.12</v>
      </c>
      <c r="O187" s="48">
        <f t="shared" si="149"/>
        <v>45.5112</v>
      </c>
      <c r="P187" s="49">
        <f t="shared" si="154"/>
        <v>101.136</v>
      </c>
      <c r="Q187" s="31"/>
      <c r="R187" s="49">
        <f>L187*0.09</f>
        <v>45.5112</v>
      </c>
      <c r="S187" s="31"/>
      <c r="T187" s="53">
        <v>421.92</v>
      </c>
      <c r="U187" s="33">
        <f t="shared" si="198"/>
        <v>0.419841783173292</v>
      </c>
      <c r="V187" s="34">
        <f t="shared" si="200"/>
        <v>614.0784</v>
      </c>
      <c r="W187" s="35">
        <f t="shared" si="150"/>
        <v>0.611053684262899</v>
      </c>
      <c r="X187" s="36">
        <f>(L187*'RESULTADO DIRETO'!N$27)/6*3</f>
        <v>52.8591377343152</v>
      </c>
      <c r="Y187" s="35">
        <f t="shared" si="155"/>
        <v>0.0525987738039855</v>
      </c>
      <c r="Z187" s="36">
        <f>(L187*'RESULTADO DIRETO'!N$15)/6*2</f>
        <v>32.0983771543201</v>
      </c>
      <c r="AA187" s="35">
        <f t="shared" si="179"/>
        <v>0.0319402728039406</v>
      </c>
      <c r="AB187" s="36">
        <f t="shared" si="151"/>
        <v>0.8995136696</v>
      </c>
      <c r="AC187" s="36">
        <f t="shared" si="180"/>
        <v>0.8995136696</v>
      </c>
      <c r="AD187" s="34">
        <f t="shared" si="196"/>
        <v>700.834942227835</v>
      </c>
      <c r="AE187" s="37">
        <f t="shared" si="152"/>
        <v>0.697382896888238</v>
      </c>
      <c r="AF187" s="36">
        <f t="shared" si="197"/>
        <v>120.594</v>
      </c>
      <c r="AG187" s="36"/>
      <c r="AH187" s="36">
        <f t="shared" si="153"/>
        <v>52.2574</v>
      </c>
      <c r="AI187" s="34">
        <f t="shared" si="181"/>
        <v>172.8514</v>
      </c>
      <c r="AJ187" s="38">
        <f t="shared" si="182"/>
        <v>873.686342227835</v>
      </c>
      <c r="AK187" s="39">
        <f t="shared" si="183"/>
        <v>0.869382896888238</v>
      </c>
      <c r="AL187" s="38">
        <f t="shared" si="184"/>
        <v>131.263657772165</v>
      </c>
      <c r="AM187" s="40">
        <f t="shared" si="185"/>
        <v>0.130617103111762</v>
      </c>
      <c r="AN187" s="38">
        <f t="shared" si="186"/>
        <v>1.98732399936719</v>
      </c>
    </row>
    <row r="188" hidden="1" spans="1:40">
      <c r="A188" s="41">
        <v>46262</v>
      </c>
      <c r="B188" s="41" t="str">
        <v>NORMAL</v>
      </c>
      <c r="C188" s="41" t="str">
        <v>MKY5A07</v>
      </c>
      <c r="D188" s="42" t="str">
        <v>CTB</v>
      </c>
      <c r="E188" s="42" t="str">
        <v>PR</v>
      </c>
      <c r="F188" s="42" t="str">
        <v>RJO</v>
      </c>
      <c r="G188" s="42" t="str">
        <v>RJ</v>
      </c>
      <c r="H188" s="42" t="str">
        <v>COLSON DO BRASIL LTDA</v>
      </c>
      <c r="I188" s="209" t="str">
        <v>000190384</v>
      </c>
      <c r="J188" s="43">
        <v>2099.03</v>
      </c>
      <c r="K188" s="44">
        <v>5</v>
      </c>
      <c r="L188" s="45">
        <v>52.45</v>
      </c>
      <c r="M188" s="46">
        <v>430.22</v>
      </c>
      <c r="N188" s="47">
        <v>0.12</v>
      </c>
      <c r="O188" s="48">
        <f t="shared" si="149"/>
        <v>4.7205</v>
      </c>
      <c r="P188" s="49">
        <f t="shared" si="154"/>
        <v>10.49</v>
      </c>
      <c r="Q188" s="50">
        <f t="shared" ref="Q188:Q193" si="201">L188*0.18</f>
        <v>9.441</v>
      </c>
      <c r="R188" s="50">
        <f>M188*0.22</f>
        <v>94.6484</v>
      </c>
      <c r="S188" s="31"/>
      <c r="T188" s="51">
        <v>0</v>
      </c>
      <c r="U188" s="33">
        <f t="shared" si="198"/>
        <v>0</v>
      </c>
      <c r="V188" s="34">
        <f t="shared" si="200"/>
        <v>119.2999</v>
      </c>
      <c r="W188" s="35">
        <f t="shared" si="150"/>
        <v>0.27729975361443</v>
      </c>
      <c r="X188" s="36">
        <f>(L188*'RESULTADO DIRETO'!N$27)/6*4</f>
        <v>7.31018766588839</v>
      </c>
      <c r="Y188" s="35">
        <f t="shared" si="155"/>
        <v>0.0169917429824006</v>
      </c>
      <c r="Z188" s="36">
        <f>(L188*'RESULTADO DIRETO'!N$15)/6*3</f>
        <v>4.99394839150478</v>
      </c>
      <c r="AA188" s="35">
        <f t="shared" si="179"/>
        <v>0.0116078945458249</v>
      </c>
      <c r="AB188" s="36">
        <f t="shared" si="151"/>
        <v>0.2253938414</v>
      </c>
      <c r="AC188" s="36">
        <f t="shared" si="180"/>
        <v>0.2253938414</v>
      </c>
      <c r="AD188" s="34">
        <f t="shared" ref="AD188:AD193" si="202">V188+X188+Z188+AB188+AC188</f>
        <v>132.054823740193</v>
      </c>
      <c r="AE188" s="37">
        <f t="shared" si="152"/>
        <v>0.306947198503541</v>
      </c>
      <c r="AF188" s="36">
        <f t="shared" si="197"/>
        <v>51.6264</v>
      </c>
      <c r="AG188" s="36"/>
      <c r="AH188" s="36">
        <f t="shared" si="153"/>
        <v>22.37144</v>
      </c>
      <c r="AI188" s="34">
        <f t="shared" si="181"/>
        <v>73.99784</v>
      </c>
      <c r="AJ188" s="38">
        <f t="shared" si="182"/>
        <v>206.052663740193</v>
      </c>
      <c r="AK188" s="39">
        <f t="shared" si="183"/>
        <v>0.47894719850354</v>
      </c>
      <c r="AL188" s="38">
        <f t="shared" si="184"/>
        <v>224.167336259807</v>
      </c>
      <c r="AM188" s="40">
        <f t="shared" si="185"/>
        <v>0.521052801496459</v>
      </c>
      <c r="AN188" s="38">
        <f t="shared" si="186"/>
        <v>8.20247855100095</v>
      </c>
    </row>
    <row r="189" hidden="1" spans="1:40">
      <c r="A189" s="41">
        <v>46265</v>
      </c>
      <c r="B189" s="41" t="str">
        <v>NORMAL</v>
      </c>
      <c r="C189" s="41" t="str">
        <v>DQB8989</v>
      </c>
      <c r="D189" s="42" t="str">
        <v>CTB</v>
      </c>
      <c r="E189" s="42" t="str">
        <v>PR</v>
      </c>
      <c r="F189" s="42" t="str">
        <v>PSP</v>
      </c>
      <c r="G189" s="42" t="str">
        <v>SP</v>
      </c>
      <c r="H189" s="42" t="str">
        <v>COLSON DO BRASIL LTDA</v>
      </c>
      <c r="I189" s="209" t="str">
        <v>000190540</v>
      </c>
      <c r="J189" s="43">
        <v>4859.3</v>
      </c>
      <c r="K189" s="44">
        <v>12</v>
      </c>
      <c r="L189" s="45">
        <v>96.665</v>
      </c>
      <c r="M189" s="46">
        <v>504.42</v>
      </c>
      <c r="N189" s="47">
        <v>0.12</v>
      </c>
      <c r="O189" s="48">
        <f t="shared" si="149"/>
        <v>8.69985</v>
      </c>
      <c r="P189" s="49">
        <f t="shared" si="154"/>
        <v>19.333</v>
      </c>
      <c r="Q189" s="31"/>
      <c r="R189" s="49">
        <f>L189*0</f>
        <v>0</v>
      </c>
      <c r="S189" s="31"/>
      <c r="T189" s="53">
        <v>231</v>
      </c>
      <c r="U189" s="33">
        <f t="shared" si="198"/>
        <v>0.457951706910908</v>
      </c>
      <c r="V189" s="34">
        <f t="shared" si="200"/>
        <v>259.03285</v>
      </c>
      <c r="W189" s="35">
        <f t="shared" si="150"/>
        <v>0.513526129019468</v>
      </c>
      <c r="X189" s="36">
        <f>(L189*'RESULTADO DIRETO'!N$27)/6*3</f>
        <v>10.1044703153923</v>
      </c>
      <c r="Y189" s="35">
        <f t="shared" si="155"/>
        <v>0.0200318589972489</v>
      </c>
      <c r="Z189" s="36">
        <f>(L189*'RESULTADO DIRETO'!N$15)/6*2</f>
        <v>6.1358757072108</v>
      </c>
      <c r="AA189" s="35">
        <f t="shared" si="179"/>
        <v>0.012164219712166</v>
      </c>
      <c r="AB189" s="36">
        <f t="shared" si="151"/>
        <v>0.521791634</v>
      </c>
      <c r="AC189" s="36">
        <f t="shared" si="180"/>
        <v>0.521791634</v>
      </c>
      <c r="AD189" s="34">
        <f t="shared" si="202"/>
        <v>276.316779290603</v>
      </c>
      <c r="AE189" s="37">
        <f t="shared" si="152"/>
        <v>0.547791085386391</v>
      </c>
      <c r="AF189" s="36">
        <f t="shared" si="197"/>
        <v>60.5304</v>
      </c>
      <c r="AG189" s="36"/>
      <c r="AH189" s="36">
        <f t="shared" si="153"/>
        <v>26.22984</v>
      </c>
      <c r="AI189" s="34">
        <f t="shared" si="181"/>
        <v>86.76024</v>
      </c>
      <c r="AJ189" s="38">
        <f t="shared" si="182"/>
        <v>363.077019290603</v>
      </c>
      <c r="AK189" s="39">
        <f t="shared" si="183"/>
        <v>0.71979108538639</v>
      </c>
      <c r="AL189" s="38">
        <f t="shared" si="184"/>
        <v>141.342980709397</v>
      </c>
      <c r="AM189" s="40">
        <f t="shared" si="185"/>
        <v>0.280208914613609</v>
      </c>
      <c r="AN189" s="38">
        <f t="shared" si="186"/>
        <v>5.21822790048104</v>
      </c>
    </row>
    <row r="190" hidden="1" spans="1:40">
      <c r="A190" s="41">
        <v>46262</v>
      </c>
      <c r="B190" s="41" t="str">
        <v>NORMAL</v>
      </c>
      <c r="C190" s="41" t="str">
        <v>MKY5A07</v>
      </c>
      <c r="D190" s="42" t="str">
        <v>CTB</v>
      </c>
      <c r="E190" s="42" t="str">
        <v>PR</v>
      </c>
      <c r="F190" s="42" t="str">
        <v>RJO</v>
      </c>
      <c r="G190" s="42" t="str">
        <v>RJ</v>
      </c>
      <c r="H190" s="42" t="str">
        <v>COLSON DO BRASIL LTDA</v>
      </c>
      <c r="I190" s="209" t="str">
        <v>000190401</v>
      </c>
      <c r="J190" s="43">
        <v>2536.9</v>
      </c>
      <c r="K190" s="44">
        <v>6</v>
      </c>
      <c r="L190" s="45">
        <v>69</v>
      </c>
      <c r="M190" s="46">
        <v>432.7</v>
      </c>
      <c r="N190" s="47">
        <v>0.12</v>
      </c>
      <c r="O190" s="48">
        <f t="shared" si="149"/>
        <v>6.21</v>
      </c>
      <c r="P190" s="49">
        <f t="shared" si="154"/>
        <v>13.8</v>
      </c>
      <c r="Q190" s="50">
        <f t="shared" si="201"/>
        <v>12.42</v>
      </c>
      <c r="R190" s="50">
        <f>M190*0.22</f>
        <v>95.194</v>
      </c>
      <c r="S190" s="31"/>
      <c r="T190" s="51">
        <v>0</v>
      </c>
      <c r="U190" s="33">
        <f t="shared" si="198"/>
        <v>0</v>
      </c>
      <c r="V190" s="34">
        <f t="shared" si="200"/>
        <v>127.624</v>
      </c>
      <c r="W190" s="35">
        <f t="shared" si="150"/>
        <v>0.294948000924428</v>
      </c>
      <c r="X190" s="36">
        <f>(L190*'RESULTADO DIRETO'!N$27)/6*4</f>
        <v>9.61683410765108</v>
      </c>
      <c r="Y190" s="35">
        <f t="shared" si="155"/>
        <v>0.0222251770456461</v>
      </c>
      <c r="Z190" s="36">
        <f>(L190*'RESULTADO DIRETO'!N$15)/6*3</f>
        <v>6.56973191637426</v>
      </c>
      <c r="AA190" s="35">
        <f t="shared" si="179"/>
        <v>0.0151831105069893</v>
      </c>
      <c r="AB190" s="36">
        <f t="shared" si="151"/>
        <v>0.272412322</v>
      </c>
      <c r="AC190" s="36">
        <f t="shared" si="180"/>
        <v>0.272412322</v>
      </c>
      <c r="AD190" s="34">
        <f t="shared" si="202"/>
        <v>144.355390668025</v>
      </c>
      <c r="AE190" s="37">
        <f t="shared" si="152"/>
        <v>0.333615416380923</v>
      </c>
      <c r="AF190" s="36">
        <f t="shared" si="197"/>
        <v>51.924</v>
      </c>
      <c r="AG190" s="36"/>
      <c r="AH190" s="36">
        <f t="shared" si="153"/>
        <v>22.5004</v>
      </c>
      <c r="AI190" s="34">
        <f t="shared" si="181"/>
        <v>74.4244</v>
      </c>
      <c r="AJ190" s="38">
        <f t="shared" si="182"/>
        <v>218.779790668025</v>
      </c>
      <c r="AK190" s="39">
        <f t="shared" si="183"/>
        <v>0.505615416380923</v>
      </c>
      <c r="AL190" s="38">
        <f t="shared" si="184"/>
        <v>213.920209331975</v>
      </c>
      <c r="AM190" s="40">
        <f t="shared" si="185"/>
        <v>0.494384583619077</v>
      </c>
      <c r="AN190" s="38">
        <f t="shared" si="186"/>
        <v>6.27101449275362</v>
      </c>
    </row>
    <row r="191" hidden="1" spans="1:40">
      <c r="A191" s="41">
        <v>46265</v>
      </c>
      <c r="B191" s="41" t="str">
        <v>NORMAL</v>
      </c>
      <c r="C191" s="41" t="str">
        <v>DQB8989</v>
      </c>
      <c r="D191" s="42" t="str">
        <v>CTB</v>
      </c>
      <c r="E191" s="42" t="str">
        <v>PR</v>
      </c>
      <c r="F191" s="42" t="str">
        <v>PSP</v>
      </c>
      <c r="G191" s="42" t="str">
        <v>SP</v>
      </c>
      <c r="H191" s="42" t="str">
        <v>COLSON DO BRASIL LTDA</v>
      </c>
      <c r="I191" s="209" t="str">
        <v>000190512</v>
      </c>
      <c r="J191" s="43">
        <v>13334.94</v>
      </c>
      <c r="K191" s="44">
        <v>16</v>
      </c>
      <c r="L191" s="45">
        <v>93.92</v>
      </c>
      <c r="M191" s="46">
        <v>603.08</v>
      </c>
      <c r="N191" s="47">
        <v>0.12</v>
      </c>
      <c r="O191" s="48">
        <f t="shared" si="149"/>
        <v>8.4528</v>
      </c>
      <c r="P191" s="49">
        <f t="shared" si="154"/>
        <v>18.784</v>
      </c>
      <c r="Q191" s="31"/>
      <c r="R191" s="49">
        <f>L191*0</f>
        <v>0</v>
      </c>
      <c r="S191" s="31"/>
      <c r="T191" s="53">
        <v>231</v>
      </c>
      <c r="U191" s="33">
        <f t="shared" si="198"/>
        <v>0.383033760031837</v>
      </c>
      <c r="V191" s="34">
        <f t="shared" si="200"/>
        <v>258.2368</v>
      </c>
      <c r="W191" s="35">
        <f t="shared" si="150"/>
        <v>0.42819659083372</v>
      </c>
      <c r="X191" s="36">
        <f>(L191*'RESULTADO DIRETO'!N$27)/6*3</f>
        <v>9.81753325424554</v>
      </c>
      <c r="Y191" s="35">
        <f t="shared" si="155"/>
        <v>0.0162789899420401</v>
      </c>
      <c r="Z191" s="36">
        <f>(L191*'RESULTADO DIRETO'!N$15)/6*2</f>
        <v>5.96163499116783</v>
      </c>
      <c r="AA191" s="35">
        <f t="shared" si="179"/>
        <v>0.00988531370824406</v>
      </c>
      <c r="AB191" s="36">
        <f t="shared" si="151"/>
        <v>1.4319058572</v>
      </c>
      <c r="AC191" s="36">
        <f t="shared" si="180"/>
        <v>1.4319058572</v>
      </c>
      <c r="AD191" s="34">
        <f t="shared" si="202"/>
        <v>276.879779959813</v>
      </c>
      <c r="AE191" s="37">
        <f t="shared" si="152"/>
        <v>0.459109537639805</v>
      </c>
      <c r="AF191" s="36">
        <f t="shared" si="197"/>
        <v>72.3696</v>
      </c>
      <c r="AG191" s="36"/>
      <c r="AH191" s="36">
        <f t="shared" si="153"/>
        <v>31.36016</v>
      </c>
      <c r="AI191" s="34">
        <f t="shared" si="181"/>
        <v>103.72976</v>
      </c>
      <c r="AJ191" s="38">
        <f t="shared" si="182"/>
        <v>380.609539959813</v>
      </c>
      <c r="AK191" s="39">
        <f t="shared" si="183"/>
        <v>0.631109537639804</v>
      </c>
      <c r="AL191" s="38">
        <f t="shared" si="184"/>
        <v>222.470460040187</v>
      </c>
      <c r="AM191" s="40">
        <f t="shared" si="185"/>
        <v>0.368890462360195</v>
      </c>
      <c r="AN191" s="38">
        <f t="shared" si="186"/>
        <v>6.42120954003407</v>
      </c>
    </row>
    <row r="192" hidden="1" spans="1:40">
      <c r="A192" s="41">
        <v>46262</v>
      </c>
      <c r="B192" s="41" t="str">
        <v>NORMAL</v>
      </c>
      <c r="C192" s="41" t="str">
        <v>MKY5A07</v>
      </c>
      <c r="D192" s="42" t="str">
        <v>CTB</v>
      </c>
      <c r="E192" s="42" t="str">
        <v>PR</v>
      </c>
      <c r="F192" s="42" t="str">
        <v>TAM</v>
      </c>
      <c r="G192" s="42" t="str">
        <v>MG</v>
      </c>
      <c r="H192" s="42" t="str">
        <v>COLSON DO BRASIL LTDA</v>
      </c>
      <c r="I192" s="209" t="str">
        <v>000190371</v>
      </c>
      <c r="J192" s="43">
        <v>11303.26</v>
      </c>
      <c r="K192" s="44">
        <v>40</v>
      </c>
      <c r="L192" s="45">
        <v>351.052</v>
      </c>
      <c r="M192" s="46">
        <v>531.16</v>
      </c>
      <c r="N192" s="47">
        <v>0.12</v>
      </c>
      <c r="O192" s="48">
        <f t="shared" si="149"/>
        <v>31.59468</v>
      </c>
      <c r="P192" s="49">
        <f t="shared" si="154"/>
        <v>70.2104</v>
      </c>
      <c r="Q192" s="52">
        <f t="shared" si="201"/>
        <v>63.18936</v>
      </c>
      <c r="R192" s="52">
        <f t="shared" ref="R192:R195" si="203">L192*0.15</f>
        <v>52.6578</v>
      </c>
      <c r="S192" s="31"/>
      <c r="T192" s="53">
        <v>175.53</v>
      </c>
      <c r="U192" s="33">
        <f t="shared" si="198"/>
        <v>0.3304653964907</v>
      </c>
      <c r="V192" s="34">
        <f t="shared" si="200"/>
        <v>393.18224</v>
      </c>
      <c r="W192" s="35">
        <f t="shared" si="150"/>
        <v>0.740233150086603</v>
      </c>
      <c r="X192" s="36">
        <f>(L192*'RESULTADO DIRETO'!N$27)/6*4</f>
        <v>48.9276644515815</v>
      </c>
      <c r="Y192" s="35">
        <f t="shared" si="155"/>
        <v>0.0921147384057187</v>
      </c>
      <c r="Z192" s="36">
        <f>(L192*'RESULTADO DIRETO'!N$15)/6*3</f>
        <v>33.4248917203915</v>
      </c>
      <c r="AA192" s="35">
        <f t="shared" ref="AA192:AA213" si="204">Z192/M192</f>
        <v>0.0629281039995322</v>
      </c>
      <c r="AB192" s="36">
        <f t="shared" si="151"/>
        <v>1.2137440588</v>
      </c>
      <c r="AC192" s="36">
        <f t="shared" ref="AC192:AC213" si="205">(J192*0.01%)*7.38%+(J192*0.01%)</f>
        <v>1.2137440588</v>
      </c>
      <c r="AD192" s="34">
        <f t="shared" si="202"/>
        <v>477.962284289573</v>
      </c>
      <c r="AE192" s="37">
        <f t="shared" si="152"/>
        <v>0.899846156129176</v>
      </c>
      <c r="AF192" s="36">
        <f t="shared" si="197"/>
        <v>63.7392</v>
      </c>
      <c r="AG192" s="36"/>
      <c r="AH192" s="36">
        <f t="shared" si="153"/>
        <v>27.62032</v>
      </c>
      <c r="AI192" s="34">
        <f t="shared" ref="AI192:AI213" si="206">AF192+AG192+AH192</f>
        <v>91.35952</v>
      </c>
      <c r="AJ192" s="38">
        <f t="shared" ref="AJ192:AJ213" si="207">AD192+AI192</f>
        <v>569.321804289573</v>
      </c>
      <c r="AK192" s="39">
        <f t="shared" ref="AK192:AK213" si="208">AJ192/M192</f>
        <v>1.07184615612918</v>
      </c>
      <c r="AL192" s="38">
        <f t="shared" ref="AL192:AL213" si="209">M192-AJ192</f>
        <v>-38.1618042895731</v>
      </c>
      <c r="AM192" s="40">
        <f t="shared" ref="AM192:AM214" si="210">AL192/M192</f>
        <v>-0.0718461561291759</v>
      </c>
      <c r="AN192" s="38">
        <f t="shared" ref="AN192:AN214" si="211">M192/L192</f>
        <v>1.51305219739526</v>
      </c>
    </row>
    <row r="193" hidden="1" spans="1:40">
      <c r="A193" s="41">
        <v>46262</v>
      </c>
      <c r="B193" s="41" t="str">
        <v>NORMAL</v>
      </c>
      <c r="C193" s="41" t="str">
        <v>MKY5A07</v>
      </c>
      <c r="D193" s="42" t="str">
        <v>CTB</v>
      </c>
      <c r="E193" s="42" t="str">
        <v>PR</v>
      </c>
      <c r="F193" s="42" t="str">
        <v>BHZ</v>
      </c>
      <c r="G193" s="42" t="str">
        <v>MG</v>
      </c>
      <c r="H193" s="42" t="str">
        <v>COLSON DO BRASIL LTDA</v>
      </c>
      <c r="I193" s="209" t="str">
        <v>000189978</v>
      </c>
      <c r="J193" s="43">
        <v>2715.37</v>
      </c>
      <c r="K193" s="44">
        <v>7</v>
      </c>
      <c r="L193" s="45">
        <v>70</v>
      </c>
      <c r="M193" s="46">
        <v>431.75</v>
      </c>
      <c r="N193" s="47">
        <v>0.12</v>
      </c>
      <c r="O193" s="48">
        <f t="shared" si="149"/>
        <v>6.3</v>
      </c>
      <c r="P193" s="49">
        <f t="shared" si="154"/>
        <v>14</v>
      </c>
      <c r="Q193" s="52">
        <f t="shared" si="201"/>
        <v>12.6</v>
      </c>
      <c r="R193" s="52">
        <f t="shared" si="203"/>
        <v>10.5</v>
      </c>
      <c r="S193" s="31"/>
      <c r="T193" s="54">
        <v>0</v>
      </c>
      <c r="U193" s="33">
        <f t="shared" si="198"/>
        <v>0</v>
      </c>
      <c r="V193" s="34">
        <f t="shared" si="200"/>
        <v>43.4</v>
      </c>
      <c r="W193" s="35">
        <f t="shared" si="150"/>
        <v>0.100521134916039</v>
      </c>
      <c r="X193" s="36">
        <f>(L193*'RESULTADO DIRETO'!N$27)/6*4</f>
        <v>9.75620851500834</v>
      </c>
      <c r="Y193" s="35">
        <f t="shared" si="155"/>
        <v>0.0225968929125845</v>
      </c>
      <c r="Z193" s="36">
        <f>(L193*'RESULTADO DIRETO'!N$15)/6*3</f>
        <v>6.66494542240867</v>
      </c>
      <c r="AA193" s="35">
        <f t="shared" si="204"/>
        <v>0.0154370478805065</v>
      </c>
      <c r="AB193" s="36">
        <f t="shared" si="151"/>
        <v>0.2915764306</v>
      </c>
      <c r="AC193" s="36">
        <f t="shared" si="205"/>
        <v>0.2915764306</v>
      </c>
      <c r="AD193" s="34">
        <f t="shared" si="202"/>
        <v>60.404306798617</v>
      </c>
      <c r="AE193" s="37">
        <f t="shared" si="152"/>
        <v>0.139905748230728</v>
      </c>
      <c r="AF193" s="36">
        <f t="shared" si="197"/>
        <v>51.81</v>
      </c>
      <c r="AG193" s="36"/>
      <c r="AH193" s="36">
        <f t="shared" si="153"/>
        <v>22.451</v>
      </c>
      <c r="AI193" s="34">
        <f t="shared" si="206"/>
        <v>74.261</v>
      </c>
      <c r="AJ193" s="38">
        <f t="shared" si="207"/>
        <v>134.665306798617</v>
      </c>
      <c r="AK193" s="39">
        <f t="shared" si="208"/>
        <v>0.311905748230728</v>
      </c>
      <c r="AL193" s="38">
        <f t="shared" si="209"/>
        <v>297.084693201383</v>
      </c>
      <c r="AM193" s="40">
        <f t="shared" si="210"/>
        <v>0.688094251769272</v>
      </c>
      <c r="AN193" s="38">
        <f t="shared" si="211"/>
        <v>6.16785714285714</v>
      </c>
    </row>
    <row r="194" hidden="1" spans="1:40">
      <c r="A194" s="41">
        <v>46265</v>
      </c>
      <c r="B194" s="41" t="str">
        <v>NORMAL</v>
      </c>
      <c r="C194" s="41" t="str">
        <v>AFF1761</v>
      </c>
      <c r="D194" s="42" t="str">
        <v>CTB</v>
      </c>
      <c r="E194" s="42" t="str">
        <v>PR</v>
      </c>
      <c r="F194" s="42" t="str">
        <v>EPS</v>
      </c>
      <c r="G194" s="42" t="str">
        <v>ES</v>
      </c>
      <c r="H194" s="42" t="str">
        <v>COLSON DO BRASIL LTDA</v>
      </c>
      <c r="I194" s="209" t="str">
        <v>000190531</v>
      </c>
      <c r="J194" s="43">
        <v>5067.21</v>
      </c>
      <c r="K194" s="44">
        <v>16</v>
      </c>
      <c r="L194" s="45">
        <v>122.14</v>
      </c>
      <c r="M194" s="46">
        <v>205.38</v>
      </c>
      <c r="N194" s="47">
        <v>0.07</v>
      </c>
      <c r="O194" s="48">
        <f t="shared" si="149"/>
        <v>10.9926</v>
      </c>
      <c r="P194" s="49">
        <f t="shared" si="154"/>
        <v>24.428</v>
      </c>
      <c r="Q194" s="31"/>
      <c r="R194" s="31"/>
      <c r="S194" s="31"/>
      <c r="T194" s="30">
        <v>98.58</v>
      </c>
      <c r="U194" s="33">
        <f t="shared" si="198"/>
        <v>0.479988314344143</v>
      </c>
      <c r="V194" s="34">
        <f t="shared" si="200"/>
        <v>134.0006</v>
      </c>
      <c r="W194" s="35">
        <f t="shared" si="150"/>
        <v>0.652452040120752</v>
      </c>
      <c r="X194" s="36">
        <f>(L194*'RESULTADO DIRETO'!N$27)/6*3</f>
        <v>12.767392585962</v>
      </c>
      <c r="Y194" s="35">
        <f t="shared" si="155"/>
        <v>0.0621647316484662</v>
      </c>
      <c r="Z194" s="36">
        <f>(L194*'RESULTADO DIRETO'!N$15)/6*3</f>
        <v>11.6293776270428</v>
      </c>
      <c r="AA194" s="35">
        <f t="shared" si="204"/>
        <v>0.0566237103274066</v>
      </c>
      <c r="AB194" s="36">
        <f t="shared" si="151"/>
        <v>0.5441170098</v>
      </c>
      <c r="AC194" s="36">
        <f t="shared" si="205"/>
        <v>0.5441170098</v>
      </c>
      <c r="AD194" s="34"/>
      <c r="AE194" s="37">
        <f t="shared" si="152"/>
        <v>0</v>
      </c>
      <c r="AF194" s="36">
        <f t="shared" si="197"/>
        <v>14.3766</v>
      </c>
      <c r="AG194" s="36"/>
      <c r="AH194" s="36">
        <f t="shared" si="153"/>
        <v>10.67976</v>
      </c>
      <c r="AI194" s="34">
        <f t="shared" si="206"/>
        <v>25.05636</v>
      </c>
      <c r="AJ194" s="38">
        <f t="shared" si="207"/>
        <v>25.05636</v>
      </c>
      <c r="AK194" s="39">
        <f t="shared" si="208"/>
        <v>0.122</v>
      </c>
      <c r="AL194" s="38">
        <f t="shared" si="209"/>
        <v>180.32364</v>
      </c>
      <c r="AM194" s="40">
        <f t="shared" si="210"/>
        <v>0.878</v>
      </c>
      <c r="AN194" s="38">
        <f t="shared" si="211"/>
        <v>1.68151301784837</v>
      </c>
    </row>
    <row r="195" hidden="1" spans="1:40">
      <c r="A195" s="41">
        <v>46265</v>
      </c>
      <c r="B195" s="41" t="str">
        <v>NORMAL</v>
      </c>
      <c r="C195" s="41" t="str">
        <v>DQB8989</v>
      </c>
      <c r="D195" s="42" t="str">
        <v>CTB</v>
      </c>
      <c r="E195" s="42" t="str">
        <v>PR</v>
      </c>
      <c r="F195" s="42" t="str">
        <v>TAM</v>
      </c>
      <c r="G195" s="42" t="str">
        <v>MG</v>
      </c>
      <c r="H195" s="42" t="str">
        <v>COLSON DO BRASIL LTDA</v>
      </c>
      <c r="I195" s="209" t="str">
        <v>000190558</v>
      </c>
      <c r="J195" s="43">
        <v>5390.39</v>
      </c>
      <c r="K195" s="44">
        <v>19</v>
      </c>
      <c r="L195" s="45">
        <v>203.23</v>
      </c>
      <c r="M195" s="46">
        <v>319.58</v>
      </c>
      <c r="N195" s="47">
        <v>0.12</v>
      </c>
      <c r="O195" s="48">
        <f t="shared" si="149"/>
        <v>18.2907</v>
      </c>
      <c r="P195" s="49">
        <f t="shared" si="154"/>
        <v>40.646</v>
      </c>
      <c r="Q195" s="52">
        <f>L195*0.18</f>
        <v>36.5814</v>
      </c>
      <c r="R195" s="52">
        <f t="shared" si="203"/>
        <v>30.4845</v>
      </c>
      <c r="S195" s="31"/>
      <c r="T195" s="53">
        <v>101.62</v>
      </c>
      <c r="U195" s="33">
        <f t="shared" si="198"/>
        <v>0.317979848551224</v>
      </c>
      <c r="V195" s="34">
        <f t="shared" si="200"/>
        <v>227.6226</v>
      </c>
      <c r="W195" s="35">
        <f t="shared" si="150"/>
        <v>0.712255460291633</v>
      </c>
      <c r="X195" s="36">
        <f>(L195*'RESULTADO DIRETO'!N$27)/6*4</f>
        <v>28.3250608072164</v>
      </c>
      <c r="Y195" s="35">
        <f t="shared" si="155"/>
        <v>0.0886321447124863</v>
      </c>
      <c r="Z195" s="36">
        <f>(L195*'RESULTADO DIRETO'!N$15)/6*3</f>
        <v>19.350240831373</v>
      </c>
      <c r="AA195" s="35">
        <f t="shared" si="204"/>
        <v>0.0605489731252677</v>
      </c>
      <c r="AB195" s="36">
        <f t="shared" si="151"/>
        <v>0.5788200782</v>
      </c>
      <c r="AC195" s="36">
        <f t="shared" si="205"/>
        <v>0.5788200782</v>
      </c>
      <c r="AD195" s="34">
        <f t="shared" ref="AD195:AD201" si="212">V195+X195+Z195+AB195+AC195</f>
        <v>276.455541794989</v>
      </c>
      <c r="AE195" s="37">
        <f t="shared" si="152"/>
        <v>0.865058957991706</v>
      </c>
      <c r="AF195" s="36">
        <f t="shared" si="197"/>
        <v>38.3496</v>
      </c>
      <c r="AG195" s="36"/>
      <c r="AH195" s="36">
        <f t="shared" si="153"/>
        <v>16.61816</v>
      </c>
      <c r="AI195" s="34">
        <f t="shared" si="206"/>
        <v>54.96776</v>
      </c>
      <c r="AJ195" s="38">
        <f t="shared" si="207"/>
        <v>331.423301794989</v>
      </c>
      <c r="AK195" s="39">
        <f t="shared" si="208"/>
        <v>1.03705895799171</v>
      </c>
      <c r="AL195" s="38">
        <f t="shared" si="209"/>
        <v>-11.8433017949894</v>
      </c>
      <c r="AM195" s="40">
        <f t="shared" si="210"/>
        <v>-0.0370589579917061</v>
      </c>
      <c r="AN195" s="38">
        <f t="shared" si="211"/>
        <v>1.57250405944004</v>
      </c>
    </row>
    <row r="196" hidden="1" spans="1:40">
      <c r="A196" s="41">
        <v>46265</v>
      </c>
      <c r="B196" s="41" t="str">
        <v>NORMAL</v>
      </c>
      <c r="C196" s="41" t="str">
        <v>DQB8989</v>
      </c>
      <c r="D196" s="42" t="str">
        <v>CTB</v>
      </c>
      <c r="E196" s="42" t="str">
        <v>PR</v>
      </c>
      <c r="F196" s="42" t="str">
        <v>RJO</v>
      </c>
      <c r="G196" s="42" t="str">
        <v>RJ</v>
      </c>
      <c r="H196" s="42" t="str">
        <v>COLSON DO BRASIL LTDA</v>
      </c>
      <c r="I196" s="209" t="str">
        <v>000190560</v>
      </c>
      <c r="J196" s="43">
        <v>4002.27</v>
      </c>
      <c r="K196" s="44">
        <v>17</v>
      </c>
      <c r="L196" s="45">
        <v>145.41</v>
      </c>
      <c r="M196" s="46">
        <v>218.05</v>
      </c>
      <c r="N196" s="47">
        <v>0.12</v>
      </c>
      <c r="O196" s="48">
        <f t="shared" ref="O196:O210" si="213">L196*0.09</f>
        <v>13.0869</v>
      </c>
      <c r="P196" s="49">
        <f t="shared" si="154"/>
        <v>29.082</v>
      </c>
      <c r="Q196" s="50">
        <f>L196*0.18</f>
        <v>26.1738</v>
      </c>
      <c r="R196" s="50">
        <f>M196*0.22</f>
        <v>47.971</v>
      </c>
      <c r="S196" s="31"/>
      <c r="T196" s="51">
        <v>0</v>
      </c>
      <c r="U196" s="33">
        <f t="shared" si="198"/>
        <v>0</v>
      </c>
      <c r="V196" s="34">
        <f t="shared" si="200"/>
        <v>116.3137</v>
      </c>
      <c r="W196" s="35">
        <f t="shared" ref="W196:W213" si="214">V196/M196</f>
        <v>0.53342673698693</v>
      </c>
      <c r="X196" s="36">
        <f>(L196*'RESULTADO DIRETO'!N$27)/6*4</f>
        <v>20.2664325738195</v>
      </c>
      <c r="Y196" s="35">
        <f t="shared" si="155"/>
        <v>0.0929439696116463</v>
      </c>
      <c r="Z196" s="36">
        <f>(L196*'RESULTADO DIRETO'!N$15)/6*3</f>
        <v>13.8449959124635</v>
      </c>
      <c r="AA196" s="35">
        <f t="shared" si="204"/>
        <v>0.0634945925818091</v>
      </c>
      <c r="AB196" s="36">
        <f t="shared" ref="AB196:AB213" si="215">(J196*0.01%)*7.38%+(J196*0.01%)</f>
        <v>0.4297637526</v>
      </c>
      <c r="AC196" s="36">
        <f t="shared" si="205"/>
        <v>0.4297637526</v>
      </c>
      <c r="AD196" s="34">
        <f t="shared" si="212"/>
        <v>151.284655991483</v>
      </c>
      <c r="AE196" s="37">
        <f t="shared" ref="AE196:AE213" si="216">AD196/M196</f>
        <v>0.693807181799968</v>
      </c>
      <c r="AF196" s="36">
        <f t="shared" si="197"/>
        <v>26.166</v>
      </c>
      <c r="AG196" s="36"/>
      <c r="AH196" s="36">
        <f t="shared" ref="AH196:AH213" si="217">M196*0.052</f>
        <v>11.3386</v>
      </c>
      <c r="AI196" s="34">
        <f t="shared" si="206"/>
        <v>37.5046</v>
      </c>
      <c r="AJ196" s="38">
        <f t="shared" si="207"/>
        <v>188.789255991483</v>
      </c>
      <c r="AK196" s="39">
        <f t="shared" si="208"/>
        <v>0.865807181799968</v>
      </c>
      <c r="AL196" s="38">
        <f t="shared" si="209"/>
        <v>29.2607440085171</v>
      </c>
      <c r="AM196" s="40">
        <f t="shared" si="210"/>
        <v>0.134192818200032</v>
      </c>
      <c r="AN196" s="38">
        <f t="shared" si="211"/>
        <v>1.49955298810261</v>
      </c>
    </row>
    <row r="197" hidden="1" spans="1:40">
      <c r="A197" s="41">
        <v>46265</v>
      </c>
      <c r="B197" s="41" t="str">
        <v>NORMAL</v>
      </c>
      <c r="C197" s="41" t="str">
        <v>DQB8989</v>
      </c>
      <c r="D197" s="42" t="str">
        <v>CTB</v>
      </c>
      <c r="E197" s="42" t="str">
        <v>PR</v>
      </c>
      <c r="F197" s="42" t="str">
        <v>LFN</v>
      </c>
      <c r="G197" s="42" t="str">
        <v>SP</v>
      </c>
      <c r="H197" s="42" t="str">
        <v>COLSON DO BRASIL LTDA</v>
      </c>
      <c r="I197" s="209" t="str">
        <v>000190520</v>
      </c>
      <c r="J197" s="43">
        <v>3959.66</v>
      </c>
      <c r="K197" s="44">
        <v>14</v>
      </c>
      <c r="L197" s="45">
        <v>89.645</v>
      </c>
      <c r="M197" s="46">
        <v>268.4</v>
      </c>
      <c r="N197" s="47">
        <v>0.12</v>
      </c>
      <c r="O197" s="48">
        <f t="shared" si="213"/>
        <v>8.06805</v>
      </c>
      <c r="P197" s="49">
        <f t="shared" ref="P197:P210" si="218">L197*0.2</f>
        <v>17.929</v>
      </c>
      <c r="Q197" s="31"/>
      <c r="R197" s="49">
        <f>L197*0.09</f>
        <v>8.06805</v>
      </c>
      <c r="S197" s="31"/>
      <c r="T197" s="53">
        <v>79.46</v>
      </c>
      <c r="U197" s="33">
        <f t="shared" si="198"/>
        <v>0.296050670640835</v>
      </c>
      <c r="V197" s="34">
        <f t="shared" si="200"/>
        <v>113.5251</v>
      </c>
      <c r="W197" s="35">
        <f t="shared" si="214"/>
        <v>0.422969821162444</v>
      </c>
      <c r="X197" s="36">
        <f>(L197*'RESULTADO DIRETO'!N$27)/6*3</f>
        <v>9.37066406065631</v>
      </c>
      <c r="Y197" s="35">
        <f t="shared" si="155"/>
        <v>0.034913055367572</v>
      </c>
      <c r="Z197" s="36">
        <f>(L197*'RESULTADO DIRETO'!N$15)/6*2</f>
        <v>5.69027649896976</v>
      </c>
      <c r="AA197" s="35">
        <f t="shared" si="204"/>
        <v>0.021200732112406</v>
      </c>
      <c r="AB197" s="36">
        <f t="shared" si="215"/>
        <v>0.4251882908</v>
      </c>
      <c r="AC197" s="36">
        <f t="shared" si="205"/>
        <v>0.4251882908</v>
      </c>
      <c r="AD197" s="34">
        <f t="shared" si="212"/>
        <v>129.436417141226</v>
      </c>
      <c r="AE197" s="37">
        <f t="shared" si="216"/>
        <v>0.482251926755686</v>
      </c>
      <c r="AF197" s="36">
        <f t="shared" si="197"/>
        <v>32.208</v>
      </c>
      <c r="AG197" s="36"/>
      <c r="AH197" s="36">
        <f t="shared" si="217"/>
        <v>13.9568</v>
      </c>
      <c r="AI197" s="34">
        <f t="shared" si="206"/>
        <v>46.1648</v>
      </c>
      <c r="AJ197" s="38">
        <f t="shared" si="207"/>
        <v>175.601217141226</v>
      </c>
      <c r="AK197" s="39">
        <f t="shared" si="208"/>
        <v>0.654251926755686</v>
      </c>
      <c r="AL197" s="38">
        <f t="shared" si="209"/>
        <v>92.7987828587739</v>
      </c>
      <c r="AM197" s="40">
        <f t="shared" si="210"/>
        <v>0.345748073244314</v>
      </c>
      <c r="AN197" s="38">
        <f t="shared" si="211"/>
        <v>2.99403201517095</v>
      </c>
    </row>
    <row r="198" hidden="1" spans="1:40">
      <c r="A198" s="41">
        <v>46244</v>
      </c>
      <c r="B198" s="41" t="str">
        <v>NORMAL</v>
      </c>
      <c r="C198" s="41" t="str">
        <v>DQB8989</v>
      </c>
      <c r="D198" s="42" t="str">
        <v>CTB</v>
      </c>
      <c r="E198" s="42" t="str">
        <v>PR</v>
      </c>
      <c r="F198" s="42" t="str">
        <v>SOD</v>
      </c>
      <c r="G198" s="42" t="str">
        <v>SP</v>
      </c>
      <c r="H198" s="42" t="str">
        <v>COLSON DO BRASIL LTDA</v>
      </c>
      <c r="I198" s="209" t="str">
        <v>000189152</v>
      </c>
      <c r="J198" s="43">
        <v>7868.22</v>
      </c>
      <c r="K198" s="44">
        <v>5</v>
      </c>
      <c r="L198" s="45">
        <v>64.32</v>
      </c>
      <c r="M198" s="46">
        <v>239.28</v>
      </c>
      <c r="N198" s="47">
        <v>0.12</v>
      </c>
      <c r="O198" s="48">
        <f t="shared" si="213"/>
        <v>5.7888</v>
      </c>
      <c r="P198" s="49">
        <f t="shared" si="218"/>
        <v>12.864</v>
      </c>
      <c r="Q198" s="31"/>
      <c r="R198" s="49">
        <f>L198*0</f>
        <v>0</v>
      </c>
      <c r="S198" s="31"/>
      <c r="T198" s="53">
        <v>35.89</v>
      </c>
      <c r="U198" s="33">
        <f t="shared" si="198"/>
        <v>0.149991641591441</v>
      </c>
      <c r="V198" s="34">
        <f t="shared" si="200"/>
        <v>54.5428</v>
      </c>
      <c r="W198" s="35">
        <f t="shared" si="214"/>
        <v>0.227945503176195</v>
      </c>
      <c r="X198" s="36">
        <f>(L198*'RESULTADO DIRETO'!N$27)/6*3</f>
        <v>6.72342141091432</v>
      </c>
      <c r="Y198" s="35">
        <f t="shared" si="155"/>
        <v>0.0280985515334099</v>
      </c>
      <c r="Z198" s="36">
        <f>(L198*'RESULTADO DIRETO'!N$15)/6*2</f>
        <v>4.08275513875548</v>
      </c>
      <c r="AA198" s="35">
        <f t="shared" si="204"/>
        <v>0.0170626677480587</v>
      </c>
      <c r="AB198" s="36">
        <f t="shared" si="215"/>
        <v>0.8448894636</v>
      </c>
      <c r="AC198" s="36">
        <f t="shared" si="205"/>
        <v>0.8448894636</v>
      </c>
      <c r="AD198" s="34">
        <f t="shared" si="212"/>
        <v>67.0387554768698</v>
      </c>
      <c r="AE198" s="37">
        <f t="shared" si="216"/>
        <v>0.280168653781636</v>
      </c>
      <c r="AF198" s="36">
        <f t="shared" si="197"/>
        <v>28.7136</v>
      </c>
      <c r="AG198" s="36"/>
      <c r="AH198" s="36">
        <f t="shared" si="217"/>
        <v>12.44256</v>
      </c>
      <c r="AI198" s="34">
        <f t="shared" si="206"/>
        <v>41.15616</v>
      </c>
      <c r="AJ198" s="38">
        <f t="shared" si="207"/>
        <v>108.19491547687</v>
      </c>
      <c r="AK198" s="39">
        <f t="shared" si="208"/>
        <v>0.452168653781636</v>
      </c>
      <c r="AL198" s="38">
        <f t="shared" si="209"/>
        <v>131.08508452313</v>
      </c>
      <c r="AM198" s="40">
        <f t="shared" si="210"/>
        <v>0.547831346218364</v>
      </c>
      <c r="AN198" s="38">
        <f t="shared" si="211"/>
        <v>3.72014925373134</v>
      </c>
    </row>
    <row r="199" hidden="1" spans="1:40">
      <c r="A199" s="41">
        <v>46265</v>
      </c>
      <c r="B199" s="41" t="str">
        <v>NORMAL</v>
      </c>
      <c r="C199" s="41" t="str">
        <v>DQB8989</v>
      </c>
      <c r="D199" s="42" t="str">
        <v>CTB</v>
      </c>
      <c r="E199" s="42" t="str">
        <v>PR</v>
      </c>
      <c r="F199" s="42" t="str">
        <v>RJO</v>
      </c>
      <c r="G199" s="42" t="str">
        <v>RJ</v>
      </c>
      <c r="H199" s="42" t="str">
        <v>COLSON DO BRASIL LTDA</v>
      </c>
      <c r="I199" s="209" t="str">
        <v>000190557</v>
      </c>
      <c r="J199" s="43">
        <v>3511.3</v>
      </c>
      <c r="K199" s="44">
        <v>18</v>
      </c>
      <c r="L199" s="45">
        <v>143.674</v>
      </c>
      <c r="M199" s="46">
        <v>213.49</v>
      </c>
      <c r="N199" s="47">
        <v>0.12</v>
      </c>
      <c r="O199" s="48">
        <f t="shared" si="213"/>
        <v>12.93066</v>
      </c>
      <c r="P199" s="49">
        <f t="shared" si="218"/>
        <v>28.7348</v>
      </c>
      <c r="Q199" s="50">
        <f t="shared" ref="Q199:Q203" si="219">L199*0.18</f>
        <v>25.86132</v>
      </c>
      <c r="R199" s="50">
        <f t="shared" ref="R199:R203" si="220">M199*0.22</f>
        <v>46.9678</v>
      </c>
      <c r="S199" s="31"/>
      <c r="T199" s="51">
        <v>0</v>
      </c>
      <c r="U199" s="33">
        <f t="shared" si="198"/>
        <v>0</v>
      </c>
      <c r="V199" s="34">
        <f t="shared" si="200"/>
        <v>114.49458</v>
      </c>
      <c r="W199" s="35">
        <f t="shared" si="214"/>
        <v>0.536299498805565</v>
      </c>
      <c r="X199" s="36">
        <f>(L199*'RESULTADO DIRETO'!N$27)/6*4</f>
        <v>20.0244786026473</v>
      </c>
      <c r="Y199" s="35">
        <f t="shared" ref="Y199:Y213" si="221">X199/M199</f>
        <v>0.0937958621136693</v>
      </c>
      <c r="Z199" s="36">
        <f>(L199*'RESULTADO DIRETO'!N$15)/6*3</f>
        <v>13.6797052659878</v>
      </c>
      <c r="AA199" s="35">
        <f t="shared" si="204"/>
        <v>0.0640765622089454</v>
      </c>
      <c r="AB199" s="36">
        <f t="shared" si="215"/>
        <v>0.377043394</v>
      </c>
      <c r="AC199" s="36">
        <f t="shared" si="205"/>
        <v>0.377043394</v>
      </c>
      <c r="AD199" s="34">
        <f t="shared" si="212"/>
        <v>148.952850656635</v>
      </c>
      <c r="AE199" s="37">
        <f t="shared" si="216"/>
        <v>0.697704110996464</v>
      </c>
      <c r="AF199" s="36">
        <f t="shared" si="197"/>
        <v>25.6188</v>
      </c>
      <c r="AG199" s="36"/>
      <c r="AH199" s="36">
        <f t="shared" si="217"/>
        <v>11.10148</v>
      </c>
      <c r="AI199" s="34">
        <f t="shared" si="206"/>
        <v>36.72028</v>
      </c>
      <c r="AJ199" s="38">
        <f t="shared" si="207"/>
        <v>185.673130656635</v>
      </c>
      <c r="AK199" s="39">
        <f t="shared" si="208"/>
        <v>0.869704110996464</v>
      </c>
      <c r="AL199" s="38">
        <f t="shared" si="209"/>
        <v>27.816869343365</v>
      </c>
      <c r="AM199" s="40">
        <f t="shared" si="210"/>
        <v>0.130295889003536</v>
      </c>
      <c r="AN199" s="38">
        <f t="shared" si="211"/>
        <v>1.48593343263221</v>
      </c>
    </row>
    <row r="200" hidden="1" spans="1:40">
      <c r="A200" s="41">
        <v>46265</v>
      </c>
      <c r="B200" s="41" t="str">
        <v>NORMAL</v>
      </c>
      <c r="C200" s="41" t="str">
        <v>DQB8989</v>
      </c>
      <c r="D200" s="42" t="str">
        <v>CTB</v>
      </c>
      <c r="E200" s="42" t="str">
        <v>PR</v>
      </c>
      <c r="F200" s="42" t="str">
        <v>VEA</v>
      </c>
      <c r="G200" s="42" t="str">
        <v>MG</v>
      </c>
      <c r="H200" s="42" t="str">
        <v>COLSON DO BRASIL LTDA</v>
      </c>
      <c r="I200" s="209" t="str">
        <v>000190519</v>
      </c>
      <c r="J200" s="43">
        <v>5006.1</v>
      </c>
      <c r="K200" s="44">
        <v>14</v>
      </c>
      <c r="L200" s="45">
        <v>164.7</v>
      </c>
      <c r="M200" s="46">
        <v>299.67</v>
      </c>
      <c r="N200" s="47">
        <v>0.12</v>
      </c>
      <c r="O200" s="48">
        <f t="shared" si="213"/>
        <v>14.823</v>
      </c>
      <c r="P200" s="49">
        <f t="shared" si="218"/>
        <v>32.94</v>
      </c>
      <c r="Q200" s="55">
        <f t="shared" si="219"/>
        <v>29.646</v>
      </c>
      <c r="R200" s="55">
        <f>L200*0.06</f>
        <v>9.882</v>
      </c>
      <c r="S200" s="31"/>
      <c r="T200" s="53">
        <v>89.9</v>
      </c>
      <c r="U200" s="33">
        <f t="shared" si="198"/>
        <v>0.299996662995962</v>
      </c>
      <c r="V200" s="34">
        <f t="shared" si="200"/>
        <v>177.191</v>
      </c>
      <c r="W200" s="35">
        <f t="shared" si="214"/>
        <v>0.59128708245737</v>
      </c>
      <c r="X200" s="36">
        <f>(L200*'RESULTADO DIRETO'!N$27)/6*4</f>
        <v>22.954964891741</v>
      </c>
      <c r="Y200" s="35">
        <f t="shared" si="221"/>
        <v>0.0766008105307206</v>
      </c>
      <c r="Z200" s="36">
        <f>(L200*'RESULTADO DIRETO'!N$15)/6*3</f>
        <v>15.6816644438672</v>
      </c>
      <c r="AA200" s="35">
        <f t="shared" si="204"/>
        <v>0.0523297775682159</v>
      </c>
      <c r="AB200" s="36">
        <f t="shared" si="215"/>
        <v>0.537555018</v>
      </c>
      <c r="AC200" s="36">
        <f t="shared" si="205"/>
        <v>0.537555018</v>
      </c>
      <c r="AD200" s="34">
        <f t="shared" si="212"/>
        <v>216.902739371608</v>
      </c>
      <c r="AE200" s="37">
        <f t="shared" si="216"/>
        <v>0.723805317087491</v>
      </c>
      <c r="AF200" s="36">
        <f t="shared" si="197"/>
        <v>35.9604</v>
      </c>
      <c r="AG200" s="36"/>
      <c r="AH200" s="36">
        <f t="shared" si="217"/>
        <v>15.58284</v>
      </c>
      <c r="AI200" s="34">
        <f t="shared" si="206"/>
        <v>51.54324</v>
      </c>
      <c r="AJ200" s="38">
        <f t="shared" si="207"/>
        <v>268.445979371608</v>
      </c>
      <c r="AK200" s="39">
        <f t="shared" si="208"/>
        <v>0.895805317087491</v>
      </c>
      <c r="AL200" s="38">
        <f t="shared" si="209"/>
        <v>31.2240206283917</v>
      </c>
      <c r="AM200" s="40">
        <f t="shared" si="210"/>
        <v>0.104194682912509</v>
      </c>
      <c r="AN200" s="38">
        <f t="shared" si="211"/>
        <v>1.81948998178506</v>
      </c>
    </row>
    <row r="201" hidden="1" spans="1:40">
      <c r="A201" s="41">
        <v>46247</v>
      </c>
      <c r="B201" s="41" t="str">
        <v>NORMAL</v>
      </c>
      <c r="C201" s="41" t="str">
        <v>AFF1761</v>
      </c>
      <c r="D201" s="42" t="str">
        <v>CTB</v>
      </c>
      <c r="E201" s="42" t="str">
        <v>PR</v>
      </c>
      <c r="F201" s="42" t="str">
        <v>SOD</v>
      </c>
      <c r="G201" s="42" t="str">
        <v>SP</v>
      </c>
      <c r="H201" s="42" t="str">
        <v>COLSON DO BRASIL LTDA</v>
      </c>
      <c r="I201" s="209" t="str">
        <v>000189426</v>
      </c>
      <c r="J201" s="43">
        <v>4636.09</v>
      </c>
      <c r="K201" s="44">
        <v>10</v>
      </c>
      <c r="L201" s="45">
        <v>108.6</v>
      </c>
      <c r="M201" s="46">
        <v>218.66</v>
      </c>
      <c r="N201" s="47">
        <v>0.12</v>
      </c>
      <c r="O201" s="48">
        <f t="shared" si="213"/>
        <v>9.774</v>
      </c>
      <c r="P201" s="49">
        <f t="shared" si="218"/>
        <v>21.72</v>
      </c>
      <c r="Q201" s="31"/>
      <c r="R201" s="49">
        <f>L201*0</f>
        <v>0</v>
      </c>
      <c r="S201" s="31"/>
      <c r="T201" s="53">
        <v>32.8</v>
      </c>
      <c r="U201" s="33">
        <f t="shared" si="198"/>
        <v>0.150004573310162</v>
      </c>
      <c r="V201" s="34">
        <f t="shared" si="200"/>
        <v>64.294</v>
      </c>
      <c r="W201" s="35">
        <f t="shared" si="214"/>
        <v>0.294036403548889</v>
      </c>
      <c r="X201" s="36">
        <f>(L201*'RESULTADO DIRETO'!N$27)/6*3</f>
        <v>11.352045479249</v>
      </c>
      <c r="Y201" s="35">
        <f t="shared" si="221"/>
        <v>0.0519164249485456</v>
      </c>
      <c r="Z201" s="36">
        <f>(L201*'RESULTADO DIRETO'!N$15)/6*2</f>
        <v>6.89345783689125</v>
      </c>
      <c r="AA201" s="35">
        <f t="shared" si="204"/>
        <v>0.0315259207760507</v>
      </c>
      <c r="AB201" s="36">
        <f t="shared" si="215"/>
        <v>0.4978233442</v>
      </c>
      <c r="AC201" s="36">
        <f t="shared" si="205"/>
        <v>0.4978233442</v>
      </c>
      <c r="AD201" s="34">
        <f t="shared" si="212"/>
        <v>83.5351500045402</v>
      </c>
      <c r="AE201" s="37">
        <f t="shared" si="216"/>
        <v>0.382032150391202</v>
      </c>
      <c r="AF201" s="36">
        <f t="shared" si="197"/>
        <v>26.2392</v>
      </c>
      <c r="AG201" s="36"/>
      <c r="AH201" s="36">
        <f t="shared" si="217"/>
        <v>11.37032</v>
      </c>
      <c r="AI201" s="34">
        <f t="shared" si="206"/>
        <v>37.60952</v>
      </c>
      <c r="AJ201" s="38">
        <f t="shared" si="207"/>
        <v>121.14467000454</v>
      </c>
      <c r="AK201" s="39">
        <f t="shared" si="208"/>
        <v>0.554032150391202</v>
      </c>
      <c r="AL201" s="38">
        <f t="shared" si="209"/>
        <v>97.5153299954598</v>
      </c>
      <c r="AM201" s="40">
        <f t="shared" si="210"/>
        <v>0.445967849608798</v>
      </c>
      <c r="AN201" s="38">
        <f t="shared" si="211"/>
        <v>2.0134438305709</v>
      </c>
    </row>
    <row r="202" hidden="1" spans="1:40">
      <c r="A202" s="41">
        <v>46265</v>
      </c>
      <c r="B202" s="41" t="str">
        <v>NORMAL</v>
      </c>
      <c r="C202" s="41" t="str">
        <v>DQB8989</v>
      </c>
      <c r="D202" s="42" t="str">
        <v>CTB</v>
      </c>
      <c r="E202" s="42" t="str">
        <v>PR</v>
      </c>
      <c r="F202" s="42" t="str">
        <v>RJO</v>
      </c>
      <c r="G202" s="42" t="str">
        <v>RJ</v>
      </c>
      <c r="H202" s="42" t="str">
        <v>COLSON DO BRASIL LTDA</v>
      </c>
      <c r="I202" s="209" t="str">
        <v>000190535</v>
      </c>
      <c r="J202" s="43">
        <v>4934.78</v>
      </c>
      <c r="K202" s="44">
        <v>14</v>
      </c>
      <c r="L202" s="45">
        <v>129.5</v>
      </c>
      <c r="M202" s="46">
        <v>491.16</v>
      </c>
      <c r="N202" s="47">
        <v>0.12</v>
      </c>
      <c r="O202" s="48">
        <f t="shared" si="213"/>
        <v>11.655</v>
      </c>
      <c r="P202" s="49">
        <f t="shared" si="218"/>
        <v>25.9</v>
      </c>
      <c r="Q202" s="50">
        <f t="shared" si="219"/>
        <v>23.31</v>
      </c>
      <c r="R202" s="50">
        <f t="shared" si="220"/>
        <v>108.0552</v>
      </c>
      <c r="S202" s="31"/>
      <c r="T202" s="51">
        <v>0</v>
      </c>
      <c r="U202" s="33">
        <f t="shared" si="198"/>
        <v>0</v>
      </c>
      <c r="V202" s="34">
        <f t="shared" si="200"/>
        <v>168.9202</v>
      </c>
      <c r="W202" s="35">
        <f t="shared" si="214"/>
        <v>0.343920921899177</v>
      </c>
      <c r="X202" s="36">
        <f>(L202*'RESULTADO DIRETO'!N$27)/6*4</f>
        <v>18.0489857527654</v>
      </c>
      <c r="Y202" s="35">
        <f t="shared" si="221"/>
        <v>0.0367476703167307</v>
      </c>
      <c r="Z202" s="36">
        <f>(L202*'RESULTADO DIRETO'!N$15)/6*3</f>
        <v>12.330149031456</v>
      </c>
      <c r="AA202" s="35">
        <f t="shared" si="204"/>
        <v>0.0251041392447594</v>
      </c>
      <c r="AB202" s="36">
        <f t="shared" si="215"/>
        <v>0.5298966764</v>
      </c>
      <c r="AC202" s="36">
        <f t="shared" si="205"/>
        <v>0.5298966764</v>
      </c>
      <c r="AD202" s="34">
        <f t="shared" ref="AD202:AD206" si="222">V202+X202+Z202+AB202+AC202</f>
        <v>200.359128137021</v>
      </c>
      <c r="AE202" s="37">
        <f t="shared" si="216"/>
        <v>0.407930466929354</v>
      </c>
      <c r="AF202" s="36">
        <f t="shared" si="197"/>
        <v>58.9392</v>
      </c>
      <c r="AG202" s="36"/>
      <c r="AH202" s="36">
        <f t="shared" si="217"/>
        <v>25.54032</v>
      </c>
      <c r="AI202" s="34">
        <f t="shared" si="206"/>
        <v>84.47952</v>
      </c>
      <c r="AJ202" s="38">
        <f t="shared" si="207"/>
        <v>284.838648137021</v>
      </c>
      <c r="AK202" s="39">
        <f t="shared" si="208"/>
        <v>0.579930466929354</v>
      </c>
      <c r="AL202" s="38">
        <f t="shared" si="209"/>
        <v>206.321351862979</v>
      </c>
      <c r="AM202" s="40">
        <f t="shared" si="210"/>
        <v>0.420069533070646</v>
      </c>
      <c r="AN202" s="38">
        <f t="shared" si="211"/>
        <v>3.79274131274131</v>
      </c>
    </row>
    <row r="203" hidden="1" spans="1:40">
      <c r="A203" s="41">
        <v>46265</v>
      </c>
      <c r="B203" s="41" t="str">
        <v>NORMAL</v>
      </c>
      <c r="C203" s="41" t="str">
        <v>DQB8989</v>
      </c>
      <c r="D203" s="42" t="str">
        <v>CTB</v>
      </c>
      <c r="E203" s="42" t="str">
        <v>PR</v>
      </c>
      <c r="F203" s="42" t="str">
        <v>RJO</v>
      </c>
      <c r="G203" s="42" t="str">
        <v>RJ</v>
      </c>
      <c r="H203" s="42" t="str">
        <v>COLSON DO BRASIL LTDA</v>
      </c>
      <c r="I203" s="209" t="str">
        <v>000190403</v>
      </c>
      <c r="J203" s="43">
        <v>3472.4</v>
      </c>
      <c r="K203" s="44">
        <v>8</v>
      </c>
      <c r="L203" s="45">
        <v>97.34</v>
      </c>
      <c r="M203" s="46">
        <v>458.01</v>
      </c>
      <c r="N203" s="47">
        <v>0.12</v>
      </c>
      <c r="O203" s="48">
        <f t="shared" si="213"/>
        <v>8.7606</v>
      </c>
      <c r="P203" s="49">
        <f t="shared" si="218"/>
        <v>19.468</v>
      </c>
      <c r="Q203" s="50">
        <f t="shared" si="219"/>
        <v>17.5212</v>
      </c>
      <c r="R203" s="50">
        <f t="shared" si="220"/>
        <v>100.7622</v>
      </c>
      <c r="S203" s="31"/>
      <c r="T203" s="51">
        <v>0</v>
      </c>
      <c r="U203" s="33">
        <f t="shared" si="198"/>
        <v>0</v>
      </c>
      <c r="V203" s="34">
        <f t="shared" si="200"/>
        <v>146.512</v>
      </c>
      <c r="W203" s="35">
        <f t="shared" si="214"/>
        <v>0.319888212047772</v>
      </c>
      <c r="X203" s="36">
        <f>(L203*'RESULTADO DIRETO'!N$27)/6*4</f>
        <v>13.5667048121559</v>
      </c>
      <c r="Y203" s="35">
        <f t="shared" si="221"/>
        <v>0.0296209794811377</v>
      </c>
      <c r="Z203" s="36">
        <f>(L203*'RESULTADO DIRETO'!N$15)/6*3</f>
        <v>9.26808267738942</v>
      </c>
      <c r="AA203" s="35">
        <f t="shared" si="204"/>
        <v>0.0202355465544189</v>
      </c>
      <c r="AB203" s="36">
        <f t="shared" si="215"/>
        <v>0.372866312</v>
      </c>
      <c r="AC203" s="36">
        <f t="shared" si="205"/>
        <v>0.372866312</v>
      </c>
      <c r="AD203" s="34">
        <f t="shared" si="222"/>
        <v>170.092520113545</v>
      </c>
      <c r="AE203" s="37">
        <f t="shared" si="216"/>
        <v>0.371372939703381</v>
      </c>
      <c r="AF203" s="36">
        <f t="shared" si="197"/>
        <v>54.9612</v>
      </c>
      <c r="AG203" s="36"/>
      <c r="AH203" s="36">
        <f t="shared" si="217"/>
        <v>23.81652</v>
      </c>
      <c r="AI203" s="34">
        <f t="shared" si="206"/>
        <v>78.77772</v>
      </c>
      <c r="AJ203" s="38">
        <f t="shared" si="207"/>
        <v>248.870240113545</v>
      </c>
      <c r="AK203" s="39">
        <f t="shared" si="208"/>
        <v>0.543372939703381</v>
      </c>
      <c r="AL203" s="38">
        <f t="shared" si="209"/>
        <v>209.139759886455</v>
      </c>
      <c r="AM203" s="40">
        <f t="shared" si="210"/>
        <v>0.456627060296619</v>
      </c>
      <c r="AN203" s="38">
        <f t="shared" si="211"/>
        <v>4.70525991370454</v>
      </c>
    </row>
    <row r="204" hidden="1" spans="1:40">
      <c r="A204" s="41">
        <v>46247</v>
      </c>
      <c r="B204" s="41" t="str">
        <v>NORMAL</v>
      </c>
      <c r="C204" s="41" t="str">
        <v>AFF1761</v>
      </c>
      <c r="D204" s="42" t="str">
        <v>CTB</v>
      </c>
      <c r="E204" s="42" t="str">
        <v>PR</v>
      </c>
      <c r="F204" s="42" t="str">
        <v>SOD</v>
      </c>
      <c r="G204" s="42" t="str">
        <v>SP</v>
      </c>
      <c r="H204" s="42" t="str">
        <v>COLSON DO BRASIL LTDA</v>
      </c>
      <c r="I204" s="209" t="str">
        <v>000189331</v>
      </c>
      <c r="J204" s="43">
        <v>9827.07</v>
      </c>
      <c r="K204" s="44">
        <v>16</v>
      </c>
      <c r="L204" s="45">
        <v>904.56</v>
      </c>
      <c r="M204" s="46">
        <v>1366.26</v>
      </c>
      <c r="N204" s="47">
        <v>0.12</v>
      </c>
      <c r="O204" s="48">
        <f t="shared" si="213"/>
        <v>81.4104</v>
      </c>
      <c r="P204" s="49">
        <f t="shared" si="218"/>
        <v>180.912</v>
      </c>
      <c r="Q204" s="31"/>
      <c r="R204" s="49">
        <f>L204*0</f>
        <v>0</v>
      </c>
      <c r="S204" s="31"/>
      <c r="T204" s="53">
        <v>204.94</v>
      </c>
      <c r="U204" s="33">
        <f t="shared" si="198"/>
        <v>0.150000731925109</v>
      </c>
      <c r="V204" s="34">
        <f t="shared" si="200"/>
        <v>467.2624</v>
      </c>
      <c r="W204" s="35">
        <f t="shared" si="214"/>
        <v>0.342001083249162</v>
      </c>
      <c r="X204" s="36">
        <f>(L204*'RESULTADO DIRETO'!N$27)/6*3</f>
        <v>94.5543854393137</v>
      </c>
      <c r="Y204" s="35">
        <f t="shared" si="221"/>
        <v>0.0692067289090756</v>
      </c>
      <c r="Z204" s="36">
        <f>(L204*'RESULTADO DIRETO'!N$15)/6*2</f>
        <v>57.4175526789903</v>
      </c>
      <c r="AA204" s="35">
        <f t="shared" si="204"/>
        <v>0.0420253485273596</v>
      </c>
      <c r="AB204" s="36">
        <f t="shared" si="215"/>
        <v>1.0552307766</v>
      </c>
      <c r="AC204" s="36">
        <f t="shared" si="205"/>
        <v>1.0552307766</v>
      </c>
      <c r="AD204" s="34">
        <f t="shared" si="222"/>
        <v>621.344799671504</v>
      </c>
      <c r="AE204" s="37">
        <f t="shared" si="216"/>
        <v>0.454777860488856</v>
      </c>
      <c r="AF204" s="36">
        <f t="shared" si="197"/>
        <v>163.9512</v>
      </c>
      <c r="AG204" s="36"/>
      <c r="AH204" s="36">
        <f t="shared" si="217"/>
        <v>71.04552</v>
      </c>
      <c r="AI204" s="34">
        <f t="shared" si="206"/>
        <v>234.99672</v>
      </c>
      <c r="AJ204" s="38">
        <f t="shared" si="207"/>
        <v>856.341519671504</v>
      </c>
      <c r="AK204" s="39">
        <f t="shared" si="208"/>
        <v>0.626777860488856</v>
      </c>
      <c r="AL204" s="38">
        <f t="shared" si="209"/>
        <v>509.918480328496</v>
      </c>
      <c r="AM204" s="40">
        <f t="shared" si="210"/>
        <v>0.373222139511144</v>
      </c>
      <c r="AN204" s="38">
        <f t="shared" si="211"/>
        <v>1.51041390289201</v>
      </c>
    </row>
    <row r="205" hidden="1" spans="1:40">
      <c r="A205" s="41">
        <v>46265</v>
      </c>
      <c r="B205" s="41" t="str">
        <v>NORMAL</v>
      </c>
      <c r="C205" s="41" t="str">
        <v>DQB8989</v>
      </c>
      <c r="D205" s="42" t="str">
        <v>CTB</v>
      </c>
      <c r="E205" s="42" t="str">
        <v>PR</v>
      </c>
      <c r="F205" s="42" t="str">
        <v>TAM</v>
      </c>
      <c r="G205" s="42" t="str">
        <v>MG</v>
      </c>
      <c r="H205" s="42" t="str">
        <v>COLSON DO BRASIL LTDA</v>
      </c>
      <c r="I205" s="209" t="str">
        <v>000190579</v>
      </c>
      <c r="J205" s="43">
        <v>8250.19</v>
      </c>
      <c r="K205" s="44">
        <v>18</v>
      </c>
      <c r="L205" s="45">
        <v>280</v>
      </c>
      <c r="M205" s="46">
        <v>425.02</v>
      </c>
      <c r="N205" s="47">
        <v>0.12</v>
      </c>
      <c r="O205" s="48">
        <f t="shared" si="213"/>
        <v>25.2</v>
      </c>
      <c r="P205" s="49">
        <f t="shared" si="218"/>
        <v>56</v>
      </c>
      <c r="Q205" s="52">
        <f t="shared" ref="Q205:Q209" si="223">L205*0.18</f>
        <v>50.4</v>
      </c>
      <c r="R205" s="52">
        <f t="shared" ref="R205:R209" si="224">L205*0.15</f>
        <v>42</v>
      </c>
      <c r="S205" s="31"/>
      <c r="T205" s="53">
        <v>114.8</v>
      </c>
      <c r="U205" s="33">
        <f t="shared" si="198"/>
        <v>0.270104936238295</v>
      </c>
      <c r="V205" s="34">
        <f t="shared" si="200"/>
        <v>288.4</v>
      </c>
      <c r="W205" s="35">
        <f t="shared" si="214"/>
        <v>0.678556303232789</v>
      </c>
      <c r="X205" s="36">
        <f>(L205*'RESULTADO DIRETO'!N$27)/6*4</f>
        <v>39.0248340600334</v>
      </c>
      <c r="Y205" s="35">
        <f t="shared" si="221"/>
        <v>0.0918188180792277</v>
      </c>
      <c r="Z205" s="36">
        <f>(L205*'RESULTADO DIRETO'!N$15)/6*3</f>
        <v>26.6597816896347</v>
      </c>
      <c r="AA205" s="35">
        <f t="shared" si="204"/>
        <v>0.0627259462840211</v>
      </c>
      <c r="AB205" s="36">
        <f t="shared" si="215"/>
        <v>0.8859054022</v>
      </c>
      <c r="AC205" s="36">
        <f t="shared" si="205"/>
        <v>0.8859054022</v>
      </c>
      <c r="AD205" s="34">
        <f t="shared" si="222"/>
        <v>355.856426554068</v>
      </c>
      <c r="AE205" s="37">
        <f t="shared" si="216"/>
        <v>0.837269838017195</v>
      </c>
      <c r="AF205" s="36">
        <f t="shared" si="197"/>
        <v>51.0024</v>
      </c>
      <c r="AG205" s="36"/>
      <c r="AH205" s="36">
        <f t="shared" si="217"/>
        <v>22.10104</v>
      </c>
      <c r="AI205" s="34">
        <f t="shared" si="206"/>
        <v>73.10344</v>
      </c>
      <c r="AJ205" s="38">
        <f t="shared" si="207"/>
        <v>428.959866554068</v>
      </c>
      <c r="AK205" s="39">
        <f t="shared" si="208"/>
        <v>1.00926983801719</v>
      </c>
      <c r="AL205" s="38">
        <f t="shared" si="209"/>
        <v>-3.93986655406803</v>
      </c>
      <c r="AM205" s="40">
        <f t="shared" si="210"/>
        <v>-0.00926983801719456</v>
      </c>
      <c r="AN205" s="38">
        <f t="shared" si="211"/>
        <v>1.51792857142857</v>
      </c>
    </row>
    <row r="206" hidden="1" spans="1:40">
      <c r="A206" s="41">
        <v>46265</v>
      </c>
      <c r="B206" s="41" t="str">
        <v>NORMAL</v>
      </c>
      <c r="C206" s="41" t="str">
        <v>DQB8989</v>
      </c>
      <c r="D206" s="42" t="str">
        <v>CTB</v>
      </c>
      <c r="E206" s="42" t="str">
        <v>PR</v>
      </c>
      <c r="F206" s="42" t="str">
        <v>BHZ</v>
      </c>
      <c r="G206" s="42" t="str">
        <v>MG</v>
      </c>
      <c r="H206" s="42" t="str">
        <v>COLSON DO BRASIL LTDA</v>
      </c>
      <c r="I206" s="209" t="str">
        <v>000190474</v>
      </c>
      <c r="J206" s="43">
        <v>3155.31</v>
      </c>
      <c r="K206" s="44">
        <v>10</v>
      </c>
      <c r="L206" s="45">
        <v>119.35</v>
      </c>
      <c r="M206" s="46">
        <v>468.07</v>
      </c>
      <c r="N206" s="47">
        <v>0.12</v>
      </c>
      <c r="O206" s="48">
        <f t="shared" si="213"/>
        <v>10.7415</v>
      </c>
      <c r="P206" s="49">
        <f t="shared" si="218"/>
        <v>23.87</v>
      </c>
      <c r="Q206" s="52">
        <f t="shared" si="223"/>
        <v>21.483</v>
      </c>
      <c r="R206" s="52">
        <f t="shared" si="224"/>
        <v>17.9025</v>
      </c>
      <c r="S206" s="31"/>
      <c r="T206" s="54">
        <v>0</v>
      </c>
      <c r="U206" s="33">
        <f t="shared" si="198"/>
        <v>0</v>
      </c>
      <c r="V206" s="34">
        <f t="shared" si="200"/>
        <v>73.997</v>
      </c>
      <c r="W206" s="35">
        <f t="shared" si="214"/>
        <v>0.158089601982609</v>
      </c>
      <c r="X206" s="36">
        <f>(L206*'RESULTADO DIRETO'!N$27)/6*4</f>
        <v>16.6343355180892</v>
      </c>
      <c r="Y206" s="35">
        <f t="shared" si="221"/>
        <v>0.0355381364285026</v>
      </c>
      <c r="Z206" s="36">
        <f>(L206*'RESULTADO DIRETO'!N$15)/6*3</f>
        <v>11.3637319452068</v>
      </c>
      <c r="AA206" s="35">
        <f t="shared" si="204"/>
        <v>0.0242778472134655</v>
      </c>
      <c r="AB206" s="36">
        <f t="shared" si="215"/>
        <v>0.3388171878</v>
      </c>
      <c r="AC206" s="36">
        <f t="shared" si="205"/>
        <v>0.3388171878</v>
      </c>
      <c r="AD206" s="34">
        <f t="shared" si="222"/>
        <v>102.672701838896</v>
      </c>
      <c r="AE206" s="37">
        <f t="shared" si="216"/>
        <v>0.219353305785237</v>
      </c>
      <c r="AF206" s="36">
        <f t="shared" si="197"/>
        <v>56.1684</v>
      </c>
      <c r="AG206" s="36"/>
      <c r="AH206" s="36">
        <f t="shared" si="217"/>
        <v>24.33964</v>
      </c>
      <c r="AI206" s="34">
        <f t="shared" si="206"/>
        <v>80.50804</v>
      </c>
      <c r="AJ206" s="38">
        <f t="shared" si="207"/>
        <v>183.180741838896</v>
      </c>
      <c r="AK206" s="39">
        <f t="shared" si="208"/>
        <v>0.391353305785237</v>
      </c>
      <c r="AL206" s="38">
        <f t="shared" si="209"/>
        <v>284.889258161104</v>
      </c>
      <c r="AM206" s="40">
        <f t="shared" si="210"/>
        <v>0.608646694214763</v>
      </c>
      <c r="AN206" s="38">
        <f t="shared" si="211"/>
        <v>3.92182656053624</v>
      </c>
    </row>
    <row r="207" hidden="1" spans="1:40">
      <c r="A207" s="41">
        <v>46265</v>
      </c>
      <c r="B207" s="41" t="str">
        <v>NORMAL</v>
      </c>
      <c r="C207" s="41" t="str">
        <v>DQB8989</v>
      </c>
      <c r="D207" s="42" t="str">
        <v>CTB</v>
      </c>
      <c r="E207" s="42" t="str">
        <v>PR</v>
      </c>
      <c r="F207" s="42" t="str">
        <v>EPS</v>
      </c>
      <c r="G207" s="42" t="str">
        <v>ES</v>
      </c>
      <c r="H207" s="42" t="str">
        <v>COLSON DO BRASIL LTDA</v>
      </c>
      <c r="I207" s="209" t="str">
        <v>000190528</v>
      </c>
      <c r="J207" s="43">
        <v>7267.83</v>
      </c>
      <c r="K207" s="44">
        <v>15</v>
      </c>
      <c r="L207" s="45">
        <v>200.8</v>
      </c>
      <c r="M207" s="46">
        <v>309.45</v>
      </c>
      <c r="N207" s="47">
        <v>0.07</v>
      </c>
      <c r="O207" s="48">
        <f t="shared" si="213"/>
        <v>18.072</v>
      </c>
      <c r="P207" s="49">
        <f t="shared" si="218"/>
        <v>40.16</v>
      </c>
      <c r="Q207" s="31"/>
      <c r="R207" s="31"/>
      <c r="S207" s="31"/>
      <c r="T207" s="30">
        <v>148.54</v>
      </c>
      <c r="U207" s="33">
        <f t="shared" si="198"/>
        <v>0.480012926159315</v>
      </c>
      <c r="V207" s="34">
        <f t="shared" si="200"/>
        <v>206.772</v>
      </c>
      <c r="W207" s="35">
        <f t="shared" si="214"/>
        <v>0.668191953465826</v>
      </c>
      <c r="X207" s="36">
        <f>(L207*'RESULTADO DIRETO'!N$27)/6*3</f>
        <v>20.9897857480037</v>
      </c>
      <c r="Y207" s="35">
        <f t="shared" si="221"/>
        <v>0.0678293286411493</v>
      </c>
      <c r="Z207" s="36">
        <f>(L207*'RESULTADO DIRETO'!N$15)/6*3</f>
        <v>19.1188720117094</v>
      </c>
      <c r="AA207" s="35">
        <f t="shared" si="204"/>
        <v>0.0617833963861995</v>
      </c>
      <c r="AB207" s="36">
        <f t="shared" si="215"/>
        <v>0.7804195854</v>
      </c>
      <c r="AC207" s="36">
        <f t="shared" si="205"/>
        <v>0.7804195854</v>
      </c>
      <c r="AD207" s="34"/>
      <c r="AE207" s="37">
        <f t="shared" si="216"/>
        <v>0</v>
      </c>
      <c r="AF207" s="36">
        <f t="shared" si="197"/>
        <v>21.6615</v>
      </c>
      <c r="AG207" s="36"/>
      <c r="AH207" s="36">
        <f t="shared" si="217"/>
        <v>16.0914</v>
      </c>
      <c r="AI207" s="34">
        <f t="shared" si="206"/>
        <v>37.7529</v>
      </c>
      <c r="AJ207" s="38">
        <f t="shared" si="207"/>
        <v>37.7529</v>
      </c>
      <c r="AK207" s="39">
        <f t="shared" si="208"/>
        <v>0.122</v>
      </c>
      <c r="AL207" s="38">
        <f t="shared" si="209"/>
        <v>271.6971</v>
      </c>
      <c r="AM207" s="40">
        <f t="shared" si="210"/>
        <v>0.878</v>
      </c>
      <c r="AN207" s="38">
        <f t="shared" si="211"/>
        <v>1.54108565737052</v>
      </c>
    </row>
    <row r="208" spans="1:40">
      <c r="A208" s="41">
        <v>46265</v>
      </c>
      <c r="B208" s="41" t="str">
        <v>NORMAL</v>
      </c>
      <c r="C208" s="41" t="str">
        <v>DQB8989</v>
      </c>
      <c r="D208" s="42" t="str">
        <v>CTB</v>
      </c>
      <c r="E208" s="42" t="str">
        <v>PR</v>
      </c>
      <c r="F208" s="42" t="str">
        <v>SPO</v>
      </c>
      <c r="G208" s="42" t="str">
        <v>SP</v>
      </c>
      <c r="H208" s="42" t="str">
        <v>COLSON DO BRASIL LTDA</v>
      </c>
      <c r="I208" s="209" t="str">
        <v>000190509</v>
      </c>
      <c r="J208" s="43">
        <v>1950.31</v>
      </c>
      <c r="K208" s="44">
        <v>1</v>
      </c>
      <c r="L208" s="45">
        <v>9.856</v>
      </c>
      <c r="M208" s="46">
        <v>90.17</v>
      </c>
      <c r="N208" s="47">
        <v>0.12</v>
      </c>
      <c r="O208" s="48">
        <f t="shared" si="213"/>
        <v>0.88704</v>
      </c>
      <c r="P208" s="49">
        <f t="shared" si="218"/>
        <v>1.9712</v>
      </c>
      <c r="Q208" s="31"/>
      <c r="R208" s="49">
        <f>L208*0.19</f>
        <v>1.87264</v>
      </c>
      <c r="S208" s="31"/>
      <c r="T208" s="30">
        <v>0</v>
      </c>
      <c r="U208" s="33">
        <f t="shared" si="198"/>
        <v>0</v>
      </c>
      <c r="V208" s="34">
        <f t="shared" si="200"/>
        <v>4.73088</v>
      </c>
      <c r="W208" s="35">
        <f t="shared" si="214"/>
        <v>0.0524662304535877</v>
      </c>
      <c r="X208" s="36">
        <f>(L208*'RESULTADO DIRETO'!N$27)/6*3</f>
        <v>1.03025561918488</v>
      </c>
      <c r="Y208" s="35">
        <f t="shared" si="221"/>
        <v>0.0114257027745911</v>
      </c>
      <c r="Z208" s="36">
        <f>(L208*'RESULTADO DIRETO'!N$15)/6*2</f>
        <v>0.62561621031676</v>
      </c>
      <c r="AA208" s="35">
        <f t="shared" si="204"/>
        <v>0.0069381857637436</v>
      </c>
      <c r="AB208" s="36">
        <f t="shared" si="215"/>
        <v>0.2094242878</v>
      </c>
      <c r="AC208" s="36">
        <f t="shared" si="205"/>
        <v>0.2094242878</v>
      </c>
      <c r="AD208" s="34">
        <f>V208+X208+Z208+AB208+AC208</f>
        <v>6.80560040510164</v>
      </c>
      <c r="AE208" s="37">
        <f t="shared" si="216"/>
        <v>0.0754752179782815</v>
      </c>
      <c r="AF208" s="36">
        <f t="shared" si="197"/>
        <v>10.8204</v>
      </c>
      <c r="AG208" s="36"/>
      <c r="AH208" s="36">
        <f t="shared" si="217"/>
        <v>4.68884</v>
      </c>
      <c r="AI208" s="34">
        <f t="shared" si="206"/>
        <v>15.50924</v>
      </c>
      <c r="AJ208" s="38">
        <f t="shared" si="207"/>
        <v>22.3148404051016</v>
      </c>
      <c r="AK208" s="39">
        <f t="shared" si="208"/>
        <v>0.247475217978281</v>
      </c>
      <c r="AL208" s="38">
        <f t="shared" si="209"/>
        <v>67.8551595948984</v>
      </c>
      <c r="AM208" s="40">
        <f t="shared" si="210"/>
        <v>0.752524782021719</v>
      </c>
      <c r="AN208" s="38">
        <f t="shared" si="211"/>
        <v>9.14874188311688</v>
      </c>
    </row>
    <row r="209" hidden="1" spans="1:40">
      <c r="A209" s="41">
        <v>46265</v>
      </c>
      <c r="B209" s="41" t="str">
        <v>NORMAL</v>
      </c>
      <c r="C209" s="41" t="str">
        <v>DQB8989</v>
      </c>
      <c r="D209" s="42" t="str">
        <v>CTB</v>
      </c>
      <c r="E209" s="42" t="str">
        <v>PR</v>
      </c>
      <c r="F209" s="42" t="str">
        <v>VEA</v>
      </c>
      <c r="G209" s="42" t="str">
        <v>MG</v>
      </c>
      <c r="H209" s="42" t="str">
        <v>COLSON DO BRASIL LTDA</v>
      </c>
      <c r="I209" s="209" t="str">
        <v>000190556</v>
      </c>
      <c r="J209" s="43">
        <v>9582.78</v>
      </c>
      <c r="K209" s="44">
        <v>31</v>
      </c>
      <c r="L209" s="45">
        <v>298.404</v>
      </c>
      <c r="M209" s="46">
        <v>514.3</v>
      </c>
      <c r="N209" s="47">
        <v>0.12</v>
      </c>
      <c r="O209" s="48">
        <f t="shared" si="213"/>
        <v>26.85636</v>
      </c>
      <c r="P209" s="49">
        <f t="shared" si="218"/>
        <v>59.6808</v>
      </c>
      <c r="Q209" s="55">
        <f t="shared" si="223"/>
        <v>53.71272</v>
      </c>
      <c r="R209" s="55">
        <f>L209*0.06</f>
        <v>17.90424</v>
      </c>
      <c r="S209" s="31"/>
      <c r="T209" s="53">
        <v>154.29</v>
      </c>
      <c r="U209" s="33">
        <f t="shared" si="198"/>
        <v>0.3</v>
      </c>
      <c r="V209" s="34">
        <f t="shared" si="200"/>
        <v>312.44412</v>
      </c>
      <c r="W209" s="35">
        <f t="shared" si="214"/>
        <v>0.607513357962279</v>
      </c>
      <c r="X209" s="36">
        <f>(L209*'RESULTADO DIRETO'!N$27)/6*4</f>
        <v>41.5898806530364</v>
      </c>
      <c r="Y209" s="35">
        <f t="shared" si="221"/>
        <v>0.0808669660762909</v>
      </c>
      <c r="Z209" s="36">
        <f>(L209*'RESULTADO DIRETO'!N$15)/6*3</f>
        <v>28.4120910546919</v>
      </c>
      <c r="AA209" s="35">
        <f t="shared" si="204"/>
        <v>0.0552441980452886</v>
      </c>
      <c r="AB209" s="36">
        <f t="shared" si="215"/>
        <v>1.0289989164</v>
      </c>
      <c r="AC209" s="36">
        <f t="shared" si="205"/>
        <v>1.0289989164</v>
      </c>
      <c r="AD209" s="34">
        <f>V209+X209+Z209+AB209+AC209</f>
        <v>384.504089540528</v>
      </c>
      <c r="AE209" s="37">
        <f t="shared" si="216"/>
        <v>0.747626073382322</v>
      </c>
      <c r="AF209" s="36">
        <f t="shared" si="197"/>
        <v>61.716</v>
      </c>
      <c r="AG209" s="36"/>
      <c r="AH209" s="36">
        <f t="shared" si="217"/>
        <v>26.7436</v>
      </c>
      <c r="AI209" s="34">
        <f t="shared" si="206"/>
        <v>88.4596</v>
      </c>
      <c r="AJ209" s="38">
        <f t="shared" si="207"/>
        <v>472.963689540528</v>
      </c>
      <c r="AK209" s="39">
        <f t="shared" si="208"/>
        <v>0.919626073382322</v>
      </c>
      <c r="AL209" s="38">
        <f t="shared" si="209"/>
        <v>41.3363104594716</v>
      </c>
      <c r="AM209" s="40">
        <f t="shared" si="210"/>
        <v>0.0803739266176777</v>
      </c>
      <c r="AN209" s="38">
        <f t="shared" si="211"/>
        <v>1.72350236592003</v>
      </c>
    </row>
    <row r="210" hidden="1" spans="1:40">
      <c r="A210" s="41">
        <v>46265</v>
      </c>
      <c r="B210" s="41" t="str">
        <v>NORMAL</v>
      </c>
      <c r="C210" s="41" t="str">
        <v>DQB8989</v>
      </c>
      <c r="D210" s="42" t="str">
        <v>CTB</v>
      </c>
      <c r="E210" s="42" t="str">
        <v>PR</v>
      </c>
      <c r="F210" s="42" t="str">
        <v>EPS</v>
      </c>
      <c r="G210" s="42" t="str">
        <v>ES</v>
      </c>
      <c r="H210" s="42" t="str">
        <v>COLSON DO BRASIL LTDA</v>
      </c>
      <c r="I210" s="209" t="str">
        <v>000190521</v>
      </c>
      <c r="J210" s="43">
        <v>5861.09</v>
      </c>
      <c r="K210" s="44">
        <v>29</v>
      </c>
      <c r="L210" s="45">
        <v>139.85</v>
      </c>
      <c r="M210" s="46">
        <v>229.06</v>
      </c>
      <c r="N210" s="47">
        <v>0.07</v>
      </c>
      <c r="O210" s="48">
        <f t="shared" si="213"/>
        <v>12.5865</v>
      </c>
      <c r="P210" s="49">
        <f t="shared" si="218"/>
        <v>27.97</v>
      </c>
      <c r="Q210" s="31"/>
      <c r="R210" s="31"/>
      <c r="S210" s="31"/>
      <c r="T210" s="30">
        <v>109.95</v>
      </c>
      <c r="U210" s="33">
        <f t="shared" si="198"/>
        <v>0.480005238802061</v>
      </c>
      <c r="V210" s="34">
        <f t="shared" si="200"/>
        <v>150.5065</v>
      </c>
      <c r="W210" s="35">
        <f t="shared" si="214"/>
        <v>0.657061468610844</v>
      </c>
      <c r="X210" s="36">
        <f>(L210*'RESULTADO DIRETO'!N$27)/6*3</f>
        <v>14.6186331516848</v>
      </c>
      <c r="Y210" s="35">
        <f t="shared" si="221"/>
        <v>0.0638201045651131</v>
      </c>
      <c r="Z210" s="36">
        <f>(L210*'RESULTADO DIRETO'!N$15)/6*3</f>
        <v>13.3156088189122</v>
      </c>
      <c r="AA210" s="35">
        <f t="shared" si="204"/>
        <v>0.058131532432167</v>
      </c>
      <c r="AB210" s="36">
        <f t="shared" si="215"/>
        <v>0.6293638442</v>
      </c>
      <c r="AC210" s="36">
        <f t="shared" si="205"/>
        <v>0.6293638442</v>
      </c>
      <c r="AD210" s="34"/>
      <c r="AE210" s="37">
        <f t="shared" si="216"/>
        <v>0</v>
      </c>
      <c r="AF210" s="36">
        <f t="shared" si="197"/>
        <v>16.0342</v>
      </c>
      <c r="AG210" s="36"/>
      <c r="AH210" s="36">
        <f t="shared" si="217"/>
        <v>11.91112</v>
      </c>
      <c r="AI210" s="34">
        <f t="shared" si="206"/>
        <v>27.94532</v>
      </c>
      <c r="AJ210" s="38">
        <f t="shared" si="207"/>
        <v>27.94532</v>
      </c>
      <c r="AK210" s="39">
        <f t="shared" si="208"/>
        <v>0.122</v>
      </c>
      <c r="AL210" s="38">
        <f t="shared" si="209"/>
        <v>201.11468</v>
      </c>
      <c r="AM210" s="40">
        <f t="shared" si="210"/>
        <v>0.878</v>
      </c>
      <c r="AN210" s="38">
        <f t="shared" si="211"/>
        <v>1.6378977475867</v>
      </c>
    </row>
    <row r="211" hidden="1" spans="1:40">
      <c r="A211" s="25">
        <v>46259</v>
      </c>
      <c r="B211" s="25" t="str">
        <v>DEVOLUCAO</v>
      </c>
      <c r="C211" s="25" t="str">
        <v>ARMAZEM</v>
      </c>
      <c r="D211" s="56" t="str">
        <v>PSP</v>
      </c>
      <c r="E211" s="56" t="str">
        <v>SP</v>
      </c>
      <c r="F211" s="56" t="str">
        <v>CTB</v>
      </c>
      <c r="G211" s="56" t="str">
        <v>PR</v>
      </c>
      <c r="H211" s="56" t="str">
        <v>COLSON DO BRASIL LTDA</v>
      </c>
      <c r="I211" s="210" t="str">
        <v>000189555</v>
      </c>
      <c r="J211" s="57">
        <v>1690.24</v>
      </c>
      <c r="K211" s="27">
        <v>6</v>
      </c>
      <c r="L211" s="28">
        <v>52.92</v>
      </c>
      <c r="M211" s="58">
        <v>204.19</v>
      </c>
      <c r="N211" s="29">
        <v>0.12</v>
      </c>
      <c r="O211" s="30"/>
      <c r="P211" s="31"/>
      <c r="Q211" s="31"/>
      <c r="R211" s="31"/>
      <c r="S211" s="31"/>
      <c r="T211" s="30">
        <v>0</v>
      </c>
      <c r="U211" s="33">
        <f t="shared" si="198"/>
        <v>0</v>
      </c>
      <c r="V211" s="34">
        <f t="shared" si="200"/>
        <v>0</v>
      </c>
      <c r="W211" s="35">
        <f t="shared" si="214"/>
        <v>0</v>
      </c>
      <c r="X211" s="36">
        <f>(L211*'RESULTADO DIRETO'!N$27)/6*3</f>
        <v>5.53177022800973</v>
      </c>
      <c r="Y211" s="35">
        <f t="shared" si="221"/>
        <v>0.0270912886429782</v>
      </c>
      <c r="Z211" s="36">
        <f>(L211*'RESULTADO DIRETO'!N$15)/6*3</f>
        <v>5.03869873934095</v>
      </c>
      <c r="AA211" s="35">
        <f t="shared" si="204"/>
        <v>0.0246765205903372</v>
      </c>
      <c r="AB211" s="36">
        <f t="shared" si="215"/>
        <v>0.1814979712</v>
      </c>
      <c r="AC211" s="36">
        <f t="shared" si="205"/>
        <v>0.1814979712</v>
      </c>
      <c r="AD211" s="34"/>
      <c r="AE211" s="37">
        <f t="shared" si="216"/>
        <v>0</v>
      </c>
      <c r="AF211" s="36">
        <f t="shared" si="197"/>
        <v>24.5028</v>
      </c>
      <c r="AG211" s="36"/>
      <c r="AH211" s="36">
        <f t="shared" si="217"/>
        <v>10.61788</v>
      </c>
      <c r="AI211" s="34">
        <f t="shared" si="206"/>
        <v>35.12068</v>
      </c>
      <c r="AJ211" s="38">
        <f t="shared" si="207"/>
        <v>35.12068</v>
      </c>
      <c r="AK211" s="39">
        <f t="shared" si="208"/>
        <v>0.172</v>
      </c>
      <c r="AL211" s="38">
        <f t="shared" si="209"/>
        <v>169.06932</v>
      </c>
      <c r="AM211" s="40">
        <f t="shared" si="210"/>
        <v>0.828</v>
      </c>
      <c r="AN211" s="38">
        <f t="shared" si="211"/>
        <v>3.85846560846561</v>
      </c>
    </row>
    <row r="212" hidden="1" spans="1:40">
      <c r="A212" s="25">
        <v>46260</v>
      </c>
      <c r="B212" s="25" t="str">
        <v>NORMAL</v>
      </c>
      <c r="C212" s="25" t="str">
        <v>ARMAZEM</v>
      </c>
      <c r="D212" s="56" t="str">
        <v>SOD</v>
      </c>
      <c r="E212" s="56" t="str">
        <v>SP</v>
      </c>
      <c r="F212" s="56" t="str">
        <v>CTB</v>
      </c>
      <c r="G212" s="56" t="str">
        <v>PR</v>
      </c>
      <c r="H212" s="56" t="str">
        <v>COLSON DO BRASIL LTDA</v>
      </c>
      <c r="I212" s="210" t="str">
        <v>000011657</v>
      </c>
      <c r="J212" s="57">
        <v>17351.75</v>
      </c>
      <c r="K212" s="27">
        <v>2</v>
      </c>
      <c r="L212" s="28">
        <v>720</v>
      </c>
      <c r="M212" s="58">
        <v>1148.86</v>
      </c>
      <c r="N212" s="29">
        <v>0.12</v>
      </c>
      <c r="O212" s="30"/>
      <c r="P212" s="31"/>
      <c r="Q212" s="31"/>
      <c r="R212" s="31"/>
      <c r="S212" s="31"/>
      <c r="T212" s="30">
        <v>0</v>
      </c>
      <c r="U212" s="33">
        <f t="shared" si="198"/>
        <v>0</v>
      </c>
      <c r="V212" s="34">
        <f t="shared" si="200"/>
        <v>0</v>
      </c>
      <c r="W212" s="35">
        <f t="shared" si="214"/>
        <v>0</v>
      </c>
      <c r="X212" s="36">
        <f>(L212*'RESULTADO DIRETO'!N$27)/6*3</f>
        <v>75.2621799729215</v>
      </c>
      <c r="Y212" s="35">
        <f t="shared" si="221"/>
        <v>0.065510314549137</v>
      </c>
      <c r="Z212" s="36">
        <f>(L212*'RESULTADO DIRETO'!N$15)/6*3</f>
        <v>68.5537243447748</v>
      </c>
      <c r="AA212" s="35">
        <f t="shared" si="204"/>
        <v>0.0596710864202556</v>
      </c>
      <c r="AB212" s="36">
        <f t="shared" si="215"/>
        <v>1.863230915</v>
      </c>
      <c r="AC212" s="36">
        <f t="shared" si="205"/>
        <v>1.863230915</v>
      </c>
      <c r="AD212" s="34"/>
      <c r="AE212" s="37">
        <f t="shared" si="216"/>
        <v>0</v>
      </c>
      <c r="AF212" s="36">
        <f t="shared" si="197"/>
        <v>137.8632</v>
      </c>
      <c r="AG212" s="36"/>
      <c r="AH212" s="36">
        <f t="shared" si="217"/>
        <v>59.74072</v>
      </c>
      <c r="AI212" s="34">
        <f t="shared" si="206"/>
        <v>197.60392</v>
      </c>
      <c r="AJ212" s="38">
        <f t="shared" si="207"/>
        <v>197.60392</v>
      </c>
      <c r="AK212" s="39">
        <f t="shared" si="208"/>
        <v>0.172</v>
      </c>
      <c r="AL212" s="38">
        <f t="shared" si="209"/>
        <v>951.25608</v>
      </c>
      <c r="AM212" s="40">
        <f t="shared" si="210"/>
        <v>0.828</v>
      </c>
      <c r="AN212" s="38">
        <f t="shared" si="211"/>
        <v>1.59563888888889</v>
      </c>
    </row>
    <row r="213" hidden="1" spans="1:40">
      <c r="A213" s="25">
        <v>46251</v>
      </c>
      <c r="B213" s="25" t="str">
        <v>NORMAL</v>
      </c>
      <c r="C213" s="25" t="str">
        <v>CSK1530</v>
      </c>
      <c r="D213" s="56" t="str">
        <v>SPO</v>
      </c>
      <c r="E213" s="56" t="str">
        <v>SP</v>
      </c>
      <c r="F213" s="56" t="str">
        <v>CTB</v>
      </c>
      <c r="G213" s="56" t="str">
        <v>PR</v>
      </c>
      <c r="H213" s="56" t="str">
        <v>COLSON DO BRASIL LTDA</v>
      </c>
      <c r="I213" s="210" t="str">
        <v>000006000</v>
      </c>
      <c r="J213" s="57">
        <v>126.25</v>
      </c>
      <c r="K213" s="27">
        <v>1</v>
      </c>
      <c r="L213" s="28">
        <v>14</v>
      </c>
      <c r="M213" s="58">
        <v>88.5</v>
      </c>
      <c r="N213" s="29">
        <v>0.12</v>
      </c>
      <c r="O213" s="30"/>
      <c r="P213" s="31"/>
      <c r="Q213" s="31"/>
      <c r="R213" s="31"/>
      <c r="S213" s="31"/>
      <c r="T213" s="30">
        <v>0</v>
      </c>
      <c r="U213" s="33">
        <f t="shared" si="198"/>
        <v>0</v>
      </c>
      <c r="V213" s="34">
        <f t="shared" si="200"/>
        <v>0</v>
      </c>
      <c r="W213" s="35">
        <f t="shared" si="214"/>
        <v>0</v>
      </c>
      <c r="X213" s="36">
        <f>(L213*'RESULTADO DIRETO'!N$27)/6*3</f>
        <v>1.46343127725125</v>
      </c>
      <c r="Y213" s="35">
        <f t="shared" si="221"/>
        <v>0.0165359466356074</v>
      </c>
      <c r="Z213" s="36">
        <f>(L213*'RESULTADO DIRETO'!N$15)/6*3</f>
        <v>1.33298908448173</v>
      </c>
      <c r="AA213" s="35">
        <f t="shared" si="204"/>
        <v>0.0150620235534659</v>
      </c>
      <c r="AB213" s="36">
        <f t="shared" si="215"/>
        <v>0.013556725</v>
      </c>
      <c r="AC213" s="36">
        <f t="shared" si="205"/>
        <v>0.013556725</v>
      </c>
      <c r="AD213" s="34"/>
      <c r="AE213" s="37">
        <f t="shared" si="216"/>
        <v>0</v>
      </c>
      <c r="AF213" s="36">
        <f t="shared" si="197"/>
        <v>10.62</v>
      </c>
      <c r="AG213" s="36"/>
      <c r="AH213" s="36">
        <f t="shared" si="217"/>
        <v>4.602</v>
      </c>
      <c r="AI213" s="34">
        <f t="shared" si="206"/>
        <v>15.222</v>
      </c>
      <c r="AJ213" s="38">
        <f t="shared" si="207"/>
        <v>15.222</v>
      </c>
      <c r="AK213" s="39">
        <f t="shared" si="208"/>
        <v>0.172</v>
      </c>
      <c r="AL213" s="38">
        <f t="shared" si="209"/>
        <v>73.278</v>
      </c>
      <c r="AM213" s="40">
        <f t="shared" si="210"/>
        <v>0.828</v>
      </c>
      <c r="AN213" s="38">
        <f t="shared" si="211"/>
        <v>6.32142857142857</v>
      </c>
    </row>
    <row r="214" hidden="1" spans="1:40">
      <c r="A214" s="59"/>
      <c r="B214" s="59"/>
      <c r="C214" s="59"/>
      <c r="D214" s="59"/>
      <c r="E214" s="59"/>
      <c r="F214" s="59"/>
      <c r="G214" s="59"/>
      <c r="H214" s="59"/>
      <c r="I214" s="60">
        <v>82</v>
      </c>
      <c r="J214" s="61">
        <f>SUM(J3:J213)</f>
        <v>1138670.61</v>
      </c>
      <c r="K214" s="60">
        <f>SUM(K3:K213)</f>
        <v>2828</v>
      </c>
      <c r="L214" s="60">
        <f>SUM(L3:L213)</f>
        <v>32463.71</v>
      </c>
      <c r="M214" s="61">
        <f>SUM(M3:M213)</f>
        <v>77673.43</v>
      </c>
      <c r="N214" s="59" t="e">
        <f>SUM(#REF!)</f>
        <v>#REF!</v>
      </c>
      <c r="O214" s="61">
        <f t="shared" ref="O214:W214" si="225">SUM(O3:O213)</f>
        <v>2846.6811</v>
      </c>
      <c r="P214" s="61">
        <f t="shared" si="225"/>
        <v>6341.938</v>
      </c>
      <c r="Q214" s="61">
        <f t="shared" si="225"/>
        <v>3473.5752</v>
      </c>
      <c r="R214" s="61">
        <f t="shared" si="225"/>
        <v>7582.63137</v>
      </c>
      <c r="S214" s="61">
        <f t="shared" si="225"/>
        <v>0</v>
      </c>
      <c r="T214" s="61">
        <f t="shared" si="225"/>
        <v>16765.9096</v>
      </c>
      <c r="U214" s="61"/>
      <c r="V214" s="61">
        <f t="shared" si="225"/>
        <v>37010.73527</v>
      </c>
      <c r="W214" s="61"/>
      <c r="X214" s="61">
        <f>SUM(X3:X213)</f>
        <v>4052.96922892554</v>
      </c>
      <c r="Y214" s="59"/>
      <c r="Z214" s="61">
        <f>SUM(Z3:Z213)</f>
        <v>2820.1539081231</v>
      </c>
      <c r="AA214" s="59"/>
      <c r="AB214" s="61">
        <f>SUM(AB3:AB213)</f>
        <v>122.2704501018</v>
      </c>
      <c r="AC214" s="61">
        <f>SUM(AC3:AC213)</f>
        <v>122.2704501018</v>
      </c>
      <c r="AD214" s="61">
        <f>SUM(AD3:AD213)</f>
        <v>41691.1115227651</v>
      </c>
      <c r="AE214" s="59"/>
      <c r="AF214" s="61">
        <f>SUM(AF3:AF213)</f>
        <v>9075.3001</v>
      </c>
      <c r="AG214" s="59"/>
      <c r="AH214" s="61">
        <f>SUM(AH3:AH213)</f>
        <v>4039.01836</v>
      </c>
      <c r="AI214" s="61">
        <f>SUM(AI3:AI213)</f>
        <v>13114.31846</v>
      </c>
      <c r="AJ214" s="61">
        <f>SUM(AJ3:AJ213)</f>
        <v>54805.4299827651</v>
      </c>
      <c r="AK214" s="59"/>
      <c r="AL214" s="61">
        <f>SUM(AL3:AL213)</f>
        <v>22868.0000172349</v>
      </c>
      <c r="AM214" s="62">
        <f t="shared" si="210"/>
        <v>0.294412130599033</v>
      </c>
      <c r="AN214" s="63">
        <f t="shared" si="211"/>
        <v>2.39262333233016</v>
      </c>
    </row>
    <row r="215" spans="1:40">
      <c r="U215" s="64"/>
    </row>
    <row r="216" spans="1:40">
      <c r="U216" s="64"/>
    </row>
    <row r="217" spans="1:40">
      <c r="U217" s="64"/>
    </row>
    <row r="218" spans="1:40">
      <c r="U218" s="64"/>
    </row>
    <row r="219" spans="1:40">
      <c r="U219" s="64"/>
    </row>
    <row r="220" spans="1:40">
      <c r="U220" s="64"/>
    </row>
    <row r="221" spans="1:40">
      <c r="U221" s="64"/>
    </row>
    <row r="222" spans="1:40">
      <c r="U222" s="64"/>
    </row>
    <row r="223" spans="1:40">
      <c r="U223" s="64"/>
    </row>
    <row r="224" spans="1:40">
      <c r="U224" s="64"/>
    </row>
    <row r="225" spans="21:21">
      <c r="U225" s="64"/>
    </row>
    <row r="226" spans="21:21">
      <c r="U226" s="64"/>
    </row>
    <row r="227" spans="21:21">
      <c r="U227" s="64"/>
    </row>
    <row r="228" spans="21:21">
      <c r="U228" s="64"/>
    </row>
    <row r="229" spans="21:21">
      <c r="U229" s="64"/>
    </row>
    <row r="230" spans="21:21">
      <c r="U230" s="64"/>
    </row>
    <row r="231" spans="21:21">
      <c r="U231" s="64"/>
    </row>
    <row r="232" spans="21:21">
      <c r="U232" s="64"/>
    </row>
    <row r="233" spans="21:21">
      <c r="U233" s="64"/>
    </row>
    <row r="234" spans="21:21">
      <c r="U234" s="64"/>
    </row>
    <row r="235" spans="21:21">
      <c r="U235" s="64"/>
    </row>
    <row r="236" spans="21:21">
      <c r="U236" s="64"/>
    </row>
    <row r="237" spans="21:21">
      <c r="U237" s="64"/>
    </row>
    <row r="238" spans="21:21">
      <c r="U238" s="64"/>
    </row>
    <row r="239" spans="21:21">
      <c r="U239" s="64"/>
    </row>
    <row r="240" spans="21:21">
      <c r="U240" s="64"/>
    </row>
    <row r="241" spans="21:21">
      <c r="U241" s="64"/>
    </row>
    <row r="242" spans="21:21">
      <c r="U242" s="64"/>
    </row>
    <row r="243" spans="21:21">
      <c r="U243" s="64"/>
    </row>
    <row r="244" spans="21:21">
      <c r="U244" s="64"/>
    </row>
    <row r="245" spans="21:21">
      <c r="U245" s="64"/>
    </row>
    <row r="246" spans="21:21">
      <c r="U246" s="64"/>
    </row>
    <row r="247" spans="21:21">
      <c r="U247" s="64"/>
    </row>
    <row r="248" spans="21:21">
      <c r="U248" s="64"/>
    </row>
    <row r="249" spans="21:21">
      <c r="U249" s="64"/>
    </row>
    <row r="250" spans="21:21">
      <c r="U250" s="64"/>
    </row>
    <row r="251" spans="21:21">
      <c r="U251" s="64"/>
    </row>
    <row r="252" spans="21:21">
      <c r="U252" s="64"/>
    </row>
    <row r="253" spans="21:21">
      <c r="U253" s="64"/>
    </row>
    <row r="254" spans="21:21">
      <c r="U254" s="64"/>
    </row>
    <row r="255" spans="21:21">
      <c r="U255" s="64"/>
    </row>
    <row r="256" spans="21:21">
      <c r="U256" s="64"/>
    </row>
    <row r="257" spans="21:21">
      <c r="U257" s="64"/>
    </row>
    <row r="258" spans="21:21">
      <c r="U258" s="64"/>
    </row>
    <row r="259" spans="21:21">
      <c r="U259" s="64"/>
    </row>
    <row r="260" spans="21:21">
      <c r="U260" s="64"/>
    </row>
    <row r="261" spans="21:21">
      <c r="U261" s="64"/>
    </row>
    <row r="262" spans="21:21">
      <c r="U262" s="64"/>
    </row>
    <row r="263" spans="21:21">
      <c r="U263" s="64"/>
    </row>
    <row r="264" spans="21:21">
      <c r="U264" s="64"/>
    </row>
    <row r="265" spans="21:21">
      <c r="U265" s="64"/>
    </row>
    <row r="266" spans="21:21">
      <c r="U266" s="64"/>
    </row>
    <row r="267" spans="21:21">
      <c r="U267" s="64"/>
    </row>
    <row r="268" spans="21:21">
      <c r="U268" s="64"/>
    </row>
    <row r="269" spans="21:21">
      <c r="U269" s="64"/>
    </row>
    <row r="270" spans="21:21">
      <c r="U270" s="64"/>
    </row>
    <row r="271" spans="21:21">
      <c r="U271" s="64"/>
    </row>
    <row r="272" spans="21:21">
      <c r="U272" s="64"/>
    </row>
    <row r="273" spans="21:21">
      <c r="U273" s="64"/>
    </row>
    <row r="274" spans="21:21">
      <c r="U274" s="64"/>
    </row>
    <row r="275" spans="21:21">
      <c r="U275" s="64"/>
    </row>
    <row r="276" spans="21:21">
      <c r="U276" s="64"/>
    </row>
    <row r="277" spans="21:21">
      <c r="U277" s="64"/>
    </row>
    <row r="278" spans="21:21">
      <c r="U278" s="64"/>
    </row>
    <row r="279" spans="21:21">
      <c r="U279" s="64"/>
    </row>
    <row r="280" spans="21:21">
      <c r="U280" s="64"/>
    </row>
    <row r="281" spans="21:21">
      <c r="U281" s="64"/>
    </row>
    <row r="282" spans="21:21">
      <c r="U282" s="64"/>
    </row>
    <row r="283" spans="21:21">
      <c r="U283" s="64"/>
    </row>
    <row r="284" spans="21:21">
      <c r="U284" s="64"/>
    </row>
    <row r="285" spans="21:21">
      <c r="U285" s="64"/>
    </row>
    <row r="286" spans="21:21">
      <c r="U286" s="64"/>
    </row>
    <row r="287" spans="21:21">
      <c r="U287" s="64"/>
    </row>
    <row r="288" spans="21:21">
      <c r="U288" s="64"/>
    </row>
    <row r="289" spans="21:21">
      <c r="U289" s="64"/>
    </row>
    <row r="290" spans="21:21">
      <c r="U290" s="64"/>
    </row>
    <row r="291" spans="21:21">
      <c r="U291" s="64"/>
    </row>
    <row r="292" spans="21:21">
      <c r="U292" s="64"/>
    </row>
    <row r="293" spans="21:21">
      <c r="U293" s="64"/>
    </row>
    <row r="294" spans="21:21">
      <c r="U294" s="64"/>
    </row>
    <row r="295" spans="21:21">
      <c r="U295" s="64"/>
    </row>
    <row r="296" spans="21:21">
      <c r="U296" s="64"/>
    </row>
    <row r="297" spans="21:21">
      <c r="U297" s="64"/>
    </row>
    <row r="298" spans="21:21">
      <c r="U298" s="64"/>
    </row>
    <row r="299" spans="21:21">
      <c r="U299" s="64"/>
    </row>
    <row r="300" spans="21:21">
      <c r="U300" s="64"/>
    </row>
    <row r="301" spans="21:21">
      <c r="U301" s="64"/>
    </row>
    <row r="302" spans="21:21">
      <c r="U302" s="64"/>
    </row>
    <row r="303" spans="21:21">
      <c r="U303" s="64"/>
    </row>
    <row r="304" spans="21:21">
      <c r="U304" s="64"/>
    </row>
    <row r="305" spans="21:21">
      <c r="U305" s="64"/>
    </row>
    <row r="306" spans="21:21">
      <c r="U306" s="64"/>
    </row>
    <row r="307" spans="21:21">
      <c r="U307" s="64"/>
    </row>
    <row r="308" spans="21:21">
      <c r="U308" s="64"/>
    </row>
    <row r="309" spans="21:21">
      <c r="U309" s="64"/>
    </row>
    <row r="310" spans="21:21">
      <c r="U310" s="64"/>
    </row>
    <row r="311" spans="21:21">
      <c r="U311" s="64"/>
    </row>
    <row r="312" spans="21:21">
      <c r="U312" s="64"/>
    </row>
    <row r="313" spans="21:21">
      <c r="U313" s="64"/>
    </row>
    <row r="314" spans="21:21">
      <c r="U314" s="64"/>
    </row>
    <row r="315" spans="21:21">
      <c r="U315" s="64"/>
    </row>
    <row r="316" spans="21:21">
      <c r="U316" s="64"/>
    </row>
    <row r="317" spans="21:21">
      <c r="U317" s="64"/>
    </row>
    <row r="318" spans="21:21">
      <c r="U318" s="64"/>
    </row>
    <row r="319" spans="21:21">
      <c r="U319" s="64"/>
    </row>
    <row r="320" spans="21:21">
      <c r="U320" s="64"/>
    </row>
    <row r="321" spans="21:21">
      <c r="U321" s="64"/>
    </row>
    <row r="322" spans="21:21">
      <c r="U322" s="64"/>
    </row>
    <row r="323" spans="21:21">
      <c r="U323" s="64"/>
    </row>
    <row r="324" spans="21:21">
      <c r="U324" s="64"/>
    </row>
    <row r="325" spans="21:21">
      <c r="U325" s="64"/>
    </row>
    <row r="326" spans="21:21">
      <c r="U326" s="64"/>
    </row>
    <row r="327" spans="21:21">
      <c r="U327" s="64"/>
    </row>
    <row r="328" spans="21:21">
      <c r="U328" s="64"/>
    </row>
    <row r="329" spans="21:21">
      <c r="U329" s="64"/>
    </row>
    <row r="330" spans="21:21">
      <c r="U330" s="64"/>
    </row>
    <row r="331" spans="21:21">
      <c r="U331" s="64"/>
    </row>
    <row r="332" spans="21:21">
      <c r="U332" s="64"/>
    </row>
    <row r="333" spans="21:21">
      <c r="U333" s="64"/>
    </row>
    <row r="334" spans="21:21">
      <c r="U334" s="64"/>
    </row>
    <row r="335" spans="21:21">
      <c r="U335" s="64"/>
    </row>
    <row r="336" spans="21:21">
      <c r="U336" s="64"/>
    </row>
    <row r="337" spans="21:21">
      <c r="U337" s="64"/>
    </row>
    <row r="338" spans="21:21">
      <c r="U338" s="64"/>
    </row>
    <row r="339" spans="21:21">
      <c r="U339" s="64"/>
    </row>
    <row r="340" spans="21:21">
      <c r="U340" s="64"/>
    </row>
    <row r="341" spans="21:21">
      <c r="U341" s="64"/>
    </row>
    <row r="342" spans="21:21">
      <c r="U342" s="64"/>
    </row>
    <row r="343" spans="21:21">
      <c r="U343" s="64"/>
    </row>
    <row r="344" spans="21:21">
      <c r="U344" s="64"/>
    </row>
    <row r="345" spans="21:21">
      <c r="U345" s="64"/>
    </row>
    <row r="346" spans="21:21">
      <c r="U346" s="64"/>
    </row>
    <row r="347" spans="21:21">
      <c r="U347" s="64"/>
    </row>
    <row r="348" spans="21:21">
      <c r="U348" s="64"/>
    </row>
    <row r="349" spans="21:21">
      <c r="U349" s="64"/>
    </row>
    <row r="350" spans="21:21">
      <c r="U350" s="64"/>
    </row>
    <row r="351" spans="21:21">
      <c r="U351" s="64"/>
    </row>
    <row r="352" spans="21:21">
      <c r="U352" s="64"/>
    </row>
    <row r="353" spans="21:21">
      <c r="U353" s="64"/>
    </row>
    <row r="354" spans="21:21">
      <c r="U354" s="64"/>
    </row>
    <row r="355" spans="21:21">
      <c r="U355" s="64"/>
    </row>
    <row r="356" spans="21:21">
      <c r="U356" s="64"/>
    </row>
    <row r="357" spans="21:21">
      <c r="U357" s="64"/>
    </row>
    <row r="358" spans="21:21">
      <c r="U358" s="64"/>
    </row>
    <row r="359" spans="21:21">
      <c r="U359" s="64"/>
    </row>
    <row r="360" spans="21:21">
      <c r="U360" s="64"/>
    </row>
    <row r="361" spans="21:21">
      <c r="U361" s="64"/>
    </row>
    <row r="362" spans="21:21">
      <c r="U362" s="64"/>
    </row>
    <row r="363" spans="21:21">
      <c r="U363" s="64"/>
    </row>
    <row r="364" spans="21:21">
      <c r="U364" s="64"/>
    </row>
    <row r="365" spans="21:21">
      <c r="U365" s="64"/>
    </row>
    <row r="366" spans="21:21">
      <c r="U366" s="64"/>
    </row>
    <row r="367" spans="21:21">
      <c r="U367" s="64"/>
    </row>
    <row r="368" spans="21:21">
      <c r="U368" s="64"/>
    </row>
    <row r="369" spans="21:21">
      <c r="U369" s="64"/>
    </row>
    <row r="370" spans="21:21">
      <c r="U370" s="64"/>
    </row>
    <row r="371" spans="21:21">
      <c r="U371" s="64"/>
    </row>
    <row r="372" spans="21:21">
      <c r="U372" s="64"/>
    </row>
    <row r="373" spans="21:21">
      <c r="U373" s="64"/>
    </row>
    <row r="374" spans="21:21">
      <c r="U374" s="64"/>
    </row>
    <row r="375" spans="21:21">
      <c r="U375" s="64"/>
    </row>
    <row r="376" spans="21:21">
      <c r="U376" s="64"/>
    </row>
    <row r="377" spans="21:21">
      <c r="U377" s="64"/>
    </row>
    <row r="378" spans="21:21">
      <c r="U378" s="64"/>
    </row>
    <row r="379" spans="21:21">
      <c r="U379" s="64"/>
    </row>
    <row r="380" spans="21:21">
      <c r="U380" s="64"/>
    </row>
    <row r="381" spans="21:21">
      <c r="U381" s="64"/>
    </row>
    <row r="382" spans="21:21">
      <c r="U382" s="64"/>
    </row>
    <row r="383" spans="21:21">
      <c r="U383" s="64"/>
    </row>
    <row r="384" spans="21:21">
      <c r="U384" s="64"/>
    </row>
    <row r="385" spans="21:21">
      <c r="U385" s="64"/>
    </row>
    <row r="386" spans="21:21">
      <c r="U386" s="64"/>
    </row>
    <row r="387" spans="21:21">
      <c r="U387" s="64"/>
    </row>
    <row r="388" spans="21:21">
      <c r="U388" s="64"/>
    </row>
    <row r="389" spans="21:21">
      <c r="U389" s="64"/>
    </row>
    <row r="390" spans="21:21">
      <c r="U390" s="64"/>
    </row>
    <row r="391" spans="21:21">
      <c r="U391" s="64"/>
    </row>
    <row r="392" spans="21:21">
      <c r="U392" s="64"/>
    </row>
    <row r="393" spans="21:21">
      <c r="U393" s="64"/>
    </row>
    <row r="394" spans="21:21">
      <c r="U394" s="64"/>
    </row>
    <row r="395" spans="21:21">
      <c r="U395" s="64"/>
    </row>
    <row r="396" spans="21:21">
      <c r="U396" s="64"/>
    </row>
    <row r="397" spans="21:21">
      <c r="U397" s="64"/>
    </row>
    <row r="398" spans="21:21">
      <c r="U398" s="64"/>
    </row>
    <row r="399" spans="21:21">
      <c r="U399" s="64"/>
    </row>
    <row r="400" spans="21:21">
      <c r="U400" s="64"/>
    </row>
    <row r="401" spans="21:21">
      <c r="U401" s="64"/>
    </row>
    <row r="402" spans="21:21">
      <c r="U402" s="64"/>
    </row>
    <row r="403" spans="21:21">
      <c r="U403" s="64"/>
    </row>
    <row r="404" spans="21:21">
      <c r="U404" s="64"/>
    </row>
    <row r="405" spans="21:21">
      <c r="U405" s="64"/>
    </row>
    <row r="406" spans="21:21">
      <c r="U406" s="64"/>
    </row>
    <row r="407" spans="21:21">
      <c r="U407" s="64"/>
    </row>
    <row r="408" spans="21:21">
      <c r="U408" s="64"/>
    </row>
    <row r="409" spans="21:21">
      <c r="U409" s="64"/>
    </row>
    <row r="410" spans="21:21">
      <c r="U410" s="64"/>
    </row>
    <row r="411" spans="21:21">
      <c r="U411" s="64"/>
    </row>
    <row r="412" spans="21:21">
      <c r="U412" s="64"/>
    </row>
    <row r="413" spans="21:21">
      <c r="U413" s="64"/>
    </row>
    <row r="414" spans="21:21">
      <c r="U414" s="64"/>
    </row>
    <row r="415" spans="21:21">
      <c r="U415" s="64"/>
    </row>
    <row r="416" spans="21:21">
      <c r="U416" s="64"/>
    </row>
    <row r="417" spans="21:21">
      <c r="U417" s="64"/>
    </row>
    <row r="418" spans="21:21">
      <c r="U418" s="64"/>
    </row>
    <row r="419" spans="21:21">
      <c r="U419" s="64"/>
    </row>
    <row r="420" spans="21:21">
      <c r="U420" s="64"/>
    </row>
    <row r="421" spans="21:21">
      <c r="U421" s="64"/>
    </row>
    <row r="422" spans="21:21">
      <c r="U422" s="64"/>
    </row>
    <row r="423" spans="21:21">
      <c r="U423" s="64"/>
    </row>
    <row r="424" spans="21:21">
      <c r="U424" s="64"/>
    </row>
    <row r="425" spans="21:21">
      <c r="U425" s="64"/>
    </row>
    <row r="426" spans="21:21">
      <c r="U426" s="64"/>
    </row>
    <row r="427" spans="21:21">
      <c r="U427" s="64"/>
    </row>
    <row r="428" spans="21:21">
      <c r="U428" s="64"/>
    </row>
    <row r="429" spans="21:21">
      <c r="U429" s="64"/>
    </row>
    <row r="430" spans="21:21">
      <c r="U430" s="64"/>
    </row>
    <row r="431" spans="21:21">
      <c r="U431" s="64"/>
    </row>
    <row r="432" spans="21:21">
      <c r="U432" s="64"/>
    </row>
    <row r="433" spans="21:21">
      <c r="U433" s="64"/>
    </row>
    <row r="434" spans="21:21">
      <c r="U434" s="64"/>
    </row>
    <row r="435" spans="21:21">
      <c r="U435" s="64"/>
    </row>
    <row r="436" spans="21:21">
      <c r="U436" s="64"/>
    </row>
    <row r="437" spans="21:21">
      <c r="U437" s="64"/>
    </row>
    <row r="438" spans="21:21">
      <c r="U438" s="64"/>
    </row>
    <row r="439" spans="21:21">
      <c r="U439" s="64"/>
    </row>
    <row r="440" spans="21:21">
      <c r="U440" s="64"/>
    </row>
    <row r="441" spans="21:21">
      <c r="U441" s="64"/>
    </row>
    <row r="442" spans="21:21">
      <c r="U442" s="64"/>
    </row>
    <row r="443" spans="21:21">
      <c r="U443" s="64"/>
    </row>
    <row r="444" spans="21:21">
      <c r="U444" s="64"/>
    </row>
    <row r="445" spans="21:21">
      <c r="U445" s="64"/>
    </row>
    <row r="446" spans="21:21">
      <c r="U446" s="64"/>
    </row>
    <row r="447" spans="21:21">
      <c r="U447" s="64"/>
    </row>
    <row r="448" spans="21:21">
      <c r="U448" s="64"/>
    </row>
    <row r="449" spans="21:21">
      <c r="U449" s="64"/>
    </row>
    <row r="450" spans="21:21">
      <c r="U450" s="64"/>
    </row>
    <row r="451" spans="21:21">
      <c r="U451" s="64"/>
    </row>
    <row r="452" spans="21:21">
      <c r="U452" s="64"/>
    </row>
    <row r="453" spans="21:21">
      <c r="U453" s="64"/>
    </row>
    <row r="454" spans="21:21">
      <c r="U454" s="64"/>
    </row>
    <row r="455" spans="21:21">
      <c r="U455" s="64"/>
    </row>
    <row r="456" spans="21:21">
      <c r="U456" s="64"/>
    </row>
    <row r="457" spans="21:21">
      <c r="U457" s="64"/>
    </row>
    <row r="458" spans="21:21">
      <c r="U458" s="64"/>
    </row>
    <row r="459" spans="21:21">
      <c r="U459" s="64"/>
    </row>
    <row r="460" spans="21:21">
      <c r="U460" s="64"/>
    </row>
    <row r="461" spans="21:21">
      <c r="U461" s="64"/>
    </row>
    <row r="462" spans="21:21">
      <c r="U462" s="64"/>
    </row>
    <row r="463" spans="21:21">
      <c r="U463" s="64"/>
    </row>
    <row r="464" spans="21:21">
      <c r="U464" s="64"/>
    </row>
    <row r="465" spans="21:21">
      <c r="U465" s="64"/>
    </row>
    <row r="466" spans="21:21">
      <c r="U466" s="64"/>
    </row>
    <row r="467" spans="21:21">
      <c r="U467" s="64"/>
    </row>
    <row r="468" spans="21:21">
      <c r="U468" s="64"/>
    </row>
    <row r="469" spans="21:21">
      <c r="U469" s="64"/>
    </row>
    <row r="470" spans="21:21">
      <c r="U470" s="64"/>
    </row>
    <row r="471" spans="21:21">
      <c r="U471" s="64"/>
    </row>
    <row r="472" spans="21:21">
      <c r="U472" s="64"/>
    </row>
    <row r="473" spans="21:21">
      <c r="U473" s="64"/>
    </row>
    <row r="474" spans="21:21">
      <c r="U474" s="64"/>
    </row>
    <row r="475" spans="21:21">
      <c r="U475" s="64"/>
    </row>
    <row r="476" spans="21:21">
      <c r="U476" s="64"/>
    </row>
    <row r="477" spans="21:21">
      <c r="U477" s="64"/>
    </row>
    <row r="478" spans="21:21">
      <c r="U478" s="64"/>
    </row>
    <row r="479" spans="21:21">
      <c r="U479" s="64"/>
    </row>
    <row r="480" spans="21:21">
      <c r="U480" s="64"/>
    </row>
    <row r="481" spans="21:21">
      <c r="U481" s="64"/>
    </row>
    <row r="482" spans="21:21">
      <c r="U482" s="64"/>
    </row>
    <row r="483" spans="21:21">
      <c r="U483" s="64"/>
    </row>
    <row r="484" spans="21:21">
      <c r="U484" s="64"/>
    </row>
    <row r="485" spans="21:21">
      <c r="U485" s="64"/>
    </row>
    <row r="486" spans="21:21">
      <c r="U486" s="64"/>
    </row>
    <row r="487" spans="21:21">
      <c r="U487" s="64"/>
    </row>
    <row r="488" spans="21:21">
      <c r="U488" s="64"/>
    </row>
    <row r="489" spans="21:21">
      <c r="U489" s="64"/>
    </row>
    <row r="490" spans="21:21">
      <c r="U490" s="64"/>
    </row>
    <row r="491" spans="21:21">
      <c r="U491" s="64"/>
    </row>
    <row r="492" spans="21:21">
      <c r="U492" s="64"/>
    </row>
    <row r="493" spans="21:21">
      <c r="U493" s="64"/>
    </row>
    <row r="494" spans="21:21">
      <c r="U494" s="64"/>
    </row>
    <row r="495" spans="21:21">
      <c r="U495" s="64"/>
    </row>
    <row r="496" spans="21:21">
      <c r="U496" s="64"/>
    </row>
    <row r="497" spans="21:21">
      <c r="U497" s="64"/>
    </row>
    <row r="498" spans="21:21">
      <c r="U498" s="64"/>
    </row>
    <row r="499" spans="21:21">
      <c r="U499" s="64"/>
    </row>
    <row r="500" spans="21:21">
      <c r="U500" s="64"/>
    </row>
    <row r="501" spans="21:21">
      <c r="U501" s="64"/>
    </row>
    <row r="502" spans="21:21">
      <c r="U502" s="64"/>
    </row>
    <row r="503" spans="21:21">
      <c r="U503" s="64"/>
    </row>
    <row r="504" spans="21:21">
      <c r="U504" s="64"/>
    </row>
    <row r="505" spans="21:21">
      <c r="U505" s="64"/>
    </row>
    <row r="506" spans="21:21">
      <c r="U506" s="64"/>
    </row>
    <row r="507" spans="21:21">
      <c r="U507" s="64"/>
    </row>
    <row r="508" spans="21:21">
      <c r="U508" s="64"/>
    </row>
    <row r="509" spans="21:21">
      <c r="U509" s="64"/>
    </row>
    <row r="510" spans="21:21">
      <c r="U510" s="64"/>
    </row>
    <row r="511" spans="21:21">
      <c r="U511" s="64"/>
    </row>
    <row r="512" spans="21:21">
      <c r="U512" s="64"/>
    </row>
    <row r="513" spans="21:21">
      <c r="U513" s="64"/>
    </row>
    <row r="514" spans="21:21">
      <c r="U514" s="64"/>
    </row>
    <row r="515" spans="21:21">
      <c r="U515" s="64"/>
    </row>
    <row r="516" spans="21:21">
      <c r="U516" s="64"/>
    </row>
    <row r="517" spans="21:21">
      <c r="U517" s="64"/>
    </row>
    <row r="518" spans="21:21">
      <c r="U518" s="64"/>
    </row>
    <row r="519" spans="21:21">
      <c r="U519" s="64"/>
    </row>
    <row r="520" spans="21:21">
      <c r="U520" s="64"/>
    </row>
    <row r="521" spans="21:21">
      <c r="U521" s="64"/>
    </row>
    <row r="522" spans="21:21">
      <c r="U522" s="64"/>
    </row>
    <row r="523" spans="21:21">
      <c r="U523" s="64"/>
    </row>
    <row r="524" spans="21:21">
      <c r="U524" s="64"/>
    </row>
    <row r="525" spans="21:21">
      <c r="U525" s="64"/>
    </row>
    <row r="526" spans="21:21">
      <c r="U526" s="64"/>
    </row>
    <row r="527" spans="21:21">
      <c r="U527" s="64"/>
    </row>
    <row r="528" spans="21:21">
      <c r="U528" s="64"/>
    </row>
    <row r="529" spans="21:21">
      <c r="U529" s="64"/>
    </row>
    <row r="530" spans="21:21">
      <c r="U530" s="64"/>
    </row>
    <row r="531" spans="21:21">
      <c r="U531" s="64"/>
    </row>
    <row r="532" spans="21:21">
      <c r="U532" s="64"/>
    </row>
    <row r="533" spans="21:21">
      <c r="U533" s="64"/>
    </row>
    <row r="534" spans="21:21">
      <c r="U534" s="64"/>
    </row>
    <row r="535" spans="21:21">
      <c r="U535" s="64"/>
    </row>
    <row r="536" spans="21:21">
      <c r="U536" s="64"/>
    </row>
    <row r="537" spans="21:21">
      <c r="U537" s="64"/>
    </row>
    <row r="538" spans="21:21">
      <c r="U538" s="64"/>
    </row>
    <row r="539" spans="21:21">
      <c r="U539" s="64"/>
    </row>
    <row r="540" spans="21:21">
      <c r="U540" s="64"/>
    </row>
    <row r="541" spans="21:21">
      <c r="U541" s="64"/>
    </row>
    <row r="542" spans="21:21">
      <c r="U542" s="64"/>
    </row>
    <row r="543" spans="21:21">
      <c r="U543" s="64"/>
    </row>
    <row r="544" spans="21:21">
      <c r="U544" s="64"/>
    </row>
    <row r="545" spans="21:21">
      <c r="U545" s="64"/>
    </row>
    <row r="546" spans="21:21">
      <c r="U546" s="64"/>
    </row>
    <row r="547" spans="21:21">
      <c r="U547" s="64"/>
    </row>
    <row r="548" spans="21:21">
      <c r="U548" s="64"/>
    </row>
    <row r="549" spans="21:21">
      <c r="U549" s="64"/>
    </row>
    <row r="550" spans="21:21">
      <c r="U550" s="64"/>
    </row>
    <row r="551" spans="21:21">
      <c r="U551" s="64"/>
    </row>
    <row r="552" spans="21:21">
      <c r="U552" s="64"/>
    </row>
    <row r="553" spans="21:21">
      <c r="U553" s="64"/>
    </row>
    <row r="554" spans="21:21">
      <c r="U554" s="64"/>
    </row>
    <row r="555" spans="21:21">
      <c r="U555" s="64"/>
    </row>
    <row r="556" spans="21:21">
      <c r="U556" s="64"/>
    </row>
    <row r="557" spans="21:21">
      <c r="U557" s="64"/>
    </row>
    <row r="558" spans="21:21">
      <c r="U558" s="64"/>
    </row>
    <row r="559" spans="21:21">
      <c r="U559" s="64"/>
    </row>
    <row r="560" spans="21:21">
      <c r="U560" s="64"/>
    </row>
    <row r="561" spans="21:21">
      <c r="U561" s="64"/>
    </row>
    <row r="562" spans="21:21">
      <c r="U562" s="64"/>
    </row>
    <row r="563" spans="21:21">
      <c r="U563" s="64"/>
    </row>
    <row r="564" spans="21:21">
      <c r="U564" s="64"/>
    </row>
    <row r="565" spans="21:21">
      <c r="U565" s="64"/>
    </row>
    <row r="566" spans="21:21">
      <c r="U566" s="64"/>
    </row>
    <row r="567" spans="21:21">
      <c r="U567" s="64"/>
    </row>
    <row r="568" spans="21:21">
      <c r="U568" s="64"/>
    </row>
    <row r="569" spans="21:21">
      <c r="U569" s="64"/>
    </row>
    <row r="570" spans="21:21">
      <c r="U570" s="64"/>
    </row>
    <row r="571" spans="21:21">
      <c r="U571" s="64"/>
    </row>
    <row r="572" spans="21:21">
      <c r="U572" s="64"/>
    </row>
    <row r="573" spans="21:21">
      <c r="U573" s="64"/>
    </row>
    <row r="574" spans="21:21">
      <c r="U574" s="64"/>
    </row>
    <row r="575" spans="21:21">
      <c r="U575" s="64"/>
    </row>
    <row r="576" spans="21:21">
      <c r="U576" s="64"/>
    </row>
    <row r="577" spans="21:21">
      <c r="U577" s="64"/>
    </row>
    <row r="578" spans="21:21">
      <c r="U578" s="64"/>
    </row>
    <row r="579" spans="21:21">
      <c r="U579" s="64"/>
    </row>
    <row r="580" spans="21:21">
      <c r="U580" s="64"/>
    </row>
    <row r="581" spans="21:21">
      <c r="U581" s="64"/>
    </row>
    <row r="582" spans="21:21">
      <c r="U582" s="64"/>
    </row>
    <row r="583" spans="21:21">
      <c r="U583" s="64"/>
    </row>
    <row r="584" spans="21:21">
      <c r="U584" s="64"/>
    </row>
    <row r="585" spans="21:21">
      <c r="U585" s="64"/>
    </row>
    <row r="586" spans="21:21">
      <c r="U586" s="64"/>
    </row>
    <row r="587" spans="21:21">
      <c r="U587" s="64"/>
    </row>
    <row r="588" spans="21:21">
      <c r="U588" s="64"/>
    </row>
    <row r="589" spans="21:21">
      <c r="U589" s="64"/>
    </row>
    <row r="590" spans="21:21">
      <c r="U590" s="64"/>
    </row>
    <row r="591" spans="21:21">
      <c r="U591" s="64"/>
    </row>
    <row r="592" spans="21:21">
      <c r="U592" s="64"/>
    </row>
    <row r="593" spans="21:21">
      <c r="U593" s="64"/>
    </row>
    <row r="594" spans="21:21">
      <c r="U594" s="64"/>
    </row>
    <row r="595" spans="21:21">
      <c r="U595" s="64"/>
    </row>
    <row r="596" spans="21:21">
      <c r="U596" s="64"/>
    </row>
    <row r="597" spans="21:21">
      <c r="U597" s="64"/>
    </row>
    <row r="598" spans="21:21">
      <c r="U598" s="64"/>
    </row>
    <row r="599" spans="21:21">
      <c r="U599" s="64"/>
    </row>
    <row r="600" spans="21:21">
      <c r="U600" s="64"/>
    </row>
    <row r="601" spans="21:21">
      <c r="U601" s="64"/>
    </row>
    <row r="602" spans="21:21">
      <c r="U602" s="64"/>
    </row>
    <row r="603" spans="21:21">
      <c r="U603" s="64"/>
    </row>
    <row r="604" spans="21:21">
      <c r="U604" s="64"/>
    </row>
    <row r="605" spans="21:21">
      <c r="U605" s="64"/>
    </row>
    <row r="606" spans="21:21">
      <c r="U606" s="64"/>
    </row>
    <row r="607" spans="21:21">
      <c r="U607" s="64"/>
    </row>
    <row r="608" spans="21:21">
      <c r="U608" s="64"/>
    </row>
    <row r="609" spans="21:21">
      <c r="U609" s="64"/>
    </row>
    <row r="610" spans="21:21">
      <c r="U610" s="64"/>
    </row>
    <row r="611" spans="21:21">
      <c r="U611" s="64"/>
    </row>
    <row r="612" spans="21:21">
      <c r="U612" s="64"/>
    </row>
    <row r="613" spans="21:21">
      <c r="U613" s="64"/>
    </row>
    <row r="614" spans="21:21">
      <c r="U614" s="64"/>
    </row>
    <row r="615" spans="21:21">
      <c r="U615" s="64"/>
    </row>
    <row r="616" spans="21:21">
      <c r="U616" s="64"/>
    </row>
    <row r="617" spans="21:21">
      <c r="U617" s="64"/>
    </row>
    <row r="618" spans="21:21">
      <c r="U618" s="64"/>
    </row>
    <row r="619" spans="21:21">
      <c r="U619" s="64"/>
    </row>
    <row r="620" spans="21:21">
      <c r="U620" s="64"/>
    </row>
    <row r="621" spans="21:21">
      <c r="U621" s="64"/>
    </row>
    <row r="622" spans="21:21">
      <c r="U622" s="64"/>
    </row>
    <row r="623" spans="21:21">
      <c r="U623" s="64"/>
    </row>
    <row r="624" spans="21:21">
      <c r="U624" s="64"/>
    </row>
    <row r="625" spans="21:21">
      <c r="U625" s="64"/>
    </row>
    <row r="626" spans="21:21">
      <c r="U626" s="64"/>
    </row>
    <row r="627" spans="21:21">
      <c r="U627" s="64"/>
    </row>
    <row r="628" spans="21:21">
      <c r="U628" s="64"/>
    </row>
    <row r="629" spans="21:21">
      <c r="U629" s="64"/>
    </row>
    <row r="630" spans="21:21">
      <c r="U630" s="64"/>
    </row>
    <row r="631" spans="21:21">
      <c r="U631" s="64"/>
    </row>
    <row r="632" spans="21:21">
      <c r="U632" s="64"/>
    </row>
    <row r="633" spans="21:21">
      <c r="U633" s="64"/>
    </row>
    <row r="634" spans="21:21">
      <c r="U634" s="64"/>
    </row>
    <row r="635" spans="21:21">
      <c r="U635" s="64"/>
    </row>
    <row r="636" spans="21:21">
      <c r="U636" s="64"/>
    </row>
    <row r="637" spans="21:21">
      <c r="U637" s="64"/>
    </row>
    <row r="638" spans="21:21">
      <c r="U638" s="64"/>
    </row>
    <row r="639" spans="21:21">
      <c r="U639" s="64"/>
    </row>
    <row r="640" spans="21:21">
      <c r="U640" s="64"/>
    </row>
    <row r="641" spans="21:21">
      <c r="U641" s="64"/>
    </row>
    <row r="642" spans="21:21">
      <c r="U642" s="64"/>
    </row>
    <row r="643" spans="21:21">
      <c r="U643" s="64"/>
    </row>
    <row r="644" spans="21:21">
      <c r="U644" s="64"/>
    </row>
    <row r="645" spans="21:21">
      <c r="U645" s="64"/>
    </row>
    <row r="646" spans="21:21">
      <c r="U646" s="64"/>
    </row>
    <row r="647" spans="21:21">
      <c r="U647" s="64"/>
    </row>
    <row r="648" spans="21:21">
      <c r="U648" s="64"/>
    </row>
    <row r="649" spans="21:21">
      <c r="U649" s="64"/>
    </row>
    <row r="650" spans="21:21">
      <c r="U650" s="64"/>
    </row>
    <row r="651" spans="21:21">
      <c r="U651" s="64"/>
    </row>
    <row r="652" spans="21:21">
      <c r="U652" s="64"/>
    </row>
    <row r="653" spans="21:21">
      <c r="U653" s="64"/>
    </row>
    <row r="654" spans="21:21">
      <c r="U654" s="64"/>
    </row>
    <row r="655" spans="21:21">
      <c r="U655" s="64"/>
    </row>
    <row r="656" spans="21:21">
      <c r="U656" s="64"/>
    </row>
    <row r="657" spans="21:21">
      <c r="U657" s="64"/>
    </row>
    <row r="658" spans="21:21">
      <c r="U658" s="64"/>
    </row>
    <row r="659" spans="21:21">
      <c r="U659" s="64"/>
    </row>
    <row r="660" spans="21:21">
      <c r="U660" s="64"/>
    </row>
    <row r="661" spans="21:21">
      <c r="U661" s="64"/>
    </row>
    <row r="662" spans="21:21">
      <c r="U662" s="64"/>
    </row>
    <row r="663" spans="21:21">
      <c r="U663" s="64"/>
    </row>
    <row r="664" spans="21:21">
      <c r="U664" s="64"/>
    </row>
    <row r="665" spans="21:21">
      <c r="U665" s="64"/>
    </row>
    <row r="666" spans="21:21">
      <c r="U666" s="64"/>
    </row>
    <row r="667" spans="21:21">
      <c r="U667" s="64"/>
    </row>
    <row r="668" spans="21:21">
      <c r="U668" s="64"/>
    </row>
    <row r="669" spans="21:21">
      <c r="U669" s="64"/>
    </row>
    <row r="670" spans="21:21">
      <c r="U670" s="64"/>
    </row>
    <row r="671" spans="21:21">
      <c r="U671" s="64"/>
    </row>
    <row r="672" spans="21:21">
      <c r="U672" s="64"/>
    </row>
    <row r="673" spans="21:21">
      <c r="U673" s="64"/>
    </row>
    <row r="674" spans="21:21">
      <c r="U674" s="64"/>
    </row>
    <row r="675" spans="21:21">
      <c r="U675" s="64"/>
    </row>
    <row r="676" spans="21:21">
      <c r="U676" s="64"/>
    </row>
    <row r="677" spans="21:21">
      <c r="U677" s="64"/>
    </row>
    <row r="678" spans="21:21">
      <c r="U678" s="64"/>
    </row>
    <row r="679" spans="21:21">
      <c r="U679" s="64"/>
    </row>
    <row r="680" spans="21:21">
      <c r="U680" s="64"/>
    </row>
    <row r="681" spans="21:21">
      <c r="U681" s="64"/>
    </row>
    <row r="682" spans="21:21">
      <c r="U682" s="64"/>
    </row>
    <row r="683" spans="21:21">
      <c r="U683" s="64"/>
    </row>
    <row r="684" spans="21:21">
      <c r="U684" s="64"/>
    </row>
    <row r="685" spans="21:21">
      <c r="U685" s="64"/>
    </row>
    <row r="686" spans="21:21">
      <c r="U686" s="64"/>
    </row>
    <row r="687" spans="21:21">
      <c r="U687" s="64"/>
    </row>
    <row r="688" spans="21:21">
      <c r="U688" s="64"/>
    </row>
    <row r="689" spans="21:21">
      <c r="U689" s="64"/>
    </row>
    <row r="690" spans="21:21">
      <c r="U690" s="64"/>
    </row>
    <row r="691" spans="21:21">
      <c r="U691" s="64"/>
    </row>
    <row r="692" spans="21:21">
      <c r="U692" s="64"/>
    </row>
    <row r="693" spans="21:21">
      <c r="U693" s="64"/>
    </row>
    <row r="694" spans="21:21">
      <c r="U694" s="64"/>
    </row>
    <row r="695" spans="21:21">
      <c r="U695" s="64"/>
    </row>
    <row r="696" spans="21:21">
      <c r="U696" s="64"/>
    </row>
    <row r="697" spans="21:21">
      <c r="U697" s="64"/>
    </row>
    <row r="698" spans="21:21">
      <c r="U698" s="64"/>
    </row>
    <row r="699" spans="21:21">
      <c r="U699" s="64"/>
    </row>
    <row r="700" spans="21:21">
      <c r="U700" s="64"/>
    </row>
    <row r="701" spans="21:21">
      <c r="U701" s="64"/>
    </row>
    <row r="702" spans="21:21">
      <c r="U702" s="64"/>
    </row>
    <row r="703" spans="21:21">
      <c r="U703" s="64"/>
    </row>
    <row r="704" spans="21:21">
      <c r="U704" s="64"/>
    </row>
    <row r="705" spans="21:21">
      <c r="U705" s="64"/>
    </row>
    <row r="706" spans="21:21">
      <c r="U706" s="64"/>
    </row>
    <row r="707" spans="21:21">
      <c r="U707" s="64"/>
    </row>
    <row r="708" spans="21:21">
      <c r="U708" s="64"/>
    </row>
    <row r="709" spans="21:21">
      <c r="U709" s="64"/>
    </row>
    <row r="710" spans="21:21">
      <c r="U710" s="64"/>
    </row>
    <row r="711" spans="21:21">
      <c r="U711" s="64"/>
    </row>
    <row r="712" spans="21:21">
      <c r="U712" s="64"/>
    </row>
    <row r="713" spans="21:21">
      <c r="U713" s="64"/>
    </row>
    <row r="714" spans="21:21">
      <c r="U714" s="64"/>
    </row>
    <row r="715" spans="21:21">
      <c r="U715" s="64"/>
    </row>
    <row r="716" spans="21:21">
      <c r="U716" s="64"/>
    </row>
    <row r="717" spans="21:21">
      <c r="U717" s="64"/>
    </row>
    <row r="718" spans="21:21">
      <c r="U718" s="64"/>
    </row>
    <row r="719" spans="21:21">
      <c r="U719" s="64"/>
    </row>
    <row r="720" spans="21:21">
      <c r="U720" s="64"/>
    </row>
    <row r="721" spans="21:21">
      <c r="U721" s="64"/>
    </row>
    <row r="722" spans="21:21">
      <c r="U722" s="64"/>
    </row>
    <row r="723" spans="21:21">
      <c r="U723" s="64"/>
    </row>
    <row r="724" spans="21:21">
      <c r="U724" s="64"/>
    </row>
    <row r="725" spans="21:21">
      <c r="U725" s="64"/>
    </row>
    <row r="726" spans="21:21">
      <c r="U726" s="64"/>
    </row>
    <row r="727" spans="21:21">
      <c r="U727" s="64"/>
    </row>
    <row r="728" spans="21:21">
      <c r="U728" s="64"/>
    </row>
    <row r="729" spans="21:21">
      <c r="U729" s="64"/>
    </row>
    <row r="730" spans="21:21">
      <c r="U730" s="64"/>
    </row>
    <row r="731" spans="21:21">
      <c r="U731" s="64"/>
    </row>
    <row r="732" spans="21:21">
      <c r="U732" s="64"/>
    </row>
    <row r="733" spans="21:21">
      <c r="U733" s="64"/>
    </row>
    <row r="734" spans="21:21">
      <c r="U734" s="64"/>
    </row>
    <row r="735" spans="21:21">
      <c r="U735" s="64"/>
    </row>
    <row r="736" spans="21:21">
      <c r="U736" s="64"/>
    </row>
    <row r="737" spans="21:21">
      <c r="U737" s="64"/>
    </row>
    <row r="738" spans="21:21">
      <c r="U738" s="64"/>
    </row>
    <row r="739" spans="21:21">
      <c r="U739" s="64"/>
    </row>
    <row r="740" spans="21:21">
      <c r="U740" s="64"/>
    </row>
    <row r="741" spans="21:21">
      <c r="U741" s="64"/>
    </row>
    <row r="742" spans="21:21">
      <c r="U742" s="64"/>
    </row>
    <row r="743" spans="21:21">
      <c r="U743" s="64"/>
    </row>
    <row r="744" spans="21:21">
      <c r="U744" s="64"/>
    </row>
    <row r="745" spans="21:21">
      <c r="U745" s="64"/>
    </row>
    <row r="746" spans="21:21">
      <c r="U746" s="64"/>
    </row>
    <row r="747" spans="21:21">
      <c r="U747" s="64"/>
    </row>
    <row r="748" spans="21:21">
      <c r="U748" s="64"/>
    </row>
    <row r="749" spans="21:21">
      <c r="U749" s="64"/>
    </row>
    <row r="750" spans="21:21">
      <c r="U750" s="64"/>
    </row>
    <row r="751" spans="21:21">
      <c r="U751" s="64"/>
    </row>
    <row r="752" spans="21:21">
      <c r="U752" s="64"/>
    </row>
    <row r="753" spans="21:21">
      <c r="U753" s="64"/>
    </row>
    <row r="754" spans="21:21">
      <c r="U754" s="64"/>
    </row>
    <row r="755" spans="21:21">
      <c r="U755" s="64"/>
    </row>
    <row r="756" spans="21:21">
      <c r="U756" s="64"/>
    </row>
    <row r="757" spans="21:21">
      <c r="U757" s="64"/>
    </row>
    <row r="758" spans="21:21">
      <c r="U758" s="64"/>
    </row>
    <row r="759" spans="21:21">
      <c r="U759" s="64"/>
    </row>
    <row r="760" spans="21:21">
      <c r="U760" s="64"/>
    </row>
    <row r="761" spans="21:21">
      <c r="U761" s="64"/>
    </row>
    <row r="762" spans="21:21">
      <c r="U762" s="64"/>
    </row>
    <row r="763" spans="21:21">
      <c r="U763" s="64"/>
    </row>
    <row r="764" spans="21:21">
      <c r="U764" s="64"/>
    </row>
    <row r="765" spans="21:21">
      <c r="U765" s="64"/>
    </row>
    <row r="766" spans="21:21">
      <c r="U766" s="64"/>
    </row>
    <row r="767" spans="21:21">
      <c r="U767" s="64"/>
    </row>
    <row r="768" spans="21:21">
      <c r="U768" s="64"/>
    </row>
    <row r="769" spans="21:21">
      <c r="U769" s="64"/>
    </row>
    <row r="770" spans="21:21">
      <c r="U770" s="64"/>
    </row>
    <row r="771" spans="21:21">
      <c r="U771" s="64"/>
    </row>
    <row r="772" spans="21:21">
      <c r="U772" s="64"/>
    </row>
    <row r="773" spans="21:21">
      <c r="U773" s="64"/>
    </row>
    <row r="774" spans="21:21">
      <c r="U774" s="64"/>
    </row>
    <row r="775" spans="21:21">
      <c r="U775" s="64"/>
    </row>
    <row r="776" spans="21:21">
      <c r="U776" s="64"/>
    </row>
    <row r="777" spans="21:21">
      <c r="U777" s="64"/>
    </row>
    <row r="778" spans="21:21">
      <c r="U778" s="64"/>
    </row>
    <row r="779" spans="21:21">
      <c r="U779" s="64"/>
    </row>
    <row r="780" spans="21:21">
      <c r="U780" s="64"/>
    </row>
    <row r="781" spans="21:21">
      <c r="U781" s="64"/>
    </row>
    <row r="782" spans="21:21">
      <c r="U782" s="64"/>
    </row>
    <row r="783" spans="21:21">
      <c r="U783" s="64"/>
    </row>
    <row r="784" spans="21:21">
      <c r="U784" s="64"/>
    </row>
    <row r="785" spans="21:21">
      <c r="U785" s="64"/>
    </row>
    <row r="786" spans="21:21">
      <c r="U786" s="64"/>
    </row>
    <row r="787" spans="21:21">
      <c r="U787" s="64"/>
    </row>
    <row r="788" spans="21:21">
      <c r="U788" s="64"/>
    </row>
    <row r="789" spans="21:21">
      <c r="U789" s="64"/>
    </row>
    <row r="790" spans="21:21">
      <c r="U790" s="64"/>
    </row>
    <row r="791" spans="21:21">
      <c r="U791" s="64"/>
    </row>
    <row r="792" spans="21:21">
      <c r="U792" s="64"/>
    </row>
    <row r="793" spans="21:21">
      <c r="U793" s="64"/>
    </row>
    <row r="794" spans="21:21">
      <c r="U794" s="64"/>
    </row>
    <row r="795" spans="21:21">
      <c r="U795" s="64"/>
    </row>
    <row r="796" spans="21:21">
      <c r="U796" s="64"/>
    </row>
    <row r="797" spans="21:21">
      <c r="U797" s="64"/>
    </row>
    <row r="798" spans="21:21">
      <c r="U798" s="64"/>
    </row>
    <row r="799" spans="21:21">
      <c r="U799" s="64"/>
    </row>
    <row r="800" spans="21:21">
      <c r="U800" s="64"/>
    </row>
    <row r="801" spans="21:21">
      <c r="U801" s="64"/>
    </row>
    <row r="802" spans="21:21">
      <c r="U802" s="64"/>
    </row>
    <row r="803" spans="21:21">
      <c r="U803" s="64"/>
    </row>
    <row r="804" spans="21:21">
      <c r="U804" s="64"/>
    </row>
    <row r="805" spans="21:21">
      <c r="U805" s="64"/>
    </row>
    <row r="806" spans="21:21">
      <c r="U806" s="64"/>
    </row>
    <row r="807" spans="21:21">
      <c r="U807" s="64"/>
    </row>
    <row r="808" spans="21:21">
      <c r="U808" s="64"/>
    </row>
    <row r="809" spans="21:21">
      <c r="U809" s="64"/>
    </row>
    <row r="810" spans="21:21">
      <c r="U810" s="64"/>
    </row>
    <row r="811" spans="21:21">
      <c r="U811" s="64"/>
    </row>
    <row r="812" spans="21:21">
      <c r="U812" s="64"/>
    </row>
    <row r="813" spans="21:21">
      <c r="U813" s="64"/>
    </row>
    <row r="814" spans="21:21">
      <c r="U814" s="64"/>
    </row>
    <row r="815" spans="21:21">
      <c r="U815" s="64"/>
    </row>
    <row r="816" spans="21:21">
      <c r="U816" s="64"/>
    </row>
    <row r="817" spans="21:21">
      <c r="U817" s="64"/>
    </row>
    <row r="818" spans="21:21">
      <c r="U818" s="64"/>
    </row>
    <row r="819" spans="21:21">
      <c r="U819" s="64"/>
    </row>
    <row r="820" spans="21:21">
      <c r="U820" s="64"/>
    </row>
    <row r="821" spans="21:21">
      <c r="U821" s="64"/>
    </row>
    <row r="822" spans="21:21">
      <c r="U822" s="64"/>
    </row>
    <row r="823" spans="21:21">
      <c r="U823" s="64"/>
    </row>
    <row r="824" spans="21:21">
      <c r="U824" s="64"/>
    </row>
    <row r="825" spans="21:21">
      <c r="U825" s="64"/>
    </row>
    <row r="826" spans="21:21">
      <c r="U826" s="64"/>
    </row>
    <row r="827" spans="21:21">
      <c r="U827" s="64"/>
    </row>
    <row r="828" spans="21:21">
      <c r="U828" s="64"/>
    </row>
    <row r="829" spans="21:21">
      <c r="U829" s="64"/>
    </row>
    <row r="830" spans="21:21">
      <c r="U830" s="64"/>
    </row>
    <row r="831" spans="21:21">
      <c r="U831" s="64"/>
    </row>
    <row r="832" spans="21:21">
      <c r="U832" s="64"/>
    </row>
    <row r="833" spans="21:21">
      <c r="U833" s="64"/>
    </row>
    <row r="834" spans="21:21">
      <c r="U834" s="64"/>
    </row>
    <row r="835" spans="21:21">
      <c r="U835" s="64"/>
    </row>
    <row r="836" spans="21:21">
      <c r="U836" s="64"/>
    </row>
    <row r="837" spans="21:21">
      <c r="U837" s="64"/>
    </row>
    <row r="838" spans="21:21">
      <c r="U838" s="64"/>
    </row>
    <row r="839" spans="21:21">
      <c r="U839" s="64"/>
    </row>
    <row r="840" spans="21:21">
      <c r="U840" s="64"/>
    </row>
    <row r="841" spans="21:21">
      <c r="U841" s="64"/>
    </row>
    <row r="842" spans="21:21">
      <c r="U842" s="64"/>
    </row>
    <row r="843" spans="21:21">
      <c r="U843" s="64"/>
    </row>
    <row r="844" spans="21:21">
      <c r="U844" s="64"/>
    </row>
    <row r="845" spans="21:21">
      <c r="U845" s="64"/>
    </row>
    <row r="846" spans="21:21">
      <c r="U846" s="64"/>
    </row>
    <row r="847" spans="21:21">
      <c r="U847" s="64"/>
    </row>
    <row r="848" spans="21:21">
      <c r="U848" s="64"/>
    </row>
    <row r="849" spans="21:21">
      <c r="U849" s="64"/>
    </row>
    <row r="850" spans="21:21">
      <c r="U850" s="64"/>
    </row>
    <row r="851" spans="21:21">
      <c r="U851" s="64"/>
    </row>
    <row r="852" spans="21:21">
      <c r="U852" s="64"/>
    </row>
    <row r="853" spans="21:21">
      <c r="U853" s="64"/>
    </row>
    <row r="854" spans="21:21">
      <c r="U854" s="64"/>
    </row>
    <row r="855" spans="21:21">
      <c r="U855" s="64"/>
    </row>
    <row r="856" spans="21:21">
      <c r="U856" s="64"/>
    </row>
    <row r="857" spans="21:21">
      <c r="U857" s="64"/>
    </row>
    <row r="858" spans="21:21">
      <c r="U858" s="64"/>
    </row>
    <row r="859" spans="21:21">
      <c r="U859" s="64"/>
    </row>
    <row r="860" spans="21:21">
      <c r="U860" s="64"/>
    </row>
    <row r="861" spans="21:21">
      <c r="U861" s="64"/>
    </row>
    <row r="862" spans="21:21">
      <c r="U862" s="64"/>
    </row>
    <row r="863" spans="21:21">
      <c r="U863" s="64"/>
    </row>
    <row r="864" spans="21:21">
      <c r="U864" s="64"/>
    </row>
    <row r="865" spans="21:21">
      <c r="U865" s="64"/>
    </row>
    <row r="866" spans="21:21">
      <c r="U866" s="64"/>
    </row>
    <row r="867" spans="21:21">
      <c r="U867" s="64"/>
    </row>
    <row r="868" spans="21:21">
      <c r="U868" s="64"/>
    </row>
    <row r="869" spans="21:21">
      <c r="U869" s="64"/>
    </row>
    <row r="870" spans="21:21">
      <c r="U870" s="64"/>
    </row>
    <row r="871" spans="21:21">
      <c r="U871" s="64"/>
    </row>
    <row r="872" spans="21:21">
      <c r="U872" s="64"/>
    </row>
    <row r="873" spans="21:21">
      <c r="U873" s="64"/>
    </row>
    <row r="874" spans="21:21">
      <c r="U874" s="64"/>
    </row>
    <row r="875" spans="21:21">
      <c r="U875" s="64"/>
    </row>
    <row r="876" spans="21:21">
      <c r="U876" s="64"/>
    </row>
    <row r="877" spans="21:21">
      <c r="U877" s="64"/>
    </row>
    <row r="878" spans="21:21">
      <c r="U878" s="64"/>
    </row>
    <row r="879" spans="21:21">
      <c r="U879" s="64"/>
    </row>
    <row r="880" spans="21:21">
      <c r="U880" s="64"/>
    </row>
    <row r="881" spans="21:21">
      <c r="U881" s="64"/>
    </row>
    <row r="882" spans="21:21">
      <c r="U882" s="64"/>
    </row>
    <row r="883" spans="21:21">
      <c r="U883" s="64"/>
    </row>
    <row r="884" spans="21:21">
      <c r="U884" s="64"/>
    </row>
    <row r="885" spans="21:21">
      <c r="U885" s="64"/>
    </row>
    <row r="886" spans="21:21">
      <c r="U886" s="64"/>
    </row>
    <row r="887" spans="21:21">
      <c r="U887" s="64"/>
    </row>
    <row r="888" spans="21:21">
      <c r="U888" s="64"/>
    </row>
    <row r="889" spans="21:21">
      <c r="U889" s="64"/>
    </row>
    <row r="890" spans="21:21">
      <c r="U890" s="64"/>
    </row>
    <row r="891" spans="21:21">
      <c r="U891" s="64"/>
    </row>
    <row r="892" spans="21:21">
      <c r="U892" s="64"/>
    </row>
    <row r="893" spans="21:21">
      <c r="U893" s="64"/>
    </row>
    <row r="894" spans="21:21">
      <c r="U894" s="64"/>
    </row>
    <row r="895" spans="21:21">
      <c r="U895" s="64"/>
    </row>
    <row r="896" spans="21:21">
      <c r="U896" s="64"/>
    </row>
    <row r="897" spans="21:21">
      <c r="U897" s="64"/>
    </row>
    <row r="898" spans="21:21">
      <c r="U898" s="64"/>
    </row>
    <row r="899" spans="21:21">
      <c r="U899" s="64"/>
    </row>
    <row r="900" spans="21:21">
      <c r="U900" s="64"/>
    </row>
    <row r="901" spans="21:21">
      <c r="U901" s="64"/>
    </row>
    <row r="902" spans="21:21">
      <c r="U902" s="64"/>
    </row>
    <row r="903" spans="21:21">
      <c r="U903" s="64"/>
    </row>
    <row r="904" spans="21:21">
      <c r="U904" s="64"/>
    </row>
    <row r="905" spans="21:21">
      <c r="U905" s="64"/>
    </row>
    <row r="906" spans="21:21">
      <c r="U906" s="64"/>
    </row>
    <row r="907" spans="21:21">
      <c r="U907" s="64"/>
    </row>
    <row r="908" spans="21:21">
      <c r="U908" s="64"/>
    </row>
    <row r="909" spans="21:21">
      <c r="U909" s="64"/>
    </row>
    <row r="910" spans="21:21">
      <c r="U910" s="64"/>
    </row>
    <row r="911" spans="21:21">
      <c r="U911" s="64"/>
    </row>
    <row r="912" spans="21:21">
      <c r="U912" s="64"/>
    </row>
    <row r="913" spans="21:21">
      <c r="U913" s="64"/>
    </row>
    <row r="914" spans="21:21">
      <c r="U914" s="64"/>
    </row>
    <row r="915" spans="21:21">
      <c r="U915" s="64"/>
    </row>
    <row r="916" spans="21:21">
      <c r="U916" s="64"/>
    </row>
    <row r="917" spans="21:21">
      <c r="U917" s="64"/>
    </row>
    <row r="918" spans="21:21">
      <c r="U918" s="64"/>
    </row>
    <row r="919" spans="21:21">
      <c r="U919" s="64"/>
    </row>
    <row r="920" spans="21:21">
      <c r="U920" s="64"/>
    </row>
    <row r="921" spans="21:21">
      <c r="U921" s="64"/>
    </row>
    <row r="922" spans="21:21">
      <c r="U922" s="64"/>
    </row>
    <row r="923" spans="21:21">
      <c r="U923" s="64"/>
    </row>
    <row r="924" spans="21:21">
      <c r="U924" s="64"/>
    </row>
    <row r="925" spans="21:21">
      <c r="U925" s="64"/>
    </row>
    <row r="926" spans="21:21">
      <c r="U926" s="64"/>
    </row>
    <row r="927" spans="21:21">
      <c r="U927" s="64"/>
    </row>
    <row r="928" spans="21:21">
      <c r="U928" s="64"/>
    </row>
    <row r="929" spans="21:21">
      <c r="U929" s="64"/>
    </row>
    <row r="930" spans="21:21">
      <c r="U930" s="64"/>
    </row>
    <row r="931" spans="21:21">
      <c r="U931" s="64"/>
    </row>
    <row r="932" spans="21:21">
      <c r="U932" s="64"/>
    </row>
    <row r="933" spans="21:21">
      <c r="U933" s="64"/>
    </row>
    <row r="934" spans="21:21">
      <c r="U934" s="64"/>
    </row>
    <row r="935" spans="21:21">
      <c r="U935" s="64"/>
    </row>
    <row r="936" spans="21:21">
      <c r="U936" s="64"/>
    </row>
    <row r="937" spans="21:21">
      <c r="U937" s="64"/>
    </row>
    <row r="938" spans="21:21">
      <c r="U938" s="64"/>
    </row>
    <row r="939" spans="21:21">
      <c r="U939" s="64"/>
    </row>
    <row r="940" spans="21:21">
      <c r="U940" s="64"/>
    </row>
    <row r="941" spans="21:21">
      <c r="U941" s="64"/>
    </row>
    <row r="942" spans="21:21">
      <c r="U942" s="64"/>
    </row>
    <row r="943" spans="21:21">
      <c r="U943" s="64"/>
    </row>
    <row r="944" spans="21:21">
      <c r="U944" s="64"/>
    </row>
    <row r="945" spans="21:21">
      <c r="U945" s="64"/>
    </row>
    <row r="946" spans="21:21">
      <c r="U946" s="64"/>
    </row>
    <row r="947" spans="21:21">
      <c r="U947" s="64"/>
    </row>
    <row r="948" spans="21:21">
      <c r="U948" s="64"/>
    </row>
    <row r="949" spans="21:21">
      <c r="U949" s="64"/>
    </row>
    <row r="950" spans="21:21">
      <c r="U950" s="64"/>
    </row>
    <row r="951" spans="21:21">
      <c r="U951" s="64"/>
    </row>
    <row r="952" spans="21:21">
      <c r="U952" s="64"/>
    </row>
    <row r="953" spans="21:21">
      <c r="U953" s="64"/>
    </row>
    <row r="954" spans="21:21">
      <c r="U954" s="64"/>
    </row>
    <row r="955" spans="21:21">
      <c r="U955" s="64"/>
    </row>
    <row r="956" spans="21:21">
      <c r="U956" s="64"/>
    </row>
    <row r="957" spans="21:21">
      <c r="U957" s="64"/>
    </row>
    <row r="958" spans="21:21">
      <c r="U958" s="64"/>
    </row>
    <row r="959" spans="21:21">
      <c r="U959" s="64"/>
    </row>
    <row r="960" spans="21:21">
      <c r="U960" s="64"/>
    </row>
    <row r="961" spans="21:21">
      <c r="U961" s="64"/>
    </row>
    <row r="962" spans="21:21">
      <c r="U962" s="64"/>
    </row>
    <row r="963" spans="21:21">
      <c r="U963" s="64"/>
    </row>
    <row r="964" spans="21:21">
      <c r="U964" s="64"/>
    </row>
    <row r="965" spans="21:21">
      <c r="U965" s="64"/>
    </row>
    <row r="966" spans="21:21">
      <c r="U966" s="64"/>
    </row>
    <row r="967" spans="21:21">
      <c r="U967" s="64"/>
    </row>
    <row r="968" spans="21:21">
      <c r="U968" s="64"/>
    </row>
    <row r="969" spans="21:21">
      <c r="U969" s="64"/>
    </row>
    <row r="970" spans="21:21">
      <c r="U970" s="64"/>
    </row>
    <row r="971" spans="21:21">
      <c r="U971" s="64"/>
    </row>
    <row r="972" spans="21:21">
      <c r="U972" s="64"/>
    </row>
    <row r="973" spans="21:21">
      <c r="U973" s="64"/>
    </row>
    <row r="974" spans="21:21">
      <c r="U974" s="64"/>
    </row>
    <row r="975" spans="21:21">
      <c r="U975" s="64"/>
    </row>
    <row r="976" spans="21:21">
      <c r="U976" s="64"/>
    </row>
    <row r="977" spans="21:21">
      <c r="U977" s="64"/>
    </row>
    <row r="978" spans="21:21">
      <c r="U978" s="64"/>
    </row>
    <row r="979" spans="21:21">
      <c r="U979" s="64"/>
    </row>
    <row r="980" spans="21:21">
      <c r="U980" s="64"/>
    </row>
    <row r="981" spans="21:21">
      <c r="U981" s="64"/>
    </row>
    <row r="982" spans="21:21">
      <c r="U982" s="64"/>
    </row>
    <row r="983" spans="21:21">
      <c r="U983" s="64"/>
    </row>
    <row r="984" spans="21:21">
      <c r="U984" s="64"/>
    </row>
    <row r="985" spans="21:21">
      <c r="U985" s="64"/>
    </row>
    <row r="986" spans="21:21">
      <c r="U986" s="64"/>
    </row>
    <row r="987" spans="21:21">
      <c r="U987" s="64"/>
    </row>
    <row r="988" spans="21:21">
      <c r="U988" s="64"/>
    </row>
    <row r="989" spans="21:21">
      <c r="U989" s="64"/>
    </row>
    <row r="990" spans="21:21">
      <c r="U990" s="64"/>
    </row>
    <row r="991" spans="21:21">
      <c r="U991" s="64"/>
    </row>
    <row r="992" spans="21:21">
      <c r="U992" s="64"/>
    </row>
    <row r="993" spans="21:21">
      <c r="U993" s="64"/>
    </row>
    <row r="994" spans="21:21">
      <c r="U994" s="64"/>
    </row>
    <row r="995" spans="21:21">
      <c r="U995" s="64"/>
    </row>
    <row r="996" spans="21:21">
      <c r="U996" s="64"/>
    </row>
    <row r="997" spans="21:21">
      <c r="U997" s="64"/>
    </row>
    <row r="998" spans="21:21">
      <c r="U998" s="64"/>
    </row>
    <row r="999" spans="21:21">
      <c r="U999" s="64"/>
    </row>
    <row r="1000" spans="21:21">
      <c r="U1000" s="64"/>
    </row>
    <row r="1001" spans="21:21">
      <c r="U1001" s="64"/>
    </row>
    <row r="1002" spans="21:21">
      <c r="U1002" s="64"/>
    </row>
    <row r="1003" spans="21:21">
      <c r="U1003" s="64"/>
    </row>
    <row r="1004" spans="21:21">
      <c r="U1004" s="64"/>
    </row>
    <row r="1005" spans="21:21">
      <c r="U1005" s="64"/>
    </row>
    <row r="1006" spans="21:21">
      <c r="U1006" s="64"/>
    </row>
    <row r="1007" spans="21:21">
      <c r="U1007" s="64"/>
    </row>
    <row r="1008" spans="21:21">
      <c r="U1008" s="64"/>
    </row>
    <row r="1009" spans="21:21">
      <c r="U1009" s="64"/>
    </row>
    <row r="1010" spans="21:21">
      <c r="U1010" s="64"/>
    </row>
    <row r="1011" spans="21:21">
      <c r="U1011" s="64"/>
    </row>
    <row r="1012" spans="21:21">
      <c r="U1012" s="64"/>
    </row>
    <row r="1013" spans="21:21">
      <c r="U1013" s="64"/>
    </row>
    <row r="1014" spans="21:21">
      <c r="U1014" s="64"/>
    </row>
    <row r="1015" spans="21:21">
      <c r="U1015" s="64"/>
    </row>
    <row r="1016" spans="21:21">
      <c r="U1016" s="64"/>
    </row>
    <row r="1017" spans="21:21">
      <c r="U1017" s="64"/>
    </row>
    <row r="1018" spans="21:21">
      <c r="U1018" s="64"/>
    </row>
    <row r="1019" spans="21:21">
      <c r="U1019" s="64"/>
    </row>
    <row r="1020" spans="21:21">
      <c r="U1020" s="64"/>
    </row>
    <row r="1021" spans="21:21">
      <c r="U1021" s="64"/>
    </row>
    <row r="1022" spans="21:21">
      <c r="U1022" s="64"/>
    </row>
    <row r="1023" spans="21:21">
      <c r="U1023" s="64"/>
    </row>
    <row r="1024" spans="21:21">
      <c r="U1024" s="64"/>
    </row>
    <row r="1025" spans="21:21">
      <c r="U1025" s="64"/>
    </row>
    <row r="1026" spans="21:21">
      <c r="U1026" s="64"/>
    </row>
    <row r="1027" spans="21:21">
      <c r="U1027" s="64"/>
    </row>
    <row r="1028" spans="21:21">
      <c r="U1028" s="64"/>
    </row>
    <row r="1029" spans="21:21">
      <c r="U1029" s="64"/>
    </row>
    <row r="1030" spans="21:21">
      <c r="U1030" s="64"/>
    </row>
    <row r="1031" spans="21:21">
      <c r="U1031" s="64"/>
    </row>
    <row r="1032" spans="21:21">
      <c r="U1032" s="64"/>
    </row>
    <row r="1033" spans="21:21">
      <c r="U1033" s="64"/>
    </row>
    <row r="1034" spans="21:21">
      <c r="U1034" s="64"/>
    </row>
    <row r="1035" spans="21:21">
      <c r="U1035" s="64"/>
    </row>
    <row r="1036" spans="21:21">
      <c r="U1036" s="64"/>
    </row>
    <row r="1037" spans="21:21">
      <c r="U1037" s="64"/>
    </row>
    <row r="1038" spans="21:21">
      <c r="U1038" s="64"/>
    </row>
    <row r="1039" spans="21:21">
      <c r="U1039" s="64"/>
    </row>
    <row r="1040" spans="21:21">
      <c r="U1040" s="64"/>
    </row>
    <row r="1041" spans="21:21">
      <c r="U1041" s="64"/>
    </row>
    <row r="1042" spans="21:21">
      <c r="U1042" s="64"/>
    </row>
    <row r="1043" spans="21:21">
      <c r="U1043" s="64"/>
    </row>
    <row r="1044" spans="21:21">
      <c r="U1044" s="64"/>
    </row>
    <row r="1045" spans="21:21">
      <c r="U1045" s="64"/>
    </row>
    <row r="1046" spans="21:21">
      <c r="U1046" s="64"/>
    </row>
    <row r="1047" spans="21:21">
      <c r="U1047" s="64"/>
    </row>
    <row r="1048" spans="21:21">
      <c r="U1048" s="64"/>
    </row>
    <row r="1049" spans="21:21">
      <c r="U1049" s="64"/>
    </row>
    <row r="1050" spans="21:21">
      <c r="U1050" s="64"/>
    </row>
    <row r="1051" spans="21:21">
      <c r="U1051" s="64"/>
    </row>
    <row r="1052" spans="21:21">
      <c r="U1052" s="64"/>
    </row>
    <row r="1053" spans="21:21">
      <c r="U1053" s="64"/>
    </row>
    <row r="1054" spans="21:21">
      <c r="U1054" s="64"/>
    </row>
    <row r="1055" spans="21:21">
      <c r="U1055" s="64"/>
    </row>
    <row r="1056" spans="21:21">
      <c r="U1056" s="64"/>
    </row>
    <row r="1057" spans="21:21">
      <c r="U1057" s="64"/>
    </row>
    <row r="1058" spans="21:21">
      <c r="U1058" s="64"/>
    </row>
    <row r="1059" spans="21:21">
      <c r="U1059" s="64"/>
    </row>
    <row r="1060" spans="21:21">
      <c r="U1060" s="64"/>
    </row>
    <row r="1061" spans="21:21">
      <c r="U1061" s="64"/>
    </row>
    <row r="1062" spans="21:21">
      <c r="U1062" s="64"/>
    </row>
    <row r="1063" spans="21:21">
      <c r="U1063" s="64"/>
    </row>
    <row r="1064" spans="21:21">
      <c r="U1064" s="64"/>
    </row>
    <row r="1065" spans="21:21">
      <c r="U1065" s="64"/>
    </row>
    <row r="1066" spans="21:21">
      <c r="U1066" s="64"/>
    </row>
    <row r="1067" spans="21:21">
      <c r="U1067" s="64"/>
    </row>
    <row r="1068" spans="21:21">
      <c r="U1068" s="64"/>
    </row>
    <row r="1069" spans="21:21">
      <c r="U1069" s="64"/>
    </row>
    <row r="1070" spans="21:21">
      <c r="U1070" s="64"/>
    </row>
    <row r="1071" spans="21:21">
      <c r="U1071" s="64"/>
    </row>
    <row r="1072" spans="21:21">
      <c r="U1072" s="64"/>
    </row>
    <row r="1073" spans="21:21">
      <c r="U1073" s="64"/>
    </row>
    <row r="1074" spans="21:21">
      <c r="U1074" s="64"/>
    </row>
    <row r="1075" spans="21:21">
      <c r="U1075" s="64"/>
    </row>
    <row r="1076" spans="21:21">
      <c r="U1076" s="64"/>
    </row>
    <row r="1077" spans="21:21">
      <c r="U1077" s="64"/>
    </row>
    <row r="1078" spans="21:21">
      <c r="U1078" s="64"/>
    </row>
    <row r="1079" spans="21:21">
      <c r="U1079" s="64"/>
    </row>
    <row r="1080" spans="21:21">
      <c r="U1080" s="64"/>
    </row>
    <row r="1081" spans="21:21">
      <c r="U1081" s="64"/>
    </row>
    <row r="1082" spans="21:21">
      <c r="U1082" s="64"/>
    </row>
    <row r="1083" spans="21:21">
      <c r="U1083" s="64"/>
    </row>
    <row r="1084" spans="21:21">
      <c r="U1084" s="64"/>
    </row>
    <row r="1085" spans="21:21">
      <c r="U1085" s="64"/>
    </row>
    <row r="1086" spans="21:21">
      <c r="U1086" s="64"/>
    </row>
    <row r="1087" spans="21:21">
      <c r="U1087" s="64"/>
    </row>
    <row r="1088" spans="21:21">
      <c r="U1088" s="64"/>
    </row>
    <row r="1089" spans="21:21">
      <c r="U1089" s="64"/>
    </row>
    <row r="1090" spans="21:21">
      <c r="U1090" s="64"/>
    </row>
    <row r="1091" spans="21:21">
      <c r="U1091" s="64"/>
    </row>
    <row r="1092" spans="21:21">
      <c r="U1092" s="64"/>
    </row>
    <row r="1093" spans="21:21">
      <c r="U1093" s="64"/>
    </row>
    <row r="1094" spans="21:21">
      <c r="U1094" s="64"/>
    </row>
    <row r="1095" spans="21:21">
      <c r="U1095" s="64"/>
    </row>
    <row r="1096" spans="21:21">
      <c r="U1096" s="64"/>
    </row>
    <row r="1097" spans="21:21">
      <c r="U1097" s="64"/>
    </row>
    <row r="1098" spans="21:21">
      <c r="U1098" s="64"/>
    </row>
    <row r="1099" spans="21:21">
      <c r="U1099" s="64"/>
    </row>
    <row r="1100" spans="21:21">
      <c r="U1100" s="64"/>
    </row>
    <row r="1101" spans="21:21">
      <c r="U1101" s="64"/>
    </row>
    <row r="1102" spans="21:21">
      <c r="U1102" s="64"/>
    </row>
    <row r="1103" spans="21:21">
      <c r="U1103" s="64"/>
    </row>
    <row r="1104" spans="21:21">
      <c r="U1104" s="64"/>
    </row>
    <row r="1105" spans="21:21">
      <c r="U1105" s="64"/>
    </row>
    <row r="1106" spans="21:21">
      <c r="U1106" s="64"/>
    </row>
    <row r="1107" spans="21:21">
      <c r="U1107" s="64"/>
    </row>
    <row r="1108" spans="21:21">
      <c r="U1108" s="64"/>
    </row>
    <row r="1109" spans="21:21">
      <c r="U1109" s="64"/>
    </row>
    <row r="1110" spans="21:21">
      <c r="U1110" s="64"/>
    </row>
    <row r="1111" spans="21:21">
      <c r="U1111" s="64"/>
    </row>
    <row r="1112" spans="21:21">
      <c r="U1112" s="64"/>
    </row>
    <row r="1113" spans="21:21">
      <c r="U1113" s="64"/>
    </row>
    <row r="1114" spans="21:21">
      <c r="U1114" s="64"/>
    </row>
    <row r="1115" spans="21:21">
      <c r="U1115" s="64"/>
    </row>
    <row r="1116" spans="21:21">
      <c r="U1116" s="64"/>
    </row>
    <row r="1117" spans="21:21">
      <c r="U1117" s="64"/>
    </row>
    <row r="1118" spans="21:21">
      <c r="U1118" s="64"/>
    </row>
    <row r="1119" spans="21:21">
      <c r="U1119" s="64"/>
    </row>
    <row r="1120" spans="21:21">
      <c r="U1120" s="64"/>
    </row>
    <row r="1121" spans="21:21">
      <c r="U1121" s="64"/>
    </row>
    <row r="1122" spans="21:21">
      <c r="U1122" s="64"/>
    </row>
    <row r="1123" spans="21:21">
      <c r="U1123" s="64"/>
    </row>
    <row r="1124" spans="21:21">
      <c r="U1124" s="64"/>
    </row>
    <row r="1125" spans="21:21">
      <c r="U1125" s="64"/>
    </row>
    <row r="1126" spans="21:21">
      <c r="U1126" s="64"/>
    </row>
    <row r="1127" spans="21:21">
      <c r="U1127" s="64"/>
    </row>
    <row r="1128" spans="21:21">
      <c r="U1128" s="64"/>
    </row>
    <row r="1129" spans="21:21">
      <c r="U1129" s="64"/>
    </row>
    <row r="1130" spans="21:21">
      <c r="U1130" s="64"/>
    </row>
    <row r="1131" spans="21:21">
      <c r="U1131" s="64"/>
    </row>
    <row r="1132" spans="21:21">
      <c r="U1132" s="64"/>
    </row>
    <row r="1133" spans="21:21">
      <c r="U1133" s="64"/>
    </row>
    <row r="1134" spans="21:21">
      <c r="U1134" s="64"/>
    </row>
    <row r="1135" spans="21:21">
      <c r="U1135" s="64"/>
    </row>
    <row r="1136" spans="21:21">
      <c r="U1136" s="64"/>
    </row>
    <row r="1137" spans="21:21">
      <c r="U1137" s="64"/>
    </row>
    <row r="1138" spans="21:21">
      <c r="U1138" s="64"/>
    </row>
    <row r="1139" spans="21:21">
      <c r="U1139" s="64"/>
    </row>
    <row r="1140" spans="21:21">
      <c r="U1140" s="64"/>
    </row>
    <row r="1141" spans="21:21">
      <c r="U1141" s="64"/>
    </row>
    <row r="1142" spans="21:21">
      <c r="U1142" s="64"/>
    </row>
    <row r="1143" spans="21:21">
      <c r="U1143" s="64"/>
    </row>
    <row r="1144" spans="21:21">
      <c r="U1144" s="64"/>
    </row>
    <row r="1145" spans="21:21">
      <c r="U1145" s="64"/>
    </row>
    <row r="1146" spans="21:21">
      <c r="U1146" s="64"/>
    </row>
    <row r="1147" spans="21:21">
      <c r="U1147" s="64"/>
    </row>
    <row r="1148" spans="21:21">
      <c r="U1148" s="64"/>
    </row>
    <row r="1149" spans="21:21">
      <c r="U1149" s="64"/>
    </row>
    <row r="1150" spans="21:21">
      <c r="U1150" s="64"/>
    </row>
    <row r="1151" spans="21:21">
      <c r="U1151" s="64"/>
    </row>
    <row r="1152" spans="21:21">
      <c r="U1152" s="64"/>
    </row>
    <row r="1153" spans="21:21">
      <c r="U1153" s="64"/>
    </row>
    <row r="1154" spans="21:21">
      <c r="U1154" s="64"/>
    </row>
    <row r="1155" spans="21:21">
      <c r="U1155" s="64"/>
    </row>
    <row r="1156" spans="21:21">
      <c r="U1156" s="64"/>
    </row>
    <row r="1157" spans="21:21">
      <c r="U1157" s="64"/>
    </row>
    <row r="1158" spans="21:21">
      <c r="U1158" s="64"/>
    </row>
    <row r="1159" spans="21:21">
      <c r="U1159" s="64"/>
    </row>
    <row r="1160" spans="21:21">
      <c r="U1160" s="64"/>
    </row>
    <row r="1161" spans="21:21">
      <c r="U1161" s="64"/>
    </row>
    <row r="1162" spans="21:21">
      <c r="U1162" s="64"/>
    </row>
    <row r="1163" spans="21:21">
      <c r="U1163" s="64"/>
    </row>
    <row r="1164" spans="21:21">
      <c r="U1164" s="64"/>
    </row>
    <row r="1165" spans="21:21">
      <c r="U1165" s="64"/>
    </row>
    <row r="1166" spans="21:21">
      <c r="U1166" s="64"/>
    </row>
    <row r="1167" spans="21:21">
      <c r="U1167" s="64"/>
    </row>
    <row r="1168" spans="21:21">
      <c r="U1168" s="64"/>
    </row>
    <row r="1169" spans="21:21">
      <c r="U1169" s="64"/>
    </row>
    <row r="1170" spans="21:21">
      <c r="U1170" s="64"/>
    </row>
    <row r="1171" spans="21:21">
      <c r="U1171" s="64"/>
    </row>
    <row r="1172" spans="21:21">
      <c r="U1172" s="64"/>
    </row>
    <row r="1173" spans="21:21">
      <c r="U1173" s="64"/>
    </row>
    <row r="1174" spans="21:21">
      <c r="U1174" s="64"/>
    </row>
    <row r="1175" spans="21:21">
      <c r="U1175" s="64"/>
    </row>
    <row r="1176" spans="21:21">
      <c r="U1176" s="64"/>
    </row>
    <row r="1177" spans="21:21">
      <c r="U1177" s="64"/>
    </row>
    <row r="1178" spans="21:21">
      <c r="U1178" s="64"/>
    </row>
    <row r="1179" spans="21:21">
      <c r="U1179" s="64"/>
    </row>
    <row r="1180" spans="21:21">
      <c r="U1180" s="64"/>
    </row>
    <row r="1181" spans="21:21">
      <c r="U1181" s="64"/>
    </row>
    <row r="1182" spans="21:21">
      <c r="U1182" s="64"/>
    </row>
    <row r="1183" spans="21:21">
      <c r="U1183" s="64"/>
    </row>
    <row r="1184" spans="21:21">
      <c r="U1184" s="64"/>
    </row>
    <row r="1185" spans="21:21">
      <c r="U1185" s="64"/>
    </row>
    <row r="1186" spans="21:21">
      <c r="U1186" s="64"/>
    </row>
    <row r="1187" spans="21:21">
      <c r="U1187" s="64"/>
    </row>
    <row r="1188" spans="21:21">
      <c r="U1188" s="64"/>
    </row>
    <row r="1189" spans="21:21">
      <c r="U1189" s="64"/>
    </row>
    <row r="1190" spans="21:21">
      <c r="U1190" s="64"/>
    </row>
    <row r="1191" spans="21:21">
      <c r="U1191" s="64"/>
    </row>
    <row r="1192" spans="21:21">
      <c r="U1192" s="64"/>
    </row>
    <row r="1193" spans="21:21">
      <c r="U1193" s="64"/>
    </row>
    <row r="1194" spans="21:21">
      <c r="U1194" s="64"/>
    </row>
    <row r="1195" spans="21:21">
      <c r="U1195" s="64"/>
    </row>
    <row r="1196" spans="21:21">
      <c r="U1196" s="64"/>
    </row>
    <row r="1197" spans="21:21">
      <c r="U1197" s="64"/>
    </row>
    <row r="1198" spans="21:21">
      <c r="U1198" s="64"/>
    </row>
    <row r="1199" spans="21:21">
      <c r="U1199" s="64"/>
    </row>
    <row r="1200" spans="21:21">
      <c r="U1200" s="64"/>
    </row>
    <row r="1201" spans="21:21">
      <c r="U1201" s="64"/>
    </row>
    <row r="1202" spans="21:21">
      <c r="U1202" s="64"/>
    </row>
    <row r="1203" spans="21:21">
      <c r="U1203" s="64"/>
    </row>
    <row r="1204" spans="21:21">
      <c r="U1204" s="64"/>
    </row>
    <row r="1205" spans="21:21">
      <c r="U1205" s="64"/>
    </row>
    <row r="1206" spans="21:21">
      <c r="U1206" s="64"/>
    </row>
    <row r="1207" spans="21:21">
      <c r="U1207" s="64"/>
    </row>
    <row r="1208" spans="21:21">
      <c r="U1208" s="64"/>
    </row>
    <row r="1209" spans="21:21">
      <c r="U1209" s="64"/>
    </row>
    <row r="1210" spans="21:21">
      <c r="U1210" s="64"/>
    </row>
    <row r="1211" spans="21:21">
      <c r="U1211" s="64"/>
    </row>
    <row r="1212" spans="21:21">
      <c r="U1212" s="64"/>
    </row>
    <row r="1213" spans="21:21">
      <c r="U1213" s="64"/>
    </row>
    <row r="1214" spans="21:21">
      <c r="U1214" s="64"/>
    </row>
    <row r="1215" spans="21:21">
      <c r="U1215" s="64"/>
    </row>
    <row r="1216" spans="21:21">
      <c r="U1216" s="64"/>
    </row>
    <row r="1217" spans="21:21">
      <c r="U1217" s="64"/>
    </row>
    <row r="1218" spans="21:21">
      <c r="U1218" s="64"/>
    </row>
    <row r="1219" spans="21:21">
      <c r="U1219" s="64"/>
    </row>
    <row r="1220" spans="21:21">
      <c r="U1220" s="64"/>
    </row>
    <row r="1221" spans="21:21">
      <c r="U1221" s="64"/>
    </row>
    <row r="1222" spans="21:21">
      <c r="U1222" s="64"/>
    </row>
    <row r="1223" spans="21:21">
      <c r="U1223" s="64"/>
    </row>
    <row r="1224" spans="21:21">
      <c r="U1224" s="64"/>
    </row>
    <row r="1225" spans="21:21">
      <c r="U1225" s="64"/>
    </row>
    <row r="1226" spans="21:21">
      <c r="U1226" s="64"/>
    </row>
    <row r="1227" spans="21:21">
      <c r="U1227" s="64"/>
    </row>
    <row r="1228" spans="21:21">
      <c r="U1228" s="64"/>
    </row>
    <row r="1229" spans="21:21">
      <c r="U1229" s="64"/>
    </row>
    <row r="1230" spans="21:21">
      <c r="U1230" s="64"/>
    </row>
    <row r="1231" spans="21:21">
      <c r="U1231" s="64"/>
    </row>
    <row r="1232" spans="21:21">
      <c r="U1232" s="64"/>
    </row>
    <row r="1233" spans="21:21">
      <c r="U1233" s="64"/>
    </row>
    <row r="1234" spans="21:21">
      <c r="U1234" s="64"/>
    </row>
    <row r="1235" spans="21:21">
      <c r="U1235" s="64"/>
    </row>
    <row r="1236" spans="21:21">
      <c r="U1236" s="64"/>
    </row>
    <row r="1237" spans="21:21">
      <c r="U1237" s="64"/>
    </row>
    <row r="1238" spans="21:21">
      <c r="U1238" s="64"/>
    </row>
    <row r="1239" spans="21:21">
      <c r="U1239" s="64"/>
    </row>
    <row r="1240" spans="21:21">
      <c r="U1240" s="64"/>
    </row>
    <row r="1241" spans="21:21">
      <c r="U1241" s="64"/>
    </row>
    <row r="1242" spans="21:21">
      <c r="U1242" s="64"/>
    </row>
    <row r="1243" spans="21:21">
      <c r="U1243" s="64"/>
    </row>
    <row r="1244" spans="21:21">
      <c r="U1244" s="64"/>
    </row>
    <row r="1245" spans="21:21">
      <c r="U1245" s="64"/>
    </row>
    <row r="1246" spans="21:21">
      <c r="U1246" s="64"/>
    </row>
    <row r="1247" spans="21:21">
      <c r="U1247" s="64"/>
    </row>
    <row r="1248" spans="21:21">
      <c r="U1248" s="64"/>
    </row>
    <row r="1249" spans="21:21">
      <c r="U1249" s="64"/>
    </row>
    <row r="1250" spans="21:21">
      <c r="U1250" s="64"/>
    </row>
    <row r="1251" spans="21:21">
      <c r="U1251" s="64"/>
    </row>
    <row r="1252" spans="21:21">
      <c r="U1252" s="64"/>
    </row>
    <row r="1253" spans="21:21">
      <c r="U1253" s="64"/>
    </row>
    <row r="1254" spans="21:21">
      <c r="U1254" s="64"/>
    </row>
    <row r="1255" spans="21:21">
      <c r="U1255" s="64"/>
    </row>
    <row r="1256" spans="21:21">
      <c r="U1256" s="64"/>
    </row>
    <row r="1257" spans="21:21">
      <c r="U1257" s="64"/>
    </row>
    <row r="1258" spans="21:21">
      <c r="U1258" s="64"/>
    </row>
    <row r="1259" spans="21:21">
      <c r="U1259" s="64"/>
    </row>
    <row r="1260" spans="21:21">
      <c r="U1260" s="64"/>
    </row>
    <row r="1261" spans="21:21">
      <c r="U1261" s="64"/>
    </row>
    <row r="1262" spans="21:21">
      <c r="U1262" s="64"/>
    </row>
    <row r="1263" spans="21:21">
      <c r="U1263" s="64"/>
    </row>
    <row r="1264" spans="21:21">
      <c r="U1264" s="64"/>
    </row>
    <row r="1265" spans="21:21">
      <c r="U1265" s="64"/>
    </row>
    <row r="1266" spans="21:21">
      <c r="U1266" s="64"/>
    </row>
    <row r="1267" spans="21:21">
      <c r="U1267" s="64"/>
    </row>
    <row r="1268" spans="21:21">
      <c r="U1268" s="64"/>
    </row>
    <row r="1269" spans="21:21">
      <c r="U1269" s="64"/>
    </row>
    <row r="1270" spans="21:21">
      <c r="U1270" s="64"/>
    </row>
    <row r="1271" spans="21:21">
      <c r="U1271" s="64"/>
    </row>
    <row r="1272" spans="21:21">
      <c r="U1272" s="64"/>
    </row>
    <row r="1273" spans="21:21">
      <c r="U1273" s="64"/>
    </row>
    <row r="1274" spans="21:21">
      <c r="U1274" s="64"/>
    </row>
    <row r="1275" spans="21:21">
      <c r="U1275" s="64"/>
    </row>
    <row r="1276" spans="21:21">
      <c r="U1276" s="64"/>
    </row>
    <row r="1277" spans="21:21">
      <c r="U1277" s="64"/>
    </row>
    <row r="1278" spans="21:21">
      <c r="U1278" s="64"/>
    </row>
    <row r="1279" spans="21:21">
      <c r="U1279" s="64"/>
    </row>
    <row r="1280" spans="21:21">
      <c r="U1280" s="64"/>
    </row>
    <row r="1281" spans="21:21">
      <c r="U1281" s="64"/>
    </row>
    <row r="1282" spans="21:21">
      <c r="U1282" s="64"/>
    </row>
    <row r="1283" spans="21:21">
      <c r="U1283" s="64"/>
    </row>
    <row r="1284" spans="21:21">
      <c r="U1284" s="64"/>
    </row>
    <row r="1285" spans="21:21">
      <c r="U1285" s="64"/>
    </row>
    <row r="1286" spans="21:21">
      <c r="U1286" s="64"/>
    </row>
    <row r="1287" spans="21:21">
      <c r="U1287" s="64"/>
    </row>
    <row r="1288" spans="21:21">
      <c r="U1288" s="64"/>
    </row>
    <row r="1289" spans="21:21">
      <c r="U1289" s="64"/>
    </row>
    <row r="1290" spans="21:21">
      <c r="U1290" s="64"/>
    </row>
    <row r="1291" spans="21:21">
      <c r="U1291" s="64"/>
    </row>
    <row r="1292" spans="21:21">
      <c r="U1292" s="64"/>
    </row>
    <row r="1293" spans="21:21">
      <c r="U1293" s="64"/>
    </row>
    <row r="1294" spans="21:21">
      <c r="U1294" s="64"/>
    </row>
    <row r="1295" spans="21:21">
      <c r="U1295" s="64"/>
    </row>
    <row r="1296" spans="21:21">
      <c r="U1296" s="64"/>
    </row>
    <row r="1297" spans="21:21">
      <c r="U1297" s="64"/>
    </row>
    <row r="1298" spans="21:21">
      <c r="U1298" s="64"/>
    </row>
    <row r="1299" spans="21:21">
      <c r="U1299" s="64"/>
    </row>
    <row r="1300" spans="21:21">
      <c r="U1300" s="64"/>
    </row>
    <row r="1301" spans="21:21">
      <c r="U1301" s="64"/>
    </row>
    <row r="1302" spans="21:21">
      <c r="U1302" s="64"/>
    </row>
    <row r="1303" spans="21:21">
      <c r="U1303" s="64"/>
    </row>
    <row r="1304" spans="21:21">
      <c r="U1304" s="64"/>
    </row>
    <row r="1305" spans="21:21">
      <c r="U1305" s="64"/>
    </row>
    <row r="1306" spans="21:21">
      <c r="U1306" s="64"/>
    </row>
    <row r="1307" spans="21:21">
      <c r="U1307" s="64"/>
    </row>
    <row r="1308" spans="21:21">
      <c r="U1308" s="64"/>
    </row>
    <row r="1309" spans="21:21">
      <c r="U1309" s="64"/>
    </row>
    <row r="1310" spans="21:21">
      <c r="U1310" s="64"/>
    </row>
    <row r="1311" spans="21:21">
      <c r="U1311" s="64"/>
    </row>
    <row r="1312" spans="21:21">
      <c r="U1312" s="64"/>
    </row>
    <row r="1313" spans="21:21">
      <c r="U1313" s="64"/>
    </row>
    <row r="1314" spans="21:21">
      <c r="U1314" s="64"/>
    </row>
    <row r="1315" spans="21:21">
      <c r="U1315" s="64"/>
    </row>
    <row r="1316" spans="21:21">
      <c r="U1316" s="64"/>
    </row>
    <row r="1317" spans="21:21">
      <c r="U1317" s="64"/>
    </row>
    <row r="1318" spans="21:21">
      <c r="U1318" s="64"/>
    </row>
    <row r="1319" spans="21:21">
      <c r="U1319" s="64"/>
    </row>
    <row r="1320" spans="21:21">
      <c r="U1320" s="64"/>
    </row>
    <row r="1321" spans="21:21">
      <c r="U1321" s="64"/>
    </row>
    <row r="1322" spans="21:21">
      <c r="U1322" s="64"/>
    </row>
    <row r="1323" spans="21:21">
      <c r="U1323" s="64"/>
    </row>
    <row r="1324" spans="21:21">
      <c r="U1324" s="64"/>
    </row>
    <row r="1325" spans="21:21">
      <c r="U1325" s="64"/>
    </row>
    <row r="1326" spans="21:21">
      <c r="U1326" s="64"/>
    </row>
    <row r="1327" spans="21:21">
      <c r="U1327" s="64"/>
    </row>
    <row r="1328" spans="21:21">
      <c r="U1328" s="64"/>
    </row>
    <row r="1329" spans="21:21">
      <c r="U1329" s="64"/>
    </row>
    <row r="1330" spans="21:21">
      <c r="U1330" s="64"/>
    </row>
    <row r="1331" spans="21:21">
      <c r="U1331" s="64"/>
    </row>
    <row r="1332" spans="21:21">
      <c r="U1332" s="64"/>
    </row>
    <row r="1333" spans="21:21">
      <c r="U1333" s="64"/>
    </row>
    <row r="1334" spans="21:21">
      <c r="U1334" s="64"/>
    </row>
    <row r="1335" spans="21:21">
      <c r="U1335" s="64"/>
    </row>
    <row r="1336" spans="21:21">
      <c r="U1336" s="64"/>
    </row>
    <row r="1337" spans="21:21">
      <c r="U1337" s="64"/>
    </row>
    <row r="1338" spans="21:21">
      <c r="U1338" s="64"/>
    </row>
    <row r="1339" spans="21:21">
      <c r="U1339" s="64"/>
    </row>
    <row r="1340" spans="21:21">
      <c r="U1340" s="64"/>
    </row>
    <row r="1341" spans="21:21">
      <c r="U1341" s="64"/>
    </row>
    <row r="1342" spans="21:21">
      <c r="U1342" s="64"/>
    </row>
    <row r="1343" spans="21:21">
      <c r="U1343" s="64"/>
    </row>
    <row r="1344" spans="21:21">
      <c r="U1344" s="64"/>
    </row>
    <row r="1345" spans="21:21">
      <c r="U1345" s="64"/>
    </row>
    <row r="1346" spans="21:21">
      <c r="U1346" s="64"/>
    </row>
    <row r="1347" spans="21:21">
      <c r="U1347" s="64"/>
    </row>
    <row r="1348" spans="21:21">
      <c r="U1348" s="64"/>
    </row>
    <row r="1349" spans="21:21">
      <c r="U1349" s="64"/>
    </row>
    <row r="1350" spans="21:21">
      <c r="U1350" s="64"/>
    </row>
    <row r="1351" spans="21:21">
      <c r="U1351" s="64"/>
    </row>
    <row r="1352" spans="21:21">
      <c r="U1352" s="64"/>
    </row>
    <row r="1353" spans="21:21">
      <c r="U1353" s="64"/>
    </row>
    <row r="1354" spans="21:21">
      <c r="U1354" s="64"/>
    </row>
    <row r="1355" spans="21:21">
      <c r="U1355" s="64"/>
    </row>
    <row r="1356" spans="21:21">
      <c r="U1356" s="64"/>
    </row>
    <row r="1357" spans="21:21">
      <c r="U1357" s="64"/>
    </row>
    <row r="1358" spans="21:21">
      <c r="U1358" s="64"/>
    </row>
    <row r="1359" spans="21:21">
      <c r="U1359" s="64"/>
    </row>
    <row r="1360" spans="21:21">
      <c r="U1360" s="64"/>
    </row>
    <row r="1361" spans="21:21">
      <c r="U1361" s="64"/>
    </row>
    <row r="1362" spans="21:21">
      <c r="U1362" s="64"/>
    </row>
    <row r="1363" spans="21:21">
      <c r="U1363" s="64"/>
    </row>
    <row r="1364" spans="21:21">
      <c r="U1364" s="64"/>
    </row>
    <row r="1365" spans="21:21">
      <c r="U1365" s="64"/>
    </row>
    <row r="1366" spans="21:21">
      <c r="U1366" s="64"/>
    </row>
    <row r="1367" spans="21:21">
      <c r="U1367" s="64"/>
    </row>
    <row r="1368" spans="21:21">
      <c r="U1368" s="64"/>
    </row>
    <row r="1369" spans="21:21">
      <c r="U1369" s="64"/>
    </row>
    <row r="1370" spans="21:21">
      <c r="U1370" s="64"/>
    </row>
    <row r="1371" spans="21:21">
      <c r="U1371" s="64"/>
    </row>
    <row r="1372" spans="21:21">
      <c r="U1372" s="64"/>
    </row>
    <row r="1373" spans="21:21">
      <c r="U1373" s="64"/>
    </row>
    <row r="1374" spans="21:21">
      <c r="U1374" s="64"/>
    </row>
    <row r="1375" spans="21:21">
      <c r="U1375" s="64"/>
    </row>
    <row r="1376" spans="21:21">
      <c r="U1376" s="64"/>
    </row>
    <row r="1377" spans="21:21">
      <c r="U1377" s="64"/>
    </row>
    <row r="1378" spans="21:21">
      <c r="U1378" s="64"/>
    </row>
    <row r="1379" spans="21:21">
      <c r="U1379" s="64"/>
    </row>
    <row r="1380" spans="21:21">
      <c r="U1380" s="64"/>
    </row>
    <row r="1381" spans="21:21">
      <c r="U1381" s="64"/>
    </row>
    <row r="1382" spans="21:21">
      <c r="U1382" s="64"/>
    </row>
    <row r="1383" spans="21:21">
      <c r="U1383" s="64"/>
    </row>
    <row r="1384" spans="21:21">
      <c r="U1384" s="64"/>
    </row>
    <row r="1385" spans="21:21">
      <c r="U1385" s="64"/>
    </row>
    <row r="1386" spans="21:21">
      <c r="U1386" s="64"/>
    </row>
    <row r="1387" spans="21:21">
      <c r="U1387" s="64"/>
    </row>
    <row r="1388" spans="21:21">
      <c r="U1388" s="64"/>
    </row>
    <row r="1389" spans="21:21">
      <c r="U1389" s="64"/>
    </row>
    <row r="1390" spans="21:21">
      <c r="U1390" s="64"/>
    </row>
    <row r="1391" spans="21:21">
      <c r="U1391" s="64"/>
    </row>
    <row r="1392" spans="21:21">
      <c r="U1392" s="64"/>
    </row>
    <row r="1393" spans="21:21">
      <c r="U1393" s="64"/>
    </row>
    <row r="1394" spans="21:21">
      <c r="U1394" s="64"/>
    </row>
    <row r="1395" spans="21:21">
      <c r="U1395" s="64"/>
    </row>
    <row r="1396" spans="21:21">
      <c r="U1396" s="64"/>
    </row>
    <row r="1397" spans="21:21">
      <c r="U1397" s="64"/>
    </row>
    <row r="1398" spans="21:21">
      <c r="U1398" s="64"/>
    </row>
    <row r="1399" spans="21:21">
      <c r="U1399" s="64"/>
    </row>
    <row r="1400" spans="21:21">
      <c r="U1400" s="64"/>
    </row>
    <row r="1401" spans="21:21">
      <c r="U1401" s="64"/>
    </row>
    <row r="1402" spans="21:21">
      <c r="U1402" s="64"/>
    </row>
    <row r="1403" spans="21:21">
      <c r="U1403" s="64"/>
    </row>
    <row r="1404" spans="21:21">
      <c r="U1404" s="64"/>
    </row>
    <row r="1405" spans="21:21">
      <c r="U1405" s="64"/>
    </row>
    <row r="1406" spans="21:21">
      <c r="U1406" s="64"/>
    </row>
    <row r="1407" spans="21:21">
      <c r="U1407" s="64"/>
    </row>
    <row r="1408" spans="21:21">
      <c r="U1408" s="64"/>
    </row>
    <row r="1409" spans="21:21">
      <c r="U1409" s="64"/>
    </row>
    <row r="1410" spans="21:21">
      <c r="U1410" s="64"/>
    </row>
    <row r="1411" spans="21:21">
      <c r="U1411" s="64"/>
    </row>
    <row r="1412" spans="21:21">
      <c r="U1412" s="64"/>
    </row>
    <row r="1413" spans="21:21">
      <c r="U1413" s="64"/>
    </row>
    <row r="1414" spans="21:21">
      <c r="U1414" s="64"/>
    </row>
    <row r="1415" spans="21:21">
      <c r="U1415" s="64"/>
    </row>
    <row r="1416" spans="21:21">
      <c r="U1416" s="64"/>
    </row>
    <row r="1417" spans="21:21">
      <c r="U1417" s="64"/>
    </row>
    <row r="1418" spans="21:21">
      <c r="U1418" s="64"/>
    </row>
    <row r="1419" spans="21:21">
      <c r="U1419" s="64"/>
    </row>
    <row r="1420" spans="21:21">
      <c r="U1420" s="64"/>
    </row>
    <row r="1421" spans="21:21">
      <c r="U1421" s="64"/>
    </row>
    <row r="1422" spans="21:21">
      <c r="U1422" s="64"/>
    </row>
    <row r="1423" spans="21:21">
      <c r="U1423" s="64"/>
    </row>
    <row r="1424" spans="21:21">
      <c r="U1424" s="64"/>
    </row>
    <row r="1425" spans="21:21">
      <c r="U1425" s="64"/>
    </row>
    <row r="1426" spans="21:21">
      <c r="U1426" s="64"/>
    </row>
    <row r="1427" spans="21:21">
      <c r="U1427" s="64"/>
    </row>
    <row r="1428" spans="21:21">
      <c r="U1428" s="64"/>
    </row>
    <row r="1429" spans="21:21">
      <c r="U1429" s="64"/>
    </row>
    <row r="1430" spans="21:21">
      <c r="U1430" s="64"/>
    </row>
    <row r="1431" spans="21:21">
      <c r="U1431" s="64"/>
    </row>
    <row r="1432" spans="21:21">
      <c r="U1432" s="64"/>
    </row>
    <row r="1433" spans="21:21">
      <c r="U1433" s="64"/>
    </row>
    <row r="1434" spans="21:21">
      <c r="U1434" s="64"/>
    </row>
    <row r="1435" spans="21:21">
      <c r="U1435" s="64"/>
    </row>
    <row r="1436" spans="21:21">
      <c r="U1436" s="64"/>
    </row>
    <row r="1437" spans="21:21">
      <c r="U1437" s="64"/>
    </row>
    <row r="1438" spans="21:21">
      <c r="U1438" s="64"/>
    </row>
    <row r="1439" spans="21:21">
      <c r="U1439" s="64"/>
    </row>
    <row r="1440" spans="21:21">
      <c r="U1440" s="64"/>
    </row>
    <row r="1441" spans="21:21">
      <c r="U1441" s="64"/>
    </row>
    <row r="1442" spans="21:21">
      <c r="U1442" s="64"/>
    </row>
    <row r="1443" spans="21:21">
      <c r="U1443" s="64"/>
    </row>
    <row r="1444" spans="21:21">
      <c r="U1444" s="64"/>
    </row>
    <row r="1445" spans="21:21">
      <c r="U1445" s="64"/>
    </row>
    <row r="1446" spans="21:21">
      <c r="U1446" s="64"/>
    </row>
    <row r="1447" spans="21:21">
      <c r="U1447" s="64"/>
    </row>
    <row r="1448" spans="21:21">
      <c r="U1448" s="64"/>
    </row>
    <row r="1449" spans="21:21">
      <c r="U1449" s="64"/>
    </row>
    <row r="1450" spans="21:21">
      <c r="U1450" s="64"/>
    </row>
    <row r="1451" spans="21:21">
      <c r="U1451" s="64"/>
    </row>
    <row r="1452" spans="21:21">
      <c r="U1452" s="64"/>
    </row>
    <row r="1453" spans="21:21">
      <c r="U1453" s="64"/>
    </row>
    <row r="1454" spans="21:21">
      <c r="U1454" s="64"/>
    </row>
    <row r="1455" spans="21:21">
      <c r="U1455" s="64"/>
    </row>
    <row r="1456" spans="21:21">
      <c r="U1456" s="64"/>
    </row>
    <row r="1457" spans="21:21">
      <c r="U1457" s="64"/>
    </row>
    <row r="1458" spans="21:21">
      <c r="U1458" s="64"/>
    </row>
    <row r="1459" spans="21:21">
      <c r="U1459" s="64"/>
    </row>
    <row r="1460" spans="21:21">
      <c r="U1460" s="64"/>
    </row>
    <row r="1461" spans="21:21">
      <c r="U1461" s="64"/>
    </row>
    <row r="1462" spans="21:21">
      <c r="U1462" s="64"/>
    </row>
    <row r="1463" spans="21:21">
      <c r="U1463" s="64"/>
    </row>
    <row r="1464" spans="21:21">
      <c r="U1464" s="64"/>
    </row>
    <row r="1465" spans="21:21">
      <c r="U1465" s="64"/>
    </row>
    <row r="1466" spans="21:21">
      <c r="U1466" s="64"/>
    </row>
    <row r="1467" spans="21:21">
      <c r="U1467" s="64"/>
    </row>
    <row r="1468" spans="21:21">
      <c r="U1468" s="64"/>
    </row>
    <row r="1469" spans="21:21">
      <c r="U1469" s="64"/>
    </row>
    <row r="1470" spans="21:21">
      <c r="U1470" s="64"/>
    </row>
    <row r="1471" spans="21:21">
      <c r="U1471" s="64"/>
    </row>
    <row r="1472" spans="21:21">
      <c r="U1472" s="64"/>
    </row>
    <row r="1473" spans="21:21">
      <c r="U1473" s="64"/>
    </row>
    <row r="1474" spans="21:21">
      <c r="U1474" s="64"/>
    </row>
    <row r="1475" spans="21:21">
      <c r="U1475" s="64"/>
    </row>
    <row r="1476" spans="21:21">
      <c r="U1476" s="64"/>
    </row>
    <row r="1477" spans="21:21">
      <c r="U1477" s="64"/>
    </row>
    <row r="1478" spans="21:21">
      <c r="U1478" s="64"/>
    </row>
    <row r="1479" spans="21:21">
      <c r="U1479" s="64"/>
    </row>
    <row r="1480" spans="21:21">
      <c r="U1480" s="64"/>
    </row>
    <row r="1481" spans="21:21">
      <c r="U1481" s="64"/>
    </row>
    <row r="1482" spans="21:21">
      <c r="U1482" s="64"/>
    </row>
    <row r="1483" spans="21:21">
      <c r="U1483" s="64"/>
    </row>
    <row r="1484" spans="21:21">
      <c r="U1484" s="64"/>
    </row>
    <row r="1485" spans="21:21">
      <c r="U1485" s="64"/>
    </row>
    <row r="1486" spans="21:21">
      <c r="U1486" s="64"/>
    </row>
    <row r="1487" spans="21:21">
      <c r="U1487" s="64"/>
    </row>
    <row r="1488" spans="21:21">
      <c r="U1488" s="64"/>
    </row>
    <row r="1489" spans="21:21">
      <c r="U1489" s="64"/>
    </row>
    <row r="1490" spans="21:21">
      <c r="U1490" s="64"/>
    </row>
    <row r="1491" spans="21:21">
      <c r="U1491" s="64"/>
    </row>
    <row r="1492" spans="21:21">
      <c r="U1492" s="64"/>
    </row>
    <row r="1493" spans="21:21">
      <c r="U1493" s="64"/>
    </row>
    <row r="1494" spans="21:21">
      <c r="U1494" s="64"/>
    </row>
    <row r="1495" spans="21:21">
      <c r="U1495" s="64"/>
    </row>
    <row r="1496" spans="21:21">
      <c r="U1496" s="64"/>
    </row>
    <row r="1497" spans="21:21">
      <c r="U1497" s="64"/>
    </row>
    <row r="1498" spans="21:21">
      <c r="U1498" s="64"/>
    </row>
    <row r="1499" spans="21:21">
      <c r="U1499" s="64"/>
    </row>
    <row r="1500" spans="21:21">
      <c r="U1500" s="64"/>
    </row>
    <row r="1501" spans="21:21">
      <c r="U1501" s="64"/>
    </row>
    <row r="1502" spans="21:21">
      <c r="U1502" s="64"/>
    </row>
    <row r="1503" spans="21:21">
      <c r="U1503" s="64"/>
    </row>
    <row r="1504" spans="21:21">
      <c r="U1504" s="64"/>
    </row>
    <row r="1505" spans="21:21">
      <c r="U1505" s="64"/>
    </row>
    <row r="1506" spans="21:21">
      <c r="U1506" s="64"/>
    </row>
    <row r="1507" spans="21:21">
      <c r="U1507" s="64"/>
    </row>
    <row r="1508" spans="21:21">
      <c r="U1508" s="64"/>
    </row>
    <row r="1509" spans="21:21">
      <c r="U1509" s="64"/>
    </row>
    <row r="1510" spans="21:21">
      <c r="U1510" s="64"/>
    </row>
    <row r="1511" spans="21:21">
      <c r="U1511" s="64"/>
    </row>
    <row r="1512" spans="21:21">
      <c r="U1512" s="64"/>
    </row>
    <row r="1513" spans="21:21">
      <c r="U1513" s="64"/>
    </row>
    <row r="1514" spans="21:21">
      <c r="U1514" s="64"/>
    </row>
    <row r="1515" spans="21:21">
      <c r="U1515" s="64"/>
    </row>
    <row r="1516" spans="21:21">
      <c r="U1516" s="64"/>
    </row>
    <row r="1517" spans="21:21">
      <c r="U1517" s="64"/>
    </row>
    <row r="1518" spans="21:21">
      <c r="U1518" s="64"/>
    </row>
    <row r="1519" spans="21:21">
      <c r="U1519" s="64"/>
    </row>
    <row r="1520" spans="21:21">
      <c r="U1520" s="64"/>
    </row>
    <row r="1521" spans="21:21">
      <c r="U1521" s="64"/>
    </row>
    <row r="1522" spans="21:21">
      <c r="U1522" s="64"/>
    </row>
    <row r="1523" spans="21:21">
      <c r="U1523" s="64"/>
    </row>
    <row r="1524" spans="21:21">
      <c r="U1524" s="64"/>
    </row>
    <row r="1525" spans="21:21">
      <c r="U1525" s="64"/>
    </row>
    <row r="1526" spans="21:21">
      <c r="U1526" s="64"/>
    </row>
    <row r="1527" spans="21:21">
      <c r="U1527" s="64"/>
    </row>
    <row r="1528" spans="21:21">
      <c r="U1528" s="64"/>
    </row>
    <row r="1529" spans="21:21">
      <c r="U1529" s="64"/>
    </row>
    <row r="1530" spans="21:21">
      <c r="U1530" s="64"/>
    </row>
    <row r="1531" spans="21:21">
      <c r="U1531" s="64"/>
    </row>
    <row r="1532" spans="21:21">
      <c r="U1532" s="64"/>
    </row>
    <row r="1533" spans="21:21">
      <c r="U1533" s="64"/>
    </row>
    <row r="1534" spans="21:21">
      <c r="U1534" s="64"/>
    </row>
    <row r="1535" spans="21:21">
      <c r="U1535" s="64"/>
    </row>
    <row r="1536" spans="21:21">
      <c r="U1536" s="64"/>
    </row>
    <row r="1537" spans="21:21">
      <c r="U1537" s="64"/>
    </row>
    <row r="1538" spans="21:21">
      <c r="U1538" s="64"/>
    </row>
    <row r="1539" spans="21:21">
      <c r="U1539" s="64"/>
    </row>
    <row r="1540" spans="21:21">
      <c r="U1540" s="64"/>
    </row>
    <row r="1541" spans="21:21">
      <c r="U1541" s="64"/>
    </row>
    <row r="1542" spans="21:21">
      <c r="U1542" s="64"/>
    </row>
    <row r="1543" spans="21:21">
      <c r="U1543" s="64"/>
    </row>
    <row r="1544" spans="21:21">
      <c r="U1544" s="64"/>
    </row>
    <row r="1545" spans="21:21">
      <c r="U1545" s="64"/>
    </row>
    <row r="1546" spans="21:21">
      <c r="U1546" s="64"/>
    </row>
    <row r="1547" spans="21:21">
      <c r="U1547" s="64"/>
    </row>
    <row r="1548" spans="21:21">
      <c r="U1548" s="64"/>
    </row>
    <row r="1549" spans="21:21">
      <c r="U1549" s="64"/>
    </row>
    <row r="1550" spans="21:21">
      <c r="U1550" s="64"/>
    </row>
    <row r="1551" spans="21:21">
      <c r="U1551" s="64"/>
    </row>
    <row r="1552" spans="21:21">
      <c r="U1552" s="64"/>
    </row>
    <row r="1553" spans="21:21">
      <c r="U1553" s="64"/>
    </row>
    <row r="1554" spans="21:21">
      <c r="U1554" s="64"/>
    </row>
    <row r="1555" spans="21:21">
      <c r="U1555" s="64"/>
    </row>
    <row r="1556" spans="21:21">
      <c r="U1556" s="64"/>
    </row>
    <row r="1557" spans="21:21">
      <c r="U1557" s="64"/>
    </row>
    <row r="1558" spans="21:21">
      <c r="U1558" s="64"/>
    </row>
    <row r="1559" spans="21:21">
      <c r="U1559" s="64"/>
    </row>
    <row r="1560" spans="21:21">
      <c r="U1560" s="64"/>
    </row>
    <row r="1561" spans="21:21">
      <c r="U1561" s="64"/>
    </row>
    <row r="1562" spans="21:21">
      <c r="U1562" s="64"/>
    </row>
    <row r="1563" spans="21:21">
      <c r="U1563" s="64"/>
    </row>
    <row r="1564" spans="21:21">
      <c r="U1564" s="64"/>
    </row>
    <row r="1565" spans="21:21">
      <c r="U1565" s="64"/>
    </row>
    <row r="1566" spans="21:21">
      <c r="U1566" s="64"/>
    </row>
    <row r="1567" spans="21:21">
      <c r="U1567" s="64"/>
    </row>
    <row r="1568" spans="21:21">
      <c r="U1568" s="64"/>
    </row>
    <row r="1569" spans="21:21">
      <c r="U1569" s="64"/>
    </row>
    <row r="1570" spans="21:21">
      <c r="U1570" s="64"/>
    </row>
    <row r="1571" spans="21:21">
      <c r="U1571" s="64"/>
    </row>
    <row r="1572" spans="21:21">
      <c r="U1572" s="64"/>
    </row>
    <row r="1573" spans="21:21">
      <c r="U1573" s="64"/>
    </row>
    <row r="1574" spans="21:21">
      <c r="U1574" s="64"/>
    </row>
    <row r="1575" spans="21:21">
      <c r="U1575" s="64"/>
    </row>
    <row r="1576" spans="21:21">
      <c r="U1576" s="64"/>
    </row>
    <row r="1577" spans="21:21">
      <c r="U1577" s="64"/>
    </row>
    <row r="1578" spans="21:21">
      <c r="U1578" s="64"/>
    </row>
    <row r="1579" spans="21:21">
      <c r="U1579" s="64"/>
    </row>
    <row r="1580" spans="21:21">
      <c r="U1580" s="64"/>
    </row>
    <row r="1581" spans="21:21">
      <c r="U1581" s="64"/>
    </row>
    <row r="1582" spans="21:21">
      <c r="U1582" s="64"/>
    </row>
    <row r="1583" spans="21:21">
      <c r="U1583" s="64"/>
    </row>
    <row r="1584" spans="21:21">
      <c r="U1584" s="64"/>
    </row>
    <row r="1585" spans="21:21">
      <c r="U1585" s="64"/>
    </row>
    <row r="1586" spans="21:21">
      <c r="U1586" s="64"/>
    </row>
    <row r="1587" spans="21:21">
      <c r="U1587" s="64"/>
    </row>
    <row r="1588" spans="21:21">
      <c r="U1588" s="64"/>
    </row>
    <row r="1589" spans="21:21">
      <c r="U1589" s="64"/>
    </row>
    <row r="1590" spans="21:21">
      <c r="U1590" s="64"/>
    </row>
    <row r="1591" spans="21:21">
      <c r="U1591" s="64"/>
    </row>
    <row r="1592" spans="21:21">
      <c r="U1592" s="64"/>
    </row>
    <row r="1593" spans="21:21">
      <c r="U1593" s="64"/>
    </row>
    <row r="1594" spans="21:21">
      <c r="U1594" s="64"/>
    </row>
    <row r="1595" spans="21:21">
      <c r="U1595" s="64"/>
    </row>
    <row r="1596" spans="21:21">
      <c r="U1596" s="64"/>
    </row>
    <row r="1597" spans="21:21">
      <c r="U1597" s="64"/>
    </row>
    <row r="1598" spans="21:21">
      <c r="U1598" s="64"/>
    </row>
    <row r="1599" spans="21:21">
      <c r="U1599" s="64"/>
    </row>
    <row r="1600" spans="21:21">
      <c r="U1600" s="64"/>
    </row>
    <row r="1601" spans="21:21">
      <c r="U1601" s="64"/>
    </row>
    <row r="1602" spans="21:21">
      <c r="U1602" s="64"/>
    </row>
    <row r="1603" spans="21:21">
      <c r="U1603" s="64"/>
    </row>
    <row r="1604" spans="21:21">
      <c r="U1604" s="64"/>
    </row>
    <row r="1605" spans="21:21">
      <c r="U1605" s="64"/>
    </row>
    <row r="1606" spans="21:21">
      <c r="U1606" s="64"/>
    </row>
    <row r="1607" spans="21:21">
      <c r="U1607" s="64"/>
    </row>
    <row r="1608" spans="21:21">
      <c r="U1608" s="64"/>
    </row>
    <row r="1609" spans="21:21">
      <c r="U1609" s="64"/>
    </row>
    <row r="1610" spans="21:21">
      <c r="U1610" s="64"/>
    </row>
    <row r="1611" spans="21:21">
      <c r="U1611" s="64"/>
    </row>
    <row r="1612" spans="21:21">
      <c r="U1612" s="64"/>
    </row>
    <row r="1613" spans="21:21">
      <c r="U1613" s="64"/>
    </row>
    <row r="1614" spans="21:21">
      <c r="U1614" s="64"/>
    </row>
    <row r="1615" spans="21:21">
      <c r="U1615" s="64"/>
    </row>
    <row r="1616" spans="21:21">
      <c r="U1616" s="64"/>
    </row>
    <row r="1617" spans="21:21">
      <c r="U1617" s="64"/>
    </row>
    <row r="1618" spans="21:21">
      <c r="U1618" s="64"/>
    </row>
    <row r="1619" spans="21:21">
      <c r="U1619" s="64"/>
    </row>
    <row r="1620" spans="21:21">
      <c r="U1620" s="64"/>
    </row>
    <row r="1621" spans="21:21">
      <c r="U1621" s="64"/>
    </row>
    <row r="1622" spans="21:21">
      <c r="U1622" s="64"/>
    </row>
    <row r="1623" spans="21:21">
      <c r="U1623" s="64"/>
    </row>
    <row r="1624" spans="21:21">
      <c r="U1624" s="64"/>
    </row>
    <row r="1625" spans="21:21">
      <c r="U1625" s="64"/>
    </row>
    <row r="1626" spans="21:21">
      <c r="U1626" s="64"/>
    </row>
    <row r="1627" spans="21:21">
      <c r="U1627" s="64"/>
    </row>
    <row r="1628" spans="21:21">
      <c r="U1628" s="64"/>
    </row>
    <row r="1629" spans="21:21">
      <c r="U1629" s="64"/>
    </row>
    <row r="1630" spans="21:21">
      <c r="U1630" s="64"/>
    </row>
    <row r="1631" spans="21:21">
      <c r="U1631" s="64"/>
    </row>
    <row r="1632" spans="21:21">
      <c r="U1632" s="64"/>
    </row>
    <row r="1633" spans="21:21">
      <c r="U1633" s="64"/>
    </row>
    <row r="1634" spans="21:21">
      <c r="U1634" s="64"/>
    </row>
    <row r="1635" spans="21:21">
      <c r="U1635" s="64"/>
    </row>
    <row r="1636" spans="21:21">
      <c r="U1636" s="64"/>
    </row>
    <row r="1637" spans="21:21">
      <c r="U1637" s="64"/>
    </row>
    <row r="1638" spans="21:21">
      <c r="U1638" s="64"/>
    </row>
    <row r="1639" spans="21:21">
      <c r="U1639" s="64"/>
    </row>
    <row r="1640" spans="21:21">
      <c r="U1640" s="64"/>
    </row>
    <row r="1641" spans="21:21">
      <c r="U1641" s="64"/>
    </row>
    <row r="1642" spans="21:21">
      <c r="U1642" s="64"/>
    </row>
    <row r="1643" spans="21:21">
      <c r="U1643" s="64"/>
    </row>
    <row r="1644" spans="21:21">
      <c r="U1644" s="64"/>
    </row>
    <row r="1645" spans="21:21">
      <c r="U1645" s="64"/>
    </row>
    <row r="1646" spans="21:21">
      <c r="U1646" s="64"/>
    </row>
    <row r="1647" spans="21:21">
      <c r="U1647" s="64"/>
    </row>
    <row r="1648" spans="21:21">
      <c r="U1648" s="64"/>
    </row>
    <row r="1649" spans="21:21">
      <c r="U1649" s="64"/>
    </row>
    <row r="1650" spans="21:21">
      <c r="U1650" s="64"/>
    </row>
    <row r="1651" spans="21:21">
      <c r="U1651" s="64"/>
    </row>
    <row r="1652" spans="21:21">
      <c r="U1652" s="64"/>
    </row>
    <row r="1653" spans="21:21">
      <c r="U1653" s="64"/>
    </row>
    <row r="1654" spans="21:21">
      <c r="U1654" s="64"/>
    </row>
    <row r="1655" spans="21:21">
      <c r="U1655" s="64"/>
    </row>
    <row r="1656" spans="21:21">
      <c r="U1656" s="64"/>
    </row>
    <row r="1657" spans="21:21">
      <c r="U1657" s="64"/>
    </row>
    <row r="1658" spans="21:21">
      <c r="U1658" s="64"/>
    </row>
    <row r="1659" spans="21:21">
      <c r="U1659" s="64"/>
    </row>
    <row r="1660" spans="21:21">
      <c r="U1660" s="64"/>
    </row>
    <row r="1661" spans="21:21">
      <c r="U1661" s="64"/>
    </row>
    <row r="1662" spans="21:21">
      <c r="U1662" s="64"/>
    </row>
    <row r="1663" spans="21:21">
      <c r="U1663" s="64"/>
    </row>
    <row r="1664" spans="21:21">
      <c r="U1664" s="64"/>
    </row>
    <row r="1665" spans="21:21">
      <c r="U1665" s="64"/>
    </row>
    <row r="1666" spans="21:21">
      <c r="U1666" s="64"/>
    </row>
    <row r="1667" spans="21:21">
      <c r="U1667" s="64"/>
    </row>
    <row r="1668" spans="21:21">
      <c r="U1668" s="64"/>
    </row>
    <row r="1669" spans="21:21">
      <c r="U1669" s="64"/>
    </row>
    <row r="1670" spans="21:21">
      <c r="U1670" s="64"/>
    </row>
    <row r="1671" spans="21:21">
      <c r="U1671" s="64"/>
    </row>
    <row r="1672" spans="21:21">
      <c r="U1672" s="64"/>
    </row>
    <row r="1673" spans="21:21">
      <c r="U1673" s="64"/>
    </row>
    <row r="1674" spans="21:21">
      <c r="U1674" s="64"/>
    </row>
    <row r="1675" spans="21:21">
      <c r="U1675" s="64"/>
    </row>
    <row r="1676" spans="21:21">
      <c r="U1676" s="64"/>
    </row>
    <row r="1677" spans="21:21">
      <c r="U1677" s="64"/>
    </row>
    <row r="1678" spans="21:21">
      <c r="U1678" s="64"/>
    </row>
    <row r="1679" spans="21:21">
      <c r="U1679" s="64"/>
    </row>
    <row r="1680" spans="21:21">
      <c r="U1680" s="64"/>
    </row>
    <row r="1681" spans="21:21">
      <c r="U1681" s="64"/>
    </row>
    <row r="1682" spans="21:21">
      <c r="U1682" s="64"/>
    </row>
    <row r="1683" spans="21:21">
      <c r="U1683" s="64"/>
    </row>
    <row r="1684" spans="21:21">
      <c r="U1684" s="64"/>
    </row>
    <row r="1685" spans="21:21">
      <c r="U1685" s="64"/>
    </row>
    <row r="1686" spans="21:21">
      <c r="U1686" s="64"/>
    </row>
    <row r="1687" spans="21:21">
      <c r="U1687" s="64"/>
    </row>
    <row r="1688" spans="21:21">
      <c r="U1688" s="64"/>
    </row>
    <row r="1689" spans="21:21">
      <c r="U1689" s="64"/>
    </row>
    <row r="1690" spans="21:21">
      <c r="U1690" s="64"/>
    </row>
    <row r="1691" spans="21:21">
      <c r="U1691" s="64"/>
    </row>
    <row r="1692" spans="21:21">
      <c r="U1692" s="64"/>
    </row>
    <row r="1693" spans="21:21">
      <c r="U1693" s="64"/>
    </row>
    <row r="1694" spans="21:21">
      <c r="U1694" s="64"/>
    </row>
    <row r="1695" spans="21:21">
      <c r="U1695" s="64"/>
    </row>
    <row r="1696" spans="21:21">
      <c r="U1696" s="64"/>
    </row>
    <row r="1697" spans="21:21">
      <c r="U1697" s="64"/>
    </row>
    <row r="1698" spans="21:21">
      <c r="U1698" s="64"/>
    </row>
    <row r="1699" spans="21:21">
      <c r="U1699" s="64"/>
    </row>
    <row r="1700" spans="21:21">
      <c r="U1700" s="64"/>
    </row>
    <row r="1701" spans="21:21">
      <c r="U1701" s="64"/>
    </row>
    <row r="1702" spans="21:21">
      <c r="U1702" s="64"/>
    </row>
    <row r="1703" spans="21:21">
      <c r="U1703" s="64"/>
    </row>
    <row r="1704" spans="21:21">
      <c r="U1704" s="64"/>
    </row>
    <row r="1705" spans="21:21">
      <c r="U1705" s="64"/>
    </row>
    <row r="1706" spans="21:21">
      <c r="U1706" s="64"/>
    </row>
    <row r="1707" spans="21:21">
      <c r="U1707" s="64"/>
    </row>
    <row r="1708" spans="21:21">
      <c r="U1708" s="64"/>
    </row>
    <row r="1709" spans="21:21">
      <c r="U1709" s="64"/>
    </row>
    <row r="1710" spans="21:21">
      <c r="U1710" s="64"/>
    </row>
    <row r="1711" spans="21:21">
      <c r="U1711" s="64"/>
    </row>
    <row r="1712" spans="21:21">
      <c r="U1712" s="64"/>
    </row>
    <row r="1713" spans="21:21">
      <c r="U1713" s="64"/>
    </row>
    <row r="1714" spans="21:21">
      <c r="U1714" s="64"/>
    </row>
    <row r="1715" spans="21:21">
      <c r="U1715" s="64"/>
    </row>
    <row r="1716" spans="21:21">
      <c r="U1716" s="64"/>
    </row>
    <row r="1717" spans="21:21">
      <c r="U1717" s="64"/>
    </row>
    <row r="1718" spans="21:21">
      <c r="U1718" s="64"/>
    </row>
    <row r="1719" spans="21:21">
      <c r="U1719" s="64"/>
    </row>
    <row r="1720" spans="21:21">
      <c r="U1720" s="64"/>
    </row>
    <row r="1721" spans="21:21">
      <c r="U1721" s="64"/>
    </row>
    <row r="1722" spans="21:21">
      <c r="U1722" s="64"/>
    </row>
    <row r="1723" spans="21:21">
      <c r="U1723" s="64"/>
    </row>
    <row r="1724" spans="21:21">
      <c r="U1724" s="64"/>
    </row>
    <row r="1725" spans="21:21">
      <c r="U1725" s="64"/>
    </row>
    <row r="1726" spans="21:21">
      <c r="U1726" s="64"/>
    </row>
    <row r="1727" spans="21:21">
      <c r="U1727" s="64"/>
    </row>
    <row r="1728" spans="21:21">
      <c r="U1728" s="64"/>
    </row>
    <row r="1729" spans="21:21">
      <c r="U1729" s="64"/>
    </row>
    <row r="1730" spans="21:21">
      <c r="U1730" s="64"/>
    </row>
    <row r="1731" spans="21:21">
      <c r="U1731" s="64"/>
    </row>
    <row r="1732" spans="21:21">
      <c r="U1732" s="64"/>
    </row>
    <row r="1733" spans="21:21">
      <c r="U1733" s="64"/>
    </row>
    <row r="1734" spans="21:21">
      <c r="U1734" s="64"/>
    </row>
    <row r="1735" spans="21:21">
      <c r="U1735" s="64"/>
    </row>
    <row r="1736" spans="21:21">
      <c r="U1736" s="64"/>
    </row>
    <row r="1737" spans="21:21">
      <c r="U1737" s="64"/>
    </row>
    <row r="1738" spans="21:21">
      <c r="U1738" s="64"/>
    </row>
    <row r="1739" spans="21:21">
      <c r="U1739" s="64"/>
    </row>
    <row r="1740" spans="21:21">
      <c r="U1740" s="64"/>
    </row>
    <row r="1741" spans="21:21">
      <c r="U1741" s="64"/>
    </row>
    <row r="1742" spans="21:21">
      <c r="U1742" s="64"/>
    </row>
    <row r="1743" spans="21:21">
      <c r="U1743" s="64"/>
    </row>
    <row r="1744" spans="21:21">
      <c r="U1744" s="64"/>
    </row>
    <row r="1745" spans="21:21">
      <c r="U1745" s="64"/>
    </row>
    <row r="1746" spans="21:21">
      <c r="U1746" s="64"/>
    </row>
    <row r="1747" spans="21:21">
      <c r="U1747" s="64"/>
    </row>
    <row r="1748" spans="21:21">
      <c r="U1748" s="64"/>
    </row>
    <row r="1749" spans="21:21">
      <c r="U1749" s="64"/>
    </row>
    <row r="1750" spans="21:21">
      <c r="U1750" s="64"/>
    </row>
    <row r="1751" spans="21:21">
      <c r="U1751" s="64"/>
    </row>
    <row r="1752" spans="21:21">
      <c r="U1752" s="64"/>
    </row>
    <row r="1753" spans="21:21">
      <c r="U1753" s="64"/>
    </row>
    <row r="1754" spans="21:21">
      <c r="U1754" s="64"/>
    </row>
    <row r="1755" spans="21:21">
      <c r="U1755" s="64"/>
    </row>
    <row r="1756" spans="21:21">
      <c r="U1756" s="64"/>
    </row>
    <row r="1757" spans="21:21">
      <c r="U1757" s="64"/>
    </row>
    <row r="1758" spans="21:21">
      <c r="U1758" s="64"/>
    </row>
    <row r="1759" spans="21:21">
      <c r="U1759" s="64"/>
    </row>
    <row r="1760" spans="21:21">
      <c r="U1760" s="64"/>
    </row>
    <row r="1761" spans="21:21">
      <c r="U1761" s="64"/>
    </row>
    <row r="1762" spans="21:21">
      <c r="U1762" s="64"/>
    </row>
    <row r="1763" spans="21:21">
      <c r="U1763" s="64"/>
    </row>
    <row r="1764" spans="21:21">
      <c r="U1764" s="64"/>
    </row>
    <row r="1765" spans="21:21">
      <c r="U1765" s="64"/>
    </row>
    <row r="1766" spans="21:21">
      <c r="U1766" s="64"/>
    </row>
    <row r="1767" spans="21:21">
      <c r="U1767" s="64"/>
    </row>
    <row r="1768" spans="21:21">
      <c r="U1768" s="64"/>
    </row>
    <row r="1769" spans="21:21">
      <c r="U1769" s="64"/>
    </row>
    <row r="1770" spans="21:21">
      <c r="U1770" s="64"/>
    </row>
    <row r="1771" spans="21:21">
      <c r="U1771" s="64"/>
    </row>
    <row r="1772" spans="21:21">
      <c r="U1772" s="64"/>
    </row>
    <row r="1773" spans="21:21">
      <c r="U1773" s="64"/>
    </row>
    <row r="1774" spans="21:21">
      <c r="U1774" s="64"/>
    </row>
    <row r="1775" spans="21:21">
      <c r="U1775" s="64"/>
    </row>
    <row r="1776" spans="21:21">
      <c r="U1776" s="64"/>
    </row>
    <row r="1777" spans="21:21">
      <c r="U1777" s="64"/>
    </row>
    <row r="1778" spans="21:21">
      <c r="U1778" s="64"/>
    </row>
    <row r="1779" spans="21:21">
      <c r="U1779" s="64"/>
    </row>
    <row r="1780" spans="21:21">
      <c r="U1780" s="64"/>
    </row>
    <row r="1781" spans="21:21">
      <c r="U1781" s="64"/>
    </row>
    <row r="1782" spans="21:21">
      <c r="U1782" s="64"/>
    </row>
    <row r="1783" spans="21:21">
      <c r="U1783" s="64"/>
    </row>
    <row r="1784" spans="21:21">
      <c r="U1784" s="64"/>
    </row>
    <row r="1785" spans="21:21">
      <c r="U1785" s="64"/>
    </row>
    <row r="1786" spans="21:21">
      <c r="U1786" s="64"/>
    </row>
    <row r="1787" spans="21:21">
      <c r="U1787" s="64"/>
    </row>
    <row r="1788" spans="21:21">
      <c r="U1788" s="64"/>
    </row>
    <row r="1789" spans="21:21">
      <c r="U1789" s="64"/>
    </row>
    <row r="1790" spans="21:21">
      <c r="U1790" s="64"/>
    </row>
    <row r="1791" spans="21:21">
      <c r="U1791" s="64"/>
    </row>
    <row r="1792" spans="21:21">
      <c r="U1792" s="64"/>
    </row>
    <row r="1793" spans="21:21">
      <c r="U1793" s="64"/>
    </row>
    <row r="1794" spans="21:21">
      <c r="U1794" s="64"/>
    </row>
    <row r="1795" spans="21:21">
      <c r="U1795" s="64"/>
    </row>
    <row r="1796" spans="21:21">
      <c r="U1796" s="64"/>
    </row>
    <row r="1797" spans="21:21">
      <c r="U1797" s="64"/>
    </row>
    <row r="1798" spans="21:21">
      <c r="U1798" s="64"/>
    </row>
    <row r="1799" spans="21:21">
      <c r="U1799" s="64"/>
    </row>
    <row r="1800" spans="21:21">
      <c r="U1800" s="64"/>
    </row>
    <row r="1801" spans="21:21">
      <c r="U1801" s="64"/>
    </row>
    <row r="1802" spans="21:21">
      <c r="U1802" s="64"/>
    </row>
    <row r="1803" spans="21:21">
      <c r="U1803" s="64"/>
    </row>
    <row r="1804" spans="21:21">
      <c r="U1804" s="64"/>
    </row>
    <row r="1805" spans="21:21">
      <c r="U1805" s="64"/>
    </row>
    <row r="1806" spans="21:21">
      <c r="U1806" s="64"/>
    </row>
    <row r="1807" spans="21:21">
      <c r="U1807" s="64"/>
    </row>
    <row r="1808" spans="21:21">
      <c r="U1808" s="64"/>
    </row>
    <row r="1809" spans="21:21">
      <c r="U1809" s="64"/>
    </row>
    <row r="1810" spans="21:21">
      <c r="U1810" s="64"/>
    </row>
    <row r="1811" spans="21:21">
      <c r="U1811" s="64"/>
    </row>
    <row r="1812" spans="21:21">
      <c r="U1812" s="64"/>
    </row>
    <row r="1813" spans="21:21">
      <c r="U1813" s="64"/>
    </row>
    <row r="1814" spans="21:21">
      <c r="U1814" s="64"/>
    </row>
    <row r="1815" spans="21:21">
      <c r="U1815" s="64"/>
    </row>
    <row r="1816" spans="21:21">
      <c r="U1816" s="64"/>
    </row>
    <row r="1817" spans="21:21">
      <c r="U1817" s="64"/>
    </row>
    <row r="1818" spans="21:21">
      <c r="U1818" s="64"/>
    </row>
    <row r="1819" spans="21:21">
      <c r="U1819" s="64"/>
    </row>
    <row r="1820" spans="21:21">
      <c r="U1820" s="64"/>
    </row>
    <row r="1821" spans="21:21">
      <c r="U1821" s="64"/>
    </row>
    <row r="1822" spans="21:21">
      <c r="U1822" s="64"/>
    </row>
    <row r="1823" spans="21:21">
      <c r="U1823" s="64"/>
    </row>
    <row r="1824" spans="21:21">
      <c r="U1824" s="64"/>
    </row>
    <row r="1825" spans="21:21">
      <c r="U1825" s="64"/>
    </row>
    <row r="1826" spans="21:21">
      <c r="U1826" s="64"/>
    </row>
    <row r="1827" spans="21:21">
      <c r="U1827" s="64"/>
    </row>
    <row r="1828" spans="21:21">
      <c r="U1828" s="64"/>
    </row>
    <row r="1829" spans="21:21">
      <c r="U1829" s="64"/>
    </row>
    <row r="1830" spans="21:21">
      <c r="U1830" s="64"/>
    </row>
    <row r="1831" spans="21:21">
      <c r="U1831" s="64"/>
    </row>
    <row r="1832" spans="21:21">
      <c r="U1832" s="64"/>
    </row>
    <row r="1833" spans="21:21">
      <c r="U1833" s="64"/>
    </row>
    <row r="1834" spans="21:21">
      <c r="U1834" s="64"/>
    </row>
    <row r="1835" spans="21:21">
      <c r="U1835" s="64"/>
    </row>
    <row r="1836" spans="21:21">
      <c r="U1836" s="64"/>
    </row>
    <row r="1837" spans="21:21">
      <c r="U1837" s="64"/>
    </row>
    <row r="1838" spans="21:21">
      <c r="U1838" s="64"/>
    </row>
    <row r="1839" spans="21:21">
      <c r="U1839" s="64"/>
    </row>
    <row r="1840" spans="21:21">
      <c r="U1840" s="64"/>
    </row>
    <row r="1841" spans="21:21">
      <c r="U1841" s="64"/>
    </row>
    <row r="1842" spans="21:21">
      <c r="U1842" s="64"/>
    </row>
    <row r="1843" spans="21:21">
      <c r="U1843" s="64"/>
    </row>
    <row r="1844" spans="21:21">
      <c r="U1844" s="64"/>
    </row>
    <row r="1845" spans="21:21">
      <c r="U1845" s="64"/>
    </row>
    <row r="1846" spans="21:21">
      <c r="U1846" s="64"/>
    </row>
    <row r="1847" spans="21:21">
      <c r="U1847" s="64"/>
    </row>
    <row r="1848" spans="21:21">
      <c r="U1848" s="64"/>
    </row>
    <row r="1849" spans="21:21">
      <c r="U1849" s="64"/>
    </row>
    <row r="1850" spans="21:21">
      <c r="U1850" s="64"/>
    </row>
    <row r="1851" spans="21:21">
      <c r="U1851" s="64"/>
    </row>
    <row r="1852" spans="21:21">
      <c r="U1852" s="64"/>
    </row>
    <row r="1853" spans="21:21">
      <c r="U1853" s="64"/>
    </row>
    <row r="1854" spans="21:21">
      <c r="U1854" s="64"/>
    </row>
    <row r="1855" spans="21:21">
      <c r="U1855" s="64"/>
    </row>
    <row r="1856" spans="21:21">
      <c r="U1856" s="64"/>
    </row>
    <row r="1857" spans="21:21">
      <c r="U1857" s="64"/>
    </row>
    <row r="1858" spans="21:21">
      <c r="U1858" s="64"/>
    </row>
    <row r="1859" spans="21:21">
      <c r="U1859" s="64"/>
    </row>
    <row r="1860" spans="21:21">
      <c r="U1860" s="64"/>
    </row>
    <row r="1861" spans="21:21">
      <c r="U1861" s="64"/>
    </row>
    <row r="1862" spans="21:21">
      <c r="U1862" s="64"/>
    </row>
    <row r="1863" spans="21:21">
      <c r="U1863" s="64"/>
    </row>
    <row r="1864" spans="21:21">
      <c r="U1864" s="64"/>
    </row>
    <row r="1865" spans="21:21">
      <c r="U1865" s="64"/>
    </row>
    <row r="1866" spans="21:21">
      <c r="U1866" s="64"/>
    </row>
    <row r="1867" spans="21:21">
      <c r="U1867" s="64"/>
    </row>
    <row r="1868" spans="21:21">
      <c r="U1868" s="64"/>
    </row>
    <row r="1869" spans="21:21">
      <c r="U1869" s="64"/>
    </row>
    <row r="1870" spans="21:21">
      <c r="U1870" s="64"/>
    </row>
    <row r="1871" spans="21:21">
      <c r="U1871" s="64"/>
    </row>
    <row r="1872" spans="21:21">
      <c r="U1872" s="64"/>
    </row>
    <row r="1873" spans="21:21">
      <c r="U1873" s="64"/>
    </row>
    <row r="1874" spans="21:21">
      <c r="U1874" s="64"/>
    </row>
    <row r="1875" spans="21:21">
      <c r="U1875" s="64"/>
    </row>
    <row r="1876" spans="21:21">
      <c r="U1876" s="64"/>
    </row>
    <row r="1877" spans="21:21">
      <c r="U1877" s="64"/>
    </row>
    <row r="1878" spans="21:21">
      <c r="U1878" s="64"/>
    </row>
    <row r="1879" spans="21:21">
      <c r="U1879" s="64"/>
    </row>
    <row r="1880" spans="21:21">
      <c r="U1880" s="64"/>
    </row>
    <row r="1881" spans="21:21">
      <c r="U1881" s="64"/>
    </row>
    <row r="1882" spans="21:21">
      <c r="U1882" s="64"/>
    </row>
    <row r="1883" spans="21:21">
      <c r="U1883" s="64"/>
    </row>
    <row r="1884" spans="21:21">
      <c r="U1884" s="64"/>
    </row>
    <row r="1885" spans="21:21">
      <c r="U1885" s="64"/>
    </row>
    <row r="1886" spans="21:21">
      <c r="U1886" s="64"/>
    </row>
    <row r="1887" spans="21:21">
      <c r="U1887" s="64"/>
    </row>
    <row r="1888" spans="21:21">
      <c r="U1888" s="64"/>
    </row>
    <row r="1889" spans="21:21">
      <c r="U1889" s="64"/>
    </row>
    <row r="1890" spans="21:21">
      <c r="U1890" s="64"/>
    </row>
    <row r="1891" spans="21:21">
      <c r="U1891" s="64"/>
    </row>
    <row r="1892" spans="21:21">
      <c r="U1892" s="64"/>
    </row>
    <row r="1893" spans="21:21">
      <c r="U1893" s="64"/>
    </row>
    <row r="1894" spans="21:21">
      <c r="U1894" s="64"/>
    </row>
    <row r="1895" spans="21:21">
      <c r="U1895" s="64"/>
    </row>
    <row r="1896" spans="21:21">
      <c r="U1896" s="64"/>
    </row>
    <row r="1897" spans="21:21">
      <c r="U1897" s="64"/>
    </row>
    <row r="1898" spans="21:21">
      <c r="U1898" s="64"/>
    </row>
    <row r="1899" spans="21:21">
      <c r="U1899" s="64"/>
    </row>
    <row r="1900" spans="21:21">
      <c r="U1900" s="64"/>
    </row>
    <row r="1901" spans="21:21">
      <c r="U1901" s="64"/>
    </row>
    <row r="1902" spans="21:21">
      <c r="U1902" s="64"/>
    </row>
    <row r="1903" spans="21:21">
      <c r="U1903" s="64"/>
    </row>
    <row r="1904" spans="21:21">
      <c r="U1904" s="64"/>
    </row>
    <row r="1905" spans="21:21">
      <c r="U1905" s="64"/>
    </row>
    <row r="1906" spans="21:21">
      <c r="U1906" s="64"/>
    </row>
    <row r="1907" spans="21:21">
      <c r="U1907" s="64"/>
    </row>
    <row r="1908" spans="21:21">
      <c r="U1908" s="64"/>
    </row>
    <row r="1909" spans="21:21">
      <c r="U1909" s="64"/>
    </row>
    <row r="1910" spans="21:21">
      <c r="U1910" s="64"/>
    </row>
    <row r="1911" spans="21:21">
      <c r="U1911" s="64"/>
    </row>
    <row r="1912" spans="21:21">
      <c r="U1912" s="64"/>
    </row>
    <row r="1913" spans="21:21">
      <c r="U1913" s="64"/>
    </row>
    <row r="1914" spans="21:21">
      <c r="U1914" s="64"/>
    </row>
    <row r="1915" spans="21:21">
      <c r="U1915" s="64"/>
    </row>
    <row r="1916" spans="21:21">
      <c r="U1916" s="64"/>
    </row>
    <row r="1917" spans="21:21">
      <c r="U1917" s="64"/>
    </row>
    <row r="1918" spans="21:21">
      <c r="U1918" s="64"/>
    </row>
    <row r="1919" spans="21:21">
      <c r="U1919" s="64"/>
    </row>
    <row r="1920" spans="21:21">
      <c r="U1920" s="64"/>
    </row>
    <row r="1921" spans="21:21">
      <c r="U1921" s="64"/>
    </row>
    <row r="1922" spans="21:21">
      <c r="U1922" s="64"/>
    </row>
    <row r="1923" spans="21:21">
      <c r="U1923" s="64"/>
    </row>
    <row r="1924" spans="21:21">
      <c r="U1924" s="64"/>
    </row>
    <row r="1925" spans="21:21">
      <c r="U1925" s="64"/>
    </row>
    <row r="1926" spans="21:21">
      <c r="U1926" s="64"/>
    </row>
    <row r="1927" spans="21:21">
      <c r="U1927" s="64"/>
    </row>
    <row r="1928" spans="21:21">
      <c r="U1928" s="64"/>
    </row>
    <row r="1929" spans="21:21">
      <c r="U1929" s="64"/>
    </row>
    <row r="1930" spans="21:21">
      <c r="U1930" s="64"/>
    </row>
    <row r="1931" spans="21:21">
      <c r="U1931" s="64"/>
    </row>
    <row r="1932" spans="21:21">
      <c r="U1932" s="64"/>
    </row>
    <row r="1933" spans="21:21">
      <c r="U1933" s="64"/>
    </row>
    <row r="1934" spans="21:21">
      <c r="U1934" s="64"/>
    </row>
    <row r="1935" spans="21:21">
      <c r="U1935" s="64"/>
    </row>
    <row r="1936" spans="21:21">
      <c r="U1936" s="64"/>
    </row>
    <row r="1937" spans="21:21">
      <c r="U1937" s="64"/>
    </row>
    <row r="1938" spans="21:21">
      <c r="U1938" s="64"/>
    </row>
    <row r="1939" spans="21:21">
      <c r="U1939" s="64"/>
    </row>
    <row r="1940" spans="21:21">
      <c r="U1940" s="64"/>
    </row>
    <row r="1941" spans="21:21">
      <c r="U1941" s="64"/>
    </row>
    <row r="1942" spans="21:21">
      <c r="U1942" s="64"/>
    </row>
    <row r="1943" spans="21:21">
      <c r="U1943" s="64"/>
    </row>
    <row r="1944" spans="21:21">
      <c r="U1944" s="64"/>
    </row>
    <row r="1945" spans="21:21">
      <c r="U1945" s="64"/>
    </row>
    <row r="1946" spans="21:21">
      <c r="U1946" s="64"/>
    </row>
    <row r="1947" spans="21:21">
      <c r="U1947" s="64"/>
    </row>
    <row r="1948" spans="21:21">
      <c r="U1948" s="64"/>
    </row>
    <row r="1949" spans="21:21">
      <c r="U1949" s="64"/>
    </row>
    <row r="1950" spans="21:21">
      <c r="U1950" s="64"/>
    </row>
    <row r="1951" spans="21:21">
      <c r="U1951" s="64"/>
    </row>
    <row r="1952" spans="21:21">
      <c r="U1952" s="64"/>
    </row>
    <row r="1953" spans="21:21">
      <c r="U1953" s="64"/>
    </row>
    <row r="1954" spans="21:21">
      <c r="U1954" s="64"/>
    </row>
    <row r="1955" spans="21:21">
      <c r="U1955" s="64"/>
    </row>
    <row r="1956" spans="21:21">
      <c r="U1956" s="64"/>
    </row>
    <row r="1957" spans="21:21">
      <c r="U1957" s="64"/>
    </row>
    <row r="1958" spans="21:21">
      <c r="U1958" s="64"/>
    </row>
    <row r="1959" spans="21:21">
      <c r="U1959" s="64"/>
    </row>
    <row r="1960" spans="21:21">
      <c r="U1960" s="64"/>
    </row>
    <row r="1961" spans="21:21">
      <c r="U1961" s="64"/>
    </row>
    <row r="1962" spans="21:21">
      <c r="U1962" s="64"/>
    </row>
    <row r="1963" spans="21:21">
      <c r="U1963" s="64"/>
    </row>
    <row r="1964" spans="21:21">
      <c r="U1964" s="64"/>
    </row>
    <row r="1965" spans="21:21">
      <c r="U1965" s="64"/>
    </row>
    <row r="1966" spans="21:21">
      <c r="U1966" s="64"/>
    </row>
    <row r="1967" spans="21:21">
      <c r="U1967" s="64"/>
    </row>
    <row r="1968" spans="21:21">
      <c r="U1968" s="64"/>
    </row>
    <row r="1969" spans="21:21">
      <c r="U1969" s="64"/>
    </row>
    <row r="1970" spans="21:21">
      <c r="U1970" s="64"/>
    </row>
    <row r="1971" spans="21:21">
      <c r="U1971" s="64"/>
    </row>
    <row r="1972" spans="21:21">
      <c r="U1972" s="64"/>
    </row>
    <row r="1973" spans="21:21">
      <c r="U1973" s="64"/>
    </row>
    <row r="1974" spans="21:21">
      <c r="U1974" s="64"/>
    </row>
    <row r="1975" spans="21:21">
      <c r="U1975" s="64"/>
    </row>
    <row r="1976" spans="21:21">
      <c r="U1976" s="64"/>
    </row>
    <row r="1977" spans="21:21">
      <c r="U1977" s="64"/>
    </row>
    <row r="1978" spans="21:21">
      <c r="U1978" s="64"/>
    </row>
    <row r="1979" spans="21:21">
      <c r="U1979" s="64"/>
    </row>
    <row r="1980" spans="21:21">
      <c r="U1980" s="64"/>
    </row>
    <row r="1981" spans="21:21">
      <c r="U1981" s="64"/>
    </row>
    <row r="1982" spans="21:21">
      <c r="U1982" s="64"/>
    </row>
    <row r="1983" spans="21:21">
      <c r="U1983" s="64"/>
    </row>
    <row r="1984" spans="21:21">
      <c r="U1984" s="64"/>
    </row>
    <row r="1985" spans="21:21">
      <c r="U1985" s="64"/>
    </row>
    <row r="1986" spans="21:21">
      <c r="U1986" s="64"/>
    </row>
    <row r="1987" spans="21:21">
      <c r="U1987" s="64"/>
    </row>
    <row r="1988" spans="21:21">
      <c r="U1988" s="64"/>
    </row>
    <row r="1989" spans="21:21">
      <c r="U1989" s="64"/>
    </row>
    <row r="1990" spans="21:21">
      <c r="U1990" s="64"/>
    </row>
    <row r="1991" spans="21:21">
      <c r="U1991" s="64"/>
    </row>
    <row r="1992" spans="21:21">
      <c r="U1992" s="64"/>
    </row>
    <row r="1993" spans="21:21">
      <c r="U1993" s="64"/>
    </row>
    <row r="1994" spans="21:21">
      <c r="U1994" s="64"/>
    </row>
    <row r="1995" spans="21:21">
      <c r="U1995" s="64"/>
    </row>
    <row r="1996" spans="21:21">
      <c r="U1996" s="64"/>
    </row>
    <row r="1997" spans="21:21">
      <c r="U1997" s="64"/>
    </row>
    <row r="1998" spans="21:21">
      <c r="U1998" s="64"/>
    </row>
    <row r="1999" spans="21:21">
      <c r="U1999" s="64"/>
    </row>
    <row r="2000" spans="21:21">
      <c r="U2000" s="64"/>
    </row>
    <row r="2001" spans="21:21">
      <c r="U2001" s="64"/>
    </row>
    <row r="2002" spans="21:21">
      <c r="U2002" s="64"/>
    </row>
    <row r="2003" spans="21:21">
      <c r="U2003" s="64"/>
    </row>
    <row r="2004" spans="21:21">
      <c r="U2004" s="64"/>
    </row>
    <row r="2005" spans="21:21">
      <c r="U2005" s="64"/>
    </row>
    <row r="2006" spans="21:21">
      <c r="U2006" s="64"/>
    </row>
    <row r="2007" spans="21:21">
      <c r="U2007" s="64"/>
    </row>
    <row r="2008" spans="21:21">
      <c r="U2008" s="64"/>
    </row>
    <row r="2009" spans="21:21">
      <c r="U2009" s="64"/>
    </row>
    <row r="2010" spans="21:21">
      <c r="U2010" s="64"/>
    </row>
    <row r="2011" spans="21:21">
      <c r="U2011" s="64"/>
    </row>
    <row r="2012" spans="21:21">
      <c r="U2012" s="64"/>
    </row>
    <row r="2013" spans="21:21">
      <c r="U2013" s="64"/>
    </row>
    <row r="2014" spans="21:21">
      <c r="U2014" s="64"/>
    </row>
    <row r="2015" spans="21:21">
      <c r="U2015" s="64"/>
    </row>
    <row r="2016" spans="21:21">
      <c r="U2016" s="64"/>
    </row>
    <row r="2017" spans="21:21">
      <c r="U2017" s="64"/>
    </row>
    <row r="2018" spans="21:21">
      <c r="U2018" s="64"/>
    </row>
    <row r="2019" spans="21:21">
      <c r="U2019" s="64"/>
    </row>
    <row r="2020" spans="21:21">
      <c r="U2020" s="64"/>
    </row>
    <row r="2021" spans="21:21">
      <c r="U2021" s="64"/>
    </row>
    <row r="2022" spans="21:21">
      <c r="U2022" s="64"/>
    </row>
    <row r="2023" spans="21:21">
      <c r="U2023" s="64"/>
    </row>
    <row r="2024" spans="21:21">
      <c r="U2024" s="64"/>
    </row>
    <row r="2025" spans="21:21">
      <c r="U2025" s="64"/>
    </row>
    <row r="2026" spans="21:21">
      <c r="U2026" s="64"/>
    </row>
    <row r="2027" spans="21:21">
      <c r="U2027" s="64"/>
    </row>
    <row r="2028" spans="21:21">
      <c r="U2028" s="64"/>
    </row>
    <row r="2029" spans="21:21">
      <c r="U2029" s="64"/>
    </row>
    <row r="2030" spans="21:21">
      <c r="U2030" s="64"/>
    </row>
    <row r="2031" spans="21:21">
      <c r="U2031" s="64"/>
    </row>
    <row r="2032" spans="21:21">
      <c r="U2032" s="64"/>
    </row>
    <row r="2033" spans="21:21">
      <c r="U2033" s="64"/>
    </row>
    <row r="2034" spans="21:21">
      <c r="U2034" s="64"/>
    </row>
    <row r="2035" spans="21:21">
      <c r="U2035" s="64"/>
    </row>
    <row r="2036" spans="21:21">
      <c r="U2036" s="64"/>
    </row>
    <row r="2037" spans="21:21">
      <c r="U2037" s="64"/>
    </row>
    <row r="2038" spans="21:21">
      <c r="U2038" s="64"/>
    </row>
    <row r="2039" spans="21:21">
      <c r="U2039" s="64"/>
    </row>
    <row r="2040" spans="21:21">
      <c r="U2040" s="64"/>
    </row>
    <row r="2041" spans="21:21">
      <c r="U2041" s="64"/>
    </row>
    <row r="2042" spans="21:21">
      <c r="U2042" s="64"/>
    </row>
    <row r="2043" spans="21:21">
      <c r="U2043" s="64"/>
    </row>
    <row r="2044" spans="21:21">
      <c r="U2044" s="64"/>
    </row>
    <row r="2045" spans="21:21">
      <c r="U2045" s="64"/>
    </row>
    <row r="2046" spans="21:21">
      <c r="U2046" s="64"/>
    </row>
    <row r="2047" spans="21:21">
      <c r="U2047" s="64"/>
    </row>
    <row r="2048" spans="21:21">
      <c r="U2048" s="64"/>
    </row>
    <row r="2049" spans="21:21">
      <c r="U2049" s="64"/>
    </row>
    <row r="2050" spans="21:21">
      <c r="U2050" s="64"/>
    </row>
    <row r="2051" spans="21:21">
      <c r="U2051" s="64"/>
    </row>
    <row r="2052" spans="21:21">
      <c r="U2052" s="64"/>
    </row>
    <row r="2053" spans="21:21">
      <c r="U2053" s="64"/>
    </row>
    <row r="2054" spans="21:21">
      <c r="U2054" s="64"/>
    </row>
    <row r="2055" spans="21:21">
      <c r="U2055" s="64"/>
    </row>
    <row r="2056" spans="21:21">
      <c r="U2056" s="64"/>
    </row>
    <row r="2057" spans="21:21">
      <c r="U2057" s="64"/>
    </row>
    <row r="2058" spans="21:21">
      <c r="U2058" s="64"/>
    </row>
    <row r="2059" spans="21:21">
      <c r="U2059" s="64"/>
    </row>
    <row r="2060" spans="21:21">
      <c r="U2060" s="64"/>
    </row>
    <row r="2061" spans="21:21">
      <c r="U2061" s="64"/>
    </row>
    <row r="2062" spans="21:21">
      <c r="U2062" s="64"/>
    </row>
    <row r="2063" spans="21:21">
      <c r="U2063" s="64"/>
    </row>
    <row r="2064" spans="21:21">
      <c r="U2064" s="64"/>
    </row>
    <row r="2065" spans="21:21">
      <c r="U2065" s="64"/>
    </row>
    <row r="2066" spans="21:21">
      <c r="U2066" s="64"/>
    </row>
    <row r="2067" spans="21:21">
      <c r="U2067" s="64"/>
    </row>
    <row r="2068" spans="21:21">
      <c r="U2068" s="64"/>
    </row>
    <row r="2069" spans="21:21">
      <c r="U2069" s="64"/>
    </row>
    <row r="2070" spans="21:21">
      <c r="U2070" s="64"/>
    </row>
    <row r="2071" spans="21:21">
      <c r="U2071" s="64"/>
    </row>
    <row r="2072" spans="21:21">
      <c r="U2072" s="64"/>
    </row>
    <row r="2073" spans="21:21">
      <c r="U2073" s="64"/>
    </row>
    <row r="2074" spans="21:21">
      <c r="U2074" s="64"/>
    </row>
    <row r="2075" spans="21:21">
      <c r="U2075" s="64"/>
    </row>
    <row r="2076" spans="21:21">
      <c r="U2076" s="64"/>
    </row>
    <row r="2077" spans="21:21">
      <c r="U2077" s="64"/>
    </row>
    <row r="2078" spans="21:21">
      <c r="U2078" s="64"/>
    </row>
    <row r="2079" spans="21:21">
      <c r="U2079" s="64"/>
    </row>
    <row r="2080" spans="21:21">
      <c r="U2080" s="64"/>
    </row>
    <row r="2081" spans="21:21">
      <c r="U2081" s="64"/>
    </row>
    <row r="2082" spans="21:21">
      <c r="U2082" s="64"/>
    </row>
    <row r="2083" spans="21:21">
      <c r="U2083" s="64"/>
    </row>
    <row r="2084" spans="21:21">
      <c r="U2084" s="64"/>
    </row>
    <row r="2085" spans="21:21">
      <c r="U2085" s="64"/>
    </row>
    <row r="2086" spans="21:21">
      <c r="U2086" s="64"/>
    </row>
    <row r="2087" spans="21:21">
      <c r="U2087" s="64"/>
    </row>
    <row r="2088" spans="21:21">
      <c r="U2088" s="64"/>
    </row>
    <row r="2089" spans="21:21">
      <c r="U2089" s="64"/>
    </row>
    <row r="2090" spans="21:21">
      <c r="U2090" s="64"/>
    </row>
    <row r="2091" spans="21:21">
      <c r="U2091" s="64"/>
    </row>
    <row r="2092" spans="21:21">
      <c r="U2092" s="64"/>
    </row>
    <row r="2093" spans="21:21">
      <c r="U2093" s="64"/>
    </row>
    <row r="2094" spans="21:21">
      <c r="U2094" s="64"/>
    </row>
    <row r="2095" spans="21:21">
      <c r="U2095" s="64"/>
    </row>
    <row r="2096" spans="21:21">
      <c r="U2096" s="64"/>
    </row>
    <row r="2097" spans="21:21">
      <c r="U2097" s="64"/>
    </row>
    <row r="2098" spans="21:21">
      <c r="U2098" s="64"/>
    </row>
    <row r="2099" spans="21:21">
      <c r="U2099" s="64"/>
    </row>
    <row r="2100" spans="21:21">
      <c r="U2100" s="64"/>
    </row>
    <row r="2101" spans="21:21">
      <c r="U2101" s="64"/>
    </row>
    <row r="2102" spans="21:21">
      <c r="U2102" s="64"/>
    </row>
    <row r="2103" spans="21:21">
      <c r="U2103" s="64"/>
    </row>
    <row r="2104" spans="21:21">
      <c r="U2104" s="64"/>
    </row>
    <row r="2105" spans="21:21">
      <c r="U2105" s="64"/>
    </row>
    <row r="2106" spans="21:21">
      <c r="U2106" s="64"/>
    </row>
    <row r="2107" spans="21:21">
      <c r="U2107" s="64"/>
    </row>
    <row r="2108" spans="21:21">
      <c r="U2108" s="64"/>
    </row>
    <row r="2109" spans="21:21">
      <c r="U2109" s="64"/>
    </row>
    <row r="2110" spans="21:21">
      <c r="U2110" s="64"/>
    </row>
    <row r="2111" spans="21:21">
      <c r="U2111" s="64"/>
    </row>
    <row r="2112" spans="21:21">
      <c r="U2112" s="64"/>
    </row>
    <row r="2113" spans="21:21">
      <c r="U2113" s="64"/>
    </row>
    <row r="2114" spans="21:21">
      <c r="U2114" s="64"/>
    </row>
    <row r="2115" spans="21:21">
      <c r="U2115" s="64"/>
    </row>
    <row r="2116" spans="21:21">
      <c r="U2116" s="64"/>
    </row>
    <row r="2117" spans="21:21">
      <c r="U2117" s="64"/>
    </row>
    <row r="2118" spans="21:21">
      <c r="U2118" s="64"/>
    </row>
    <row r="2119" spans="21:21">
      <c r="U2119" s="64"/>
    </row>
    <row r="2120" spans="21:21">
      <c r="U2120" s="64"/>
    </row>
    <row r="2121" spans="21:21">
      <c r="U2121" s="64"/>
    </row>
    <row r="2122" spans="21:21">
      <c r="U2122" s="64"/>
    </row>
    <row r="2123" spans="21:21">
      <c r="U2123" s="64"/>
    </row>
    <row r="2124" spans="21:21">
      <c r="U2124" s="64"/>
    </row>
    <row r="2125" spans="21:21">
      <c r="U2125" s="64"/>
    </row>
    <row r="2126" spans="21:21">
      <c r="U2126" s="64"/>
    </row>
    <row r="2127" spans="21:21">
      <c r="U2127" s="64"/>
    </row>
    <row r="2128" spans="21:21">
      <c r="U2128" s="64"/>
    </row>
    <row r="2129" spans="21:21">
      <c r="U2129" s="64"/>
    </row>
    <row r="2130" spans="21:21">
      <c r="U2130" s="64"/>
    </row>
    <row r="2131" spans="21:21">
      <c r="U2131" s="64"/>
    </row>
    <row r="2132" spans="21:21">
      <c r="U2132" s="64"/>
    </row>
    <row r="2133" spans="21:21">
      <c r="U2133" s="64"/>
    </row>
    <row r="2134" spans="21:21">
      <c r="U2134" s="64"/>
    </row>
    <row r="2135" spans="21:21">
      <c r="U2135" s="64"/>
    </row>
    <row r="2136" spans="21:21">
      <c r="U2136" s="64"/>
    </row>
    <row r="2137" spans="21:21">
      <c r="U2137" s="64"/>
    </row>
    <row r="2138" spans="21:21">
      <c r="U2138" s="64"/>
    </row>
    <row r="2139" spans="21:21">
      <c r="U2139" s="64"/>
    </row>
    <row r="2140" spans="21:21">
      <c r="U2140" s="64"/>
    </row>
    <row r="2141" spans="21:21">
      <c r="U2141" s="64"/>
    </row>
    <row r="2142" spans="21:21">
      <c r="U2142" s="64"/>
    </row>
    <row r="2143" spans="21:21">
      <c r="U2143" s="64"/>
    </row>
    <row r="2144" spans="21:21">
      <c r="U2144" s="64"/>
    </row>
    <row r="2145" spans="21:21">
      <c r="U2145" s="64"/>
    </row>
    <row r="2146" spans="21:21">
      <c r="U2146" s="64"/>
    </row>
    <row r="2147" spans="21:21">
      <c r="U2147" s="64"/>
    </row>
    <row r="2148" spans="21:21">
      <c r="U2148" s="64"/>
    </row>
    <row r="2149" spans="21:21">
      <c r="U2149" s="64"/>
    </row>
    <row r="2150" spans="21:21">
      <c r="U2150" s="64"/>
    </row>
    <row r="2151" spans="21:21">
      <c r="U2151" s="64"/>
    </row>
    <row r="2152" spans="21:21">
      <c r="U2152" s="64"/>
    </row>
    <row r="2153" spans="21:21">
      <c r="U2153" s="64"/>
    </row>
    <row r="2154" spans="21:21">
      <c r="U2154" s="64"/>
    </row>
    <row r="2155" spans="21:21">
      <c r="U2155" s="64"/>
    </row>
    <row r="2156" spans="21:21">
      <c r="U2156" s="64"/>
    </row>
    <row r="2157" spans="21:21">
      <c r="U2157" s="64"/>
    </row>
    <row r="2158" spans="21:21">
      <c r="U2158" s="64"/>
    </row>
    <row r="2159" spans="21:21">
      <c r="U2159" s="64"/>
    </row>
    <row r="2160" spans="21:21">
      <c r="U2160" s="64"/>
    </row>
    <row r="2161" spans="21:21">
      <c r="U2161" s="64"/>
    </row>
    <row r="2162" spans="21:21">
      <c r="U2162" s="64"/>
    </row>
    <row r="2163" spans="21:21">
      <c r="U2163" s="64"/>
    </row>
    <row r="2164" spans="21:21">
      <c r="U2164" s="64"/>
    </row>
    <row r="2165" spans="21:21">
      <c r="U2165" s="64"/>
    </row>
    <row r="2166" spans="21:21">
      <c r="U2166" s="64"/>
    </row>
    <row r="2167" spans="21:21">
      <c r="U2167" s="64"/>
    </row>
    <row r="2168" spans="21:21">
      <c r="U2168" s="64"/>
    </row>
    <row r="2169" spans="21:21">
      <c r="U2169" s="64"/>
    </row>
    <row r="2170" spans="21:21">
      <c r="U2170" s="64"/>
    </row>
    <row r="2171" spans="21:21">
      <c r="U2171" s="64"/>
    </row>
    <row r="2172" spans="21:21">
      <c r="U2172" s="64"/>
    </row>
    <row r="2173" spans="21:21">
      <c r="U2173" s="64"/>
    </row>
    <row r="2174" spans="21:21">
      <c r="U2174" s="64"/>
    </row>
    <row r="2175" spans="21:21">
      <c r="U2175" s="64"/>
    </row>
    <row r="2176" spans="21:21">
      <c r="U2176" s="64"/>
    </row>
    <row r="2177" spans="21:21">
      <c r="U2177" s="64"/>
    </row>
    <row r="2178" spans="21:21">
      <c r="U2178" s="64"/>
    </row>
    <row r="2179" spans="21:21">
      <c r="U2179" s="64"/>
    </row>
    <row r="2180" spans="21:21">
      <c r="U2180" s="64"/>
    </row>
    <row r="2181" spans="21:21">
      <c r="U2181" s="64"/>
    </row>
    <row r="2182" spans="21:21">
      <c r="U2182" s="64"/>
    </row>
    <row r="2183" spans="21:21">
      <c r="U2183" s="64"/>
    </row>
    <row r="2184" spans="21:21">
      <c r="U2184" s="64"/>
    </row>
    <row r="2185" spans="21:21">
      <c r="U2185" s="64"/>
    </row>
    <row r="2186" spans="21:21">
      <c r="U2186" s="64"/>
    </row>
    <row r="2187" spans="21:21">
      <c r="U2187" s="64"/>
    </row>
    <row r="2188" spans="21:21">
      <c r="U2188" s="64"/>
    </row>
    <row r="2189" spans="21:21">
      <c r="U2189" s="64"/>
    </row>
    <row r="2190" spans="21:21">
      <c r="U2190" s="64"/>
    </row>
    <row r="2191" spans="21:21">
      <c r="U2191" s="64"/>
    </row>
    <row r="2192" spans="21:21">
      <c r="U2192" s="64"/>
    </row>
    <row r="2193" spans="21:21">
      <c r="U2193" s="64"/>
    </row>
    <row r="2194" spans="21:21">
      <c r="U2194" s="64"/>
    </row>
    <row r="2195" spans="21:21">
      <c r="U2195" s="64"/>
    </row>
    <row r="2196" spans="21:21">
      <c r="U2196" s="64"/>
    </row>
    <row r="2197" spans="21:21">
      <c r="U2197" s="64"/>
    </row>
    <row r="2198" spans="21:21">
      <c r="U2198" s="64"/>
    </row>
    <row r="2199" spans="21:21">
      <c r="U2199" s="64"/>
    </row>
    <row r="2200" spans="21:21">
      <c r="U2200" s="64"/>
    </row>
    <row r="2201" spans="21:21">
      <c r="U2201" s="64"/>
    </row>
    <row r="2202" spans="21:21">
      <c r="U2202" s="64"/>
    </row>
    <row r="2203" spans="21:21">
      <c r="U2203" s="64"/>
    </row>
    <row r="2204" spans="21:21">
      <c r="U2204" s="64"/>
    </row>
    <row r="2205" spans="21:21">
      <c r="U2205" s="64"/>
    </row>
    <row r="2206" spans="21:21">
      <c r="U2206" s="64"/>
    </row>
    <row r="2207" spans="21:21">
      <c r="U2207" s="64"/>
    </row>
    <row r="2208" spans="21:21">
      <c r="U2208" s="64"/>
    </row>
    <row r="2209" spans="21:21">
      <c r="U2209" s="64"/>
    </row>
    <row r="2210" spans="21:21">
      <c r="U2210" s="64"/>
    </row>
    <row r="2211" spans="21:21">
      <c r="U2211" s="64"/>
    </row>
    <row r="2212" spans="21:21">
      <c r="U2212" s="64"/>
    </row>
    <row r="2213" spans="21:21">
      <c r="U2213" s="64"/>
    </row>
    <row r="2214" spans="21:21">
      <c r="U2214" s="64"/>
    </row>
    <row r="2215" spans="21:21">
      <c r="U2215" s="64"/>
    </row>
    <row r="2216" spans="21:21">
      <c r="U2216" s="64"/>
    </row>
    <row r="2217" spans="21:21">
      <c r="U2217" s="64"/>
    </row>
    <row r="2218" spans="21:21">
      <c r="U2218" s="64"/>
    </row>
    <row r="2219" spans="21:21">
      <c r="U2219" s="64"/>
    </row>
    <row r="2220" spans="21:21">
      <c r="U2220" s="64"/>
    </row>
    <row r="2221" spans="21:21">
      <c r="U2221" s="64"/>
    </row>
    <row r="2222" spans="21:21">
      <c r="U2222" s="64"/>
    </row>
    <row r="2223" spans="21:21">
      <c r="U2223" s="64"/>
    </row>
    <row r="2224" spans="21:21">
      <c r="U2224" s="64"/>
    </row>
    <row r="2225" spans="21:21">
      <c r="U2225" s="64"/>
    </row>
    <row r="2226" spans="21:21">
      <c r="U2226" s="64"/>
    </row>
    <row r="2227" spans="21:21">
      <c r="U2227" s="64"/>
    </row>
    <row r="2228" spans="21:21">
      <c r="U2228" s="64"/>
    </row>
    <row r="2229" spans="21:21">
      <c r="U2229" s="64"/>
    </row>
    <row r="2230" spans="21:21">
      <c r="U2230" s="64"/>
    </row>
    <row r="2231" spans="21:21">
      <c r="U2231" s="64"/>
    </row>
    <row r="2232" spans="21:21">
      <c r="U2232" s="64"/>
    </row>
    <row r="2233" spans="21:21">
      <c r="U2233" s="64"/>
    </row>
    <row r="2234" spans="21:21">
      <c r="U2234" s="64"/>
    </row>
    <row r="2235" spans="21:21">
      <c r="U2235" s="64"/>
    </row>
    <row r="2236" spans="21:21">
      <c r="U2236" s="64"/>
    </row>
    <row r="2237" spans="21:21">
      <c r="U2237" s="64"/>
    </row>
    <row r="2238" spans="21:21">
      <c r="U2238" s="64"/>
    </row>
    <row r="2239" spans="21:21">
      <c r="U2239" s="64"/>
    </row>
    <row r="2240" spans="21:21">
      <c r="U2240" s="64"/>
    </row>
    <row r="2241" spans="21:21">
      <c r="U2241" s="64"/>
    </row>
    <row r="2242" spans="21:21">
      <c r="U2242" s="64"/>
    </row>
    <row r="2243" spans="21:21">
      <c r="U2243" s="64"/>
    </row>
    <row r="2244" spans="21:21">
      <c r="U2244" s="64"/>
    </row>
    <row r="2245" spans="21:21">
      <c r="U2245" s="64"/>
    </row>
    <row r="2246" spans="21:21">
      <c r="U2246" s="64"/>
    </row>
    <row r="2247" spans="21:21">
      <c r="U2247" s="64"/>
    </row>
    <row r="2248" spans="21:21">
      <c r="U2248" s="64"/>
    </row>
    <row r="2249" spans="21:21">
      <c r="U2249" s="64"/>
    </row>
    <row r="2250" spans="21:21">
      <c r="U2250" s="64"/>
    </row>
    <row r="2251" spans="21:21">
      <c r="U2251" s="64"/>
    </row>
    <row r="2252" spans="21:21">
      <c r="U2252" s="64"/>
    </row>
    <row r="2253" spans="21:21">
      <c r="U2253" s="64"/>
    </row>
    <row r="2254" spans="21:21">
      <c r="U2254" s="64"/>
    </row>
    <row r="2255" spans="21:21">
      <c r="U2255" s="64"/>
    </row>
    <row r="2256" spans="21:21">
      <c r="U2256" s="64"/>
    </row>
    <row r="2257" spans="21:21">
      <c r="U2257" s="64"/>
    </row>
    <row r="2258" spans="21:21">
      <c r="U2258" s="64"/>
    </row>
    <row r="2259" spans="21:21">
      <c r="U2259" s="64"/>
    </row>
    <row r="2260" spans="21:21">
      <c r="U2260" s="64"/>
    </row>
    <row r="2261" spans="21:21">
      <c r="U2261" s="64"/>
    </row>
    <row r="2262" spans="21:21">
      <c r="U2262" s="64"/>
    </row>
    <row r="2263" spans="21:21">
      <c r="U2263" s="64"/>
    </row>
    <row r="2264" spans="21:21">
      <c r="U2264" s="64"/>
    </row>
    <row r="2265" spans="21:21">
      <c r="U2265" s="64"/>
    </row>
    <row r="2266" spans="21:21">
      <c r="U2266" s="64"/>
    </row>
    <row r="2267" spans="21:21">
      <c r="U2267" s="64"/>
    </row>
    <row r="2268" spans="21:21">
      <c r="U2268" s="64"/>
    </row>
    <row r="2269" spans="21:21">
      <c r="U2269" s="64"/>
    </row>
    <row r="2270" spans="21:21">
      <c r="U2270" s="64"/>
    </row>
    <row r="2271" spans="21:21">
      <c r="U2271" s="64"/>
    </row>
    <row r="2272" spans="21:21">
      <c r="U2272" s="64"/>
    </row>
    <row r="2273" spans="21:21">
      <c r="U2273" s="64"/>
    </row>
    <row r="2274" spans="21:21">
      <c r="U2274" s="64"/>
    </row>
    <row r="2275" spans="21:21">
      <c r="U2275" s="64"/>
    </row>
    <row r="2276" spans="21:21">
      <c r="U2276" s="64"/>
    </row>
    <row r="2277" spans="21:21">
      <c r="U2277" s="64"/>
    </row>
    <row r="2278" spans="21:21">
      <c r="U2278" s="64"/>
    </row>
    <row r="2279" spans="21:21">
      <c r="U2279" s="64"/>
    </row>
    <row r="2280" spans="21:21">
      <c r="U2280" s="64"/>
    </row>
    <row r="2281" spans="21:21">
      <c r="U2281" s="64"/>
    </row>
    <row r="2282" spans="21:21">
      <c r="U2282" s="64"/>
    </row>
    <row r="2283" spans="21:21">
      <c r="U2283" s="64"/>
    </row>
    <row r="2284" spans="21:21">
      <c r="U2284" s="64"/>
    </row>
    <row r="2285" spans="21:21">
      <c r="U2285" s="64"/>
    </row>
    <row r="2286" spans="21:21">
      <c r="U2286" s="64"/>
    </row>
    <row r="2287" spans="21:21">
      <c r="U2287" s="64"/>
    </row>
    <row r="2288" spans="21:21">
      <c r="U2288" s="64"/>
    </row>
    <row r="2289" spans="21:21">
      <c r="U2289" s="64"/>
    </row>
    <row r="2290" spans="21:21">
      <c r="U2290" s="64"/>
    </row>
    <row r="2291" spans="21:21">
      <c r="U2291" s="64"/>
    </row>
    <row r="2292" spans="21:21">
      <c r="U2292" s="64"/>
    </row>
    <row r="2293" spans="21:21">
      <c r="U2293" s="64"/>
    </row>
    <row r="2294" spans="21:21">
      <c r="U2294" s="64"/>
    </row>
    <row r="2295" spans="21:21">
      <c r="U2295" s="64"/>
    </row>
    <row r="2296" spans="21:21">
      <c r="U2296" s="64"/>
    </row>
    <row r="2297" spans="21:21">
      <c r="U2297" s="64"/>
    </row>
    <row r="2298" spans="21:21">
      <c r="U2298" s="64"/>
    </row>
    <row r="2299" spans="21:21">
      <c r="U2299" s="64"/>
    </row>
    <row r="2300" spans="21:21">
      <c r="U2300" s="64"/>
    </row>
    <row r="2301" spans="21:21">
      <c r="U2301" s="64"/>
    </row>
    <row r="2302" spans="21:21">
      <c r="U2302" s="64"/>
    </row>
    <row r="2303" spans="21:21">
      <c r="U2303" s="64"/>
    </row>
    <row r="2304" spans="21:21">
      <c r="U2304" s="64"/>
    </row>
    <row r="2305" spans="21:21">
      <c r="U2305" s="64"/>
    </row>
    <row r="2306" spans="21:21">
      <c r="U2306" s="64"/>
    </row>
    <row r="2307" spans="21:21">
      <c r="U2307" s="64"/>
    </row>
    <row r="2308" spans="21:21">
      <c r="U2308" s="64"/>
    </row>
    <row r="2309" spans="21:21">
      <c r="U2309" s="64"/>
    </row>
    <row r="2310" spans="21:21">
      <c r="U2310" s="64"/>
    </row>
    <row r="2311" spans="21:21">
      <c r="U2311" s="64"/>
    </row>
    <row r="2312" spans="21:21">
      <c r="U2312" s="64"/>
    </row>
    <row r="2313" spans="21:21">
      <c r="U2313" s="64"/>
    </row>
    <row r="2314" spans="21:21">
      <c r="U2314" s="64"/>
    </row>
    <row r="2315" spans="21:21">
      <c r="U2315" s="64"/>
    </row>
    <row r="2316" spans="21:21">
      <c r="U2316" s="64"/>
    </row>
    <row r="2317" spans="21:21">
      <c r="U2317" s="64"/>
    </row>
    <row r="2318" spans="21:21">
      <c r="U2318" s="64"/>
    </row>
    <row r="2319" spans="21:21">
      <c r="U2319" s="64"/>
    </row>
    <row r="2320" spans="21:21">
      <c r="U2320" s="64"/>
    </row>
    <row r="2321" spans="21:21">
      <c r="U2321" s="64"/>
    </row>
    <row r="2322" spans="21:21">
      <c r="U2322" s="64"/>
    </row>
    <row r="2323" spans="21:21">
      <c r="U2323" s="64"/>
    </row>
    <row r="2324" spans="21:21">
      <c r="U2324" s="64"/>
    </row>
    <row r="2325" spans="21:21">
      <c r="U2325" s="64"/>
    </row>
    <row r="2326" spans="21:21">
      <c r="U2326" s="64"/>
    </row>
    <row r="2327" spans="21:21">
      <c r="U2327" s="64"/>
    </row>
    <row r="2328" spans="21:21">
      <c r="U2328" s="64"/>
    </row>
    <row r="2329" spans="21:21">
      <c r="U2329" s="64"/>
    </row>
    <row r="2330" spans="21:21">
      <c r="U2330" s="64"/>
    </row>
    <row r="2331" spans="21:21">
      <c r="U2331" s="64"/>
    </row>
    <row r="2332" spans="21:21">
      <c r="U2332" s="64"/>
    </row>
    <row r="2333" spans="21:21">
      <c r="U2333" s="64"/>
    </row>
    <row r="2334" spans="21:21">
      <c r="U2334" s="64"/>
    </row>
    <row r="2335" spans="21:21">
      <c r="U2335" s="64"/>
    </row>
    <row r="2336" spans="21:21">
      <c r="U2336" s="64"/>
    </row>
    <row r="2337" spans="21:21">
      <c r="U2337" s="64"/>
    </row>
    <row r="2338" spans="21:21">
      <c r="U2338" s="64"/>
    </row>
    <row r="2339" spans="21:21">
      <c r="U2339" s="64"/>
    </row>
    <row r="2340" spans="21:21">
      <c r="U2340" s="64"/>
    </row>
    <row r="2341" spans="21:21">
      <c r="U2341" s="64"/>
    </row>
    <row r="2342" spans="21:21">
      <c r="U2342" s="64"/>
    </row>
    <row r="2343" spans="21:21">
      <c r="U2343" s="64"/>
    </row>
    <row r="2344" spans="21:21">
      <c r="U2344" s="64"/>
    </row>
    <row r="2345" spans="21:21">
      <c r="U2345" s="64"/>
    </row>
    <row r="2346" spans="21:21">
      <c r="U2346" s="64"/>
    </row>
    <row r="2347" spans="21:21">
      <c r="U2347" s="64"/>
    </row>
    <row r="2348" spans="21:21">
      <c r="U2348" s="64"/>
    </row>
    <row r="2349" spans="21:21">
      <c r="U2349" s="64"/>
    </row>
    <row r="2350" spans="21:21">
      <c r="U2350" s="64"/>
    </row>
    <row r="2351" spans="21:21">
      <c r="U2351" s="64"/>
    </row>
    <row r="2352" spans="21:21">
      <c r="U2352" s="64"/>
    </row>
    <row r="2353" spans="21:21">
      <c r="U2353" s="64"/>
    </row>
    <row r="2354" spans="21:21">
      <c r="U2354" s="64"/>
    </row>
    <row r="2355" spans="21:21">
      <c r="U2355" s="64"/>
    </row>
    <row r="2356" spans="21:21">
      <c r="U2356" s="64"/>
    </row>
    <row r="2357" spans="21:21">
      <c r="U2357" s="64"/>
    </row>
    <row r="2358" spans="21:21">
      <c r="U2358" s="64"/>
    </row>
    <row r="2359" spans="21:21">
      <c r="U2359" s="64"/>
    </row>
    <row r="2360" spans="21:21">
      <c r="U2360" s="64"/>
    </row>
    <row r="2361" spans="21:21">
      <c r="U2361" s="64"/>
    </row>
    <row r="2362" spans="21:21">
      <c r="U2362" s="64"/>
    </row>
    <row r="2363" spans="21:21">
      <c r="U2363" s="64"/>
    </row>
    <row r="2364" spans="21:21">
      <c r="U2364" s="64"/>
    </row>
    <row r="2365" spans="21:21">
      <c r="U2365" s="64"/>
    </row>
    <row r="2366" spans="21:21">
      <c r="U2366" s="64"/>
    </row>
    <row r="2367" spans="21:21">
      <c r="U2367" s="64"/>
    </row>
    <row r="2368" spans="21:21">
      <c r="U2368" s="64"/>
    </row>
    <row r="2369" spans="21:21">
      <c r="U2369" s="64"/>
    </row>
    <row r="2370" spans="21:21">
      <c r="U2370" s="64"/>
    </row>
    <row r="2371" spans="21:21">
      <c r="U2371" s="64"/>
    </row>
    <row r="2372" spans="21:21">
      <c r="U2372" s="64"/>
    </row>
    <row r="2373" spans="21:21">
      <c r="U2373" s="64"/>
    </row>
    <row r="2374" spans="21:21">
      <c r="U2374" s="64"/>
    </row>
    <row r="2375" spans="21:21">
      <c r="U2375" s="64"/>
    </row>
    <row r="2376" spans="21:21">
      <c r="U2376" s="64"/>
    </row>
    <row r="2377" spans="21:21">
      <c r="U2377" s="64"/>
    </row>
    <row r="2378" spans="21:21">
      <c r="U2378" s="64"/>
    </row>
    <row r="2379" spans="21:21">
      <c r="U2379" s="64"/>
    </row>
    <row r="2380" spans="21:21">
      <c r="U2380" s="64"/>
    </row>
    <row r="2381" spans="21:21">
      <c r="U2381" s="64"/>
    </row>
    <row r="2382" spans="21:21">
      <c r="U2382" s="64"/>
    </row>
    <row r="2383" spans="21:21">
      <c r="U2383" s="64"/>
    </row>
    <row r="2384" spans="21:21">
      <c r="U2384" s="64"/>
    </row>
    <row r="2385" spans="21:21">
      <c r="U2385" s="64"/>
    </row>
    <row r="2386" spans="21:21">
      <c r="U2386" s="64"/>
    </row>
    <row r="2387" spans="21:21">
      <c r="U2387" s="64"/>
    </row>
    <row r="2388" spans="21:21">
      <c r="U2388" s="64"/>
    </row>
    <row r="2389" spans="21:21">
      <c r="U2389" s="64"/>
    </row>
    <row r="2390" spans="21:21">
      <c r="U2390" s="64"/>
    </row>
    <row r="2391" spans="21:21">
      <c r="U2391" s="64"/>
    </row>
    <row r="2392" spans="21:21">
      <c r="U2392" s="64"/>
    </row>
    <row r="2393" spans="21:21">
      <c r="U2393" s="64"/>
    </row>
    <row r="2394" spans="21:21">
      <c r="U2394" s="64"/>
    </row>
    <row r="2395" spans="21:21">
      <c r="U2395" s="64"/>
    </row>
    <row r="2396" spans="21:21">
      <c r="U2396" s="64"/>
    </row>
    <row r="2397" spans="21:21">
      <c r="U2397" s="64"/>
    </row>
    <row r="2398" spans="21:21">
      <c r="U2398" s="64"/>
    </row>
    <row r="2399" spans="21:21">
      <c r="U2399" s="64"/>
    </row>
    <row r="2400" spans="21:21">
      <c r="U2400" s="64"/>
    </row>
    <row r="2401" spans="21:21">
      <c r="U2401" s="64"/>
    </row>
    <row r="2402" spans="21:21">
      <c r="U2402" s="64"/>
    </row>
    <row r="2403" spans="21:21">
      <c r="U2403" s="64"/>
    </row>
    <row r="2404" spans="21:21">
      <c r="U2404" s="64"/>
    </row>
    <row r="2405" spans="21:21">
      <c r="U2405" s="64"/>
    </row>
    <row r="2406" spans="21:21">
      <c r="U2406" s="64"/>
    </row>
    <row r="2407" spans="21:21">
      <c r="U2407" s="64"/>
    </row>
    <row r="2408" spans="21:21">
      <c r="U2408" s="64"/>
    </row>
    <row r="2409" spans="21:21">
      <c r="U2409" s="64"/>
    </row>
    <row r="2410" spans="21:21">
      <c r="U2410" s="64"/>
    </row>
    <row r="2411" spans="21:21">
      <c r="U2411" s="64"/>
    </row>
    <row r="2412" spans="21:21">
      <c r="U2412" s="64"/>
    </row>
    <row r="2413" spans="21:21">
      <c r="U2413" s="64"/>
    </row>
    <row r="2414" spans="21:21">
      <c r="U2414" s="64"/>
    </row>
    <row r="2415" spans="21:21">
      <c r="U2415" s="64"/>
    </row>
    <row r="2416" spans="21:21">
      <c r="U2416" s="64"/>
    </row>
    <row r="2417" spans="21:21">
      <c r="U2417" s="64"/>
    </row>
    <row r="2418" spans="21:21">
      <c r="U2418" s="64"/>
    </row>
    <row r="2419" spans="21:21">
      <c r="U2419" s="64"/>
    </row>
    <row r="2420" spans="21:21">
      <c r="U2420" s="64"/>
    </row>
    <row r="2421" spans="21:21">
      <c r="U2421" s="64"/>
    </row>
    <row r="2422" spans="21:21">
      <c r="U2422" s="64"/>
    </row>
    <row r="2423" spans="21:21">
      <c r="U2423" s="64"/>
    </row>
    <row r="2424" spans="21:21">
      <c r="U2424" s="64"/>
    </row>
    <row r="2425" spans="21:21">
      <c r="U2425" s="64"/>
    </row>
    <row r="2426" spans="21:21">
      <c r="U2426" s="64"/>
    </row>
    <row r="2427" spans="21:21">
      <c r="U2427" s="64"/>
    </row>
    <row r="2428" spans="21:21">
      <c r="U2428" s="64"/>
    </row>
    <row r="2429" spans="21:21">
      <c r="U2429" s="64"/>
    </row>
    <row r="2430" spans="21:21">
      <c r="U2430" s="64"/>
    </row>
    <row r="2431" spans="21:21">
      <c r="U2431" s="64"/>
    </row>
    <row r="2432" spans="21:21">
      <c r="U2432" s="64"/>
    </row>
    <row r="2433" spans="21:21">
      <c r="U2433" s="64"/>
    </row>
    <row r="2434" spans="21:21">
      <c r="U2434" s="64"/>
    </row>
    <row r="2435" spans="21:21">
      <c r="U2435" s="64"/>
    </row>
    <row r="2436" spans="21:21">
      <c r="U2436" s="64"/>
    </row>
    <row r="2437" spans="21:21">
      <c r="U2437" s="64"/>
    </row>
    <row r="2438" spans="21:21">
      <c r="U2438" s="64"/>
    </row>
    <row r="2439" spans="21:21">
      <c r="U2439" s="64"/>
    </row>
    <row r="2440" spans="21:21">
      <c r="U2440" s="64"/>
    </row>
    <row r="2441" spans="21:21">
      <c r="U2441" s="64"/>
    </row>
    <row r="2442" spans="21:21">
      <c r="U2442" s="64"/>
    </row>
    <row r="2443" spans="21:21">
      <c r="U2443" s="64"/>
    </row>
    <row r="2444" spans="21:21">
      <c r="U2444" s="64"/>
    </row>
    <row r="2445" spans="21:21">
      <c r="U2445" s="64"/>
    </row>
    <row r="2446" spans="21:21">
      <c r="U2446" s="64"/>
    </row>
    <row r="2447" spans="21:21">
      <c r="U2447" s="64"/>
    </row>
    <row r="2448" spans="21:21">
      <c r="U2448" s="64"/>
    </row>
    <row r="2449" spans="21:21">
      <c r="U2449" s="64"/>
    </row>
    <row r="2450" spans="21:21">
      <c r="U2450" s="64"/>
    </row>
    <row r="2451" spans="21:21">
      <c r="U2451" s="64"/>
    </row>
    <row r="2452" spans="21:21">
      <c r="U2452" s="64"/>
    </row>
    <row r="2453" spans="21:21">
      <c r="U2453" s="64"/>
    </row>
    <row r="2454" spans="21:21">
      <c r="U2454" s="64"/>
    </row>
    <row r="2455" spans="21:21">
      <c r="U2455" s="64"/>
    </row>
    <row r="2456" spans="21:21">
      <c r="U2456" s="64"/>
    </row>
    <row r="2457" spans="21:21">
      <c r="U2457" s="64"/>
    </row>
    <row r="2458" spans="21:21">
      <c r="U2458" s="64"/>
    </row>
    <row r="2459" spans="21:21">
      <c r="U2459" s="64"/>
    </row>
    <row r="2460" spans="21:21">
      <c r="U2460" s="64"/>
    </row>
    <row r="2461" spans="21:21">
      <c r="U2461" s="64"/>
    </row>
    <row r="2462" spans="21:21">
      <c r="U2462" s="64"/>
    </row>
    <row r="2463" spans="21:21">
      <c r="U2463" s="64"/>
    </row>
    <row r="2464" spans="21:21">
      <c r="U2464" s="64"/>
    </row>
    <row r="2465" spans="21:21">
      <c r="U2465" s="64"/>
    </row>
    <row r="2466" spans="21:21">
      <c r="U2466" s="64"/>
    </row>
    <row r="2467" spans="21:21">
      <c r="U2467" s="64"/>
    </row>
    <row r="2468" spans="21:21">
      <c r="U2468" s="64"/>
    </row>
    <row r="2469" spans="21:21">
      <c r="U2469" s="64"/>
    </row>
    <row r="2470" spans="21:21">
      <c r="U2470" s="64"/>
    </row>
    <row r="2471" spans="21:21">
      <c r="U2471" s="64"/>
    </row>
    <row r="2472" spans="21:21">
      <c r="U2472" s="64"/>
    </row>
    <row r="2473" spans="21:21">
      <c r="U2473" s="64"/>
    </row>
    <row r="2474" spans="21:21">
      <c r="U2474" s="64"/>
    </row>
    <row r="2475" spans="21:21">
      <c r="U2475" s="64"/>
    </row>
    <row r="2476" spans="21:21">
      <c r="U2476" s="64"/>
    </row>
    <row r="2477" spans="21:21">
      <c r="U2477" s="64"/>
    </row>
    <row r="2478" spans="21:21">
      <c r="U2478" s="64"/>
    </row>
    <row r="2479" spans="21:21">
      <c r="U2479" s="64"/>
    </row>
    <row r="2480" spans="21:21">
      <c r="U2480" s="64"/>
    </row>
    <row r="2481" spans="21:21">
      <c r="U2481" s="64"/>
    </row>
    <row r="2482" spans="21:21">
      <c r="U2482" s="64"/>
    </row>
    <row r="2483" spans="21:21">
      <c r="U2483" s="64"/>
    </row>
    <row r="2484" spans="21:21">
      <c r="U2484" s="64"/>
    </row>
    <row r="2485" spans="21:21">
      <c r="U2485" s="64"/>
    </row>
    <row r="2486" spans="21:21">
      <c r="U2486" s="64"/>
    </row>
    <row r="2487" spans="21:21">
      <c r="U2487" s="64"/>
    </row>
    <row r="2488" spans="21:21">
      <c r="U2488" s="64"/>
    </row>
    <row r="2489" spans="21:21">
      <c r="U2489" s="64"/>
    </row>
    <row r="2490" spans="21:21">
      <c r="U2490" s="64"/>
    </row>
    <row r="2491" spans="21:21">
      <c r="U2491" s="64"/>
    </row>
    <row r="2492" spans="21:21">
      <c r="U2492" s="64"/>
    </row>
    <row r="2493" spans="21:21">
      <c r="U2493" s="64"/>
    </row>
    <row r="2494" spans="21:21">
      <c r="U2494" s="64"/>
    </row>
    <row r="2495" spans="21:21">
      <c r="U2495" s="64"/>
    </row>
    <row r="2496" spans="21:21">
      <c r="U2496" s="64"/>
    </row>
    <row r="2497" spans="21:21">
      <c r="U2497" s="64"/>
    </row>
    <row r="2498" spans="21:21">
      <c r="U2498" s="64"/>
    </row>
    <row r="2499" spans="21:21">
      <c r="U2499" s="64"/>
    </row>
    <row r="2500" spans="21:21">
      <c r="U2500" s="64"/>
    </row>
    <row r="2501" spans="21:21">
      <c r="U2501" s="64"/>
    </row>
    <row r="2502" spans="21:21">
      <c r="U2502" s="64"/>
    </row>
    <row r="2503" spans="21:21">
      <c r="U2503" s="64"/>
    </row>
    <row r="2504" spans="21:21">
      <c r="U2504" s="64"/>
    </row>
    <row r="2505" spans="21:21">
      <c r="U2505" s="64"/>
    </row>
    <row r="2506" spans="21:21">
      <c r="U2506" s="64"/>
    </row>
    <row r="2507" spans="21:21">
      <c r="U2507" s="64"/>
    </row>
    <row r="2508" spans="21:21">
      <c r="U2508" s="64"/>
    </row>
    <row r="2509" spans="21:21">
      <c r="U2509" s="64"/>
    </row>
    <row r="2510" spans="21:21">
      <c r="U2510" s="64"/>
    </row>
    <row r="2511" spans="21:21">
      <c r="U2511" s="64"/>
    </row>
    <row r="2512" spans="21:21">
      <c r="U2512" s="64"/>
    </row>
    <row r="2513" spans="21:21">
      <c r="U2513" s="64"/>
    </row>
    <row r="2514" spans="21:21">
      <c r="U2514" s="64"/>
    </row>
    <row r="2515" spans="21:21">
      <c r="U2515" s="64"/>
    </row>
    <row r="2516" spans="21:21">
      <c r="U2516" s="64"/>
    </row>
    <row r="2517" spans="21:21">
      <c r="U2517" s="64"/>
    </row>
    <row r="2518" spans="21:21">
      <c r="U2518" s="64"/>
    </row>
    <row r="2519" spans="21:21">
      <c r="U2519" s="64"/>
    </row>
    <row r="2520" spans="21:21">
      <c r="U2520" s="64"/>
    </row>
    <row r="2521" spans="21:21">
      <c r="U2521" s="64"/>
    </row>
    <row r="2522" spans="21:21">
      <c r="U2522" s="64"/>
    </row>
    <row r="2523" spans="21:21">
      <c r="U2523" s="64"/>
    </row>
    <row r="2524" spans="21:21">
      <c r="U2524" s="64"/>
    </row>
    <row r="2525" spans="21:21">
      <c r="U2525" s="64"/>
    </row>
    <row r="2526" spans="21:21">
      <c r="U2526" s="64"/>
    </row>
    <row r="2527" spans="21:21">
      <c r="U2527" s="64"/>
    </row>
    <row r="2528" spans="21:21">
      <c r="U2528" s="64"/>
    </row>
    <row r="2529" spans="21:21">
      <c r="U2529" s="64"/>
    </row>
    <row r="2530" spans="21:21">
      <c r="U2530" s="64"/>
    </row>
    <row r="2531" spans="21:21">
      <c r="U2531" s="64"/>
    </row>
    <row r="2532" spans="21:21">
      <c r="U2532" s="64"/>
    </row>
    <row r="2533" spans="21:21">
      <c r="U2533" s="64"/>
    </row>
    <row r="2534" spans="21:21">
      <c r="U2534" s="64"/>
    </row>
    <row r="2535" spans="21:21">
      <c r="U2535" s="64"/>
    </row>
    <row r="2536" spans="21:21">
      <c r="U2536" s="64"/>
    </row>
    <row r="2537" spans="21:21">
      <c r="U2537" s="64"/>
    </row>
    <row r="2538" spans="21:21">
      <c r="U2538" s="64"/>
    </row>
    <row r="2539" spans="21:21">
      <c r="U2539" s="64"/>
    </row>
    <row r="2540" spans="21:21">
      <c r="U2540" s="64"/>
    </row>
    <row r="2541" spans="21:21">
      <c r="U2541" s="64"/>
    </row>
    <row r="2542" spans="21:21">
      <c r="U2542" s="64"/>
    </row>
    <row r="2543" spans="21:21">
      <c r="U2543" s="64"/>
    </row>
    <row r="2544" spans="21:21">
      <c r="U2544" s="64"/>
    </row>
    <row r="2545" spans="21:21">
      <c r="U2545" s="64"/>
    </row>
    <row r="2546" spans="21:21">
      <c r="U2546" s="64"/>
    </row>
    <row r="2547" spans="21:21">
      <c r="U2547" s="64"/>
    </row>
    <row r="2548" spans="21:21">
      <c r="U2548" s="64"/>
    </row>
    <row r="2549" spans="21:21">
      <c r="U2549" s="64"/>
    </row>
    <row r="2550" spans="21:21">
      <c r="U2550" s="64"/>
    </row>
    <row r="2551" spans="21:21">
      <c r="U2551" s="64"/>
    </row>
    <row r="2552" spans="21:21">
      <c r="U2552" s="64"/>
    </row>
    <row r="2553" spans="21:21">
      <c r="U2553" s="64"/>
    </row>
    <row r="2554" spans="21:21">
      <c r="U2554" s="64"/>
    </row>
    <row r="2555" spans="21:21">
      <c r="U2555" s="64"/>
    </row>
    <row r="2556" spans="21:21">
      <c r="U2556" s="64"/>
    </row>
    <row r="2557" spans="21:21">
      <c r="U2557" s="64"/>
    </row>
    <row r="2558" spans="21:21">
      <c r="U2558" s="64"/>
    </row>
    <row r="2559" spans="21:21">
      <c r="U2559" s="64"/>
    </row>
    <row r="2560" spans="21:21">
      <c r="U2560" s="64"/>
    </row>
    <row r="2561" spans="21:21">
      <c r="U2561" s="64"/>
    </row>
    <row r="2562" spans="21:21">
      <c r="U2562" s="64"/>
    </row>
    <row r="2563" spans="21:21">
      <c r="U2563" s="64"/>
    </row>
    <row r="2564" spans="21:21">
      <c r="U2564" s="64"/>
    </row>
    <row r="2565" spans="21:21">
      <c r="U2565" s="64"/>
    </row>
    <row r="2566" spans="21:21">
      <c r="U2566" s="64"/>
    </row>
    <row r="2567" spans="21:21">
      <c r="U2567" s="64"/>
    </row>
    <row r="2568" spans="21:21">
      <c r="U2568" s="64"/>
    </row>
    <row r="2569" spans="21:21">
      <c r="U2569" s="64"/>
    </row>
    <row r="2570" spans="21:21">
      <c r="U2570" s="64"/>
    </row>
    <row r="2571" spans="21:21">
      <c r="U2571" s="64"/>
    </row>
    <row r="2572" spans="21:21">
      <c r="U2572" s="64"/>
    </row>
    <row r="2573" spans="21:21">
      <c r="U2573" s="64"/>
    </row>
    <row r="2574" spans="21:21">
      <c r="U2574" s="64"/>
    </row>
    <row r="2575" spans="21:21">
      <c r="U2575" s="64"/>
    </row>
    <row r="2576" spans="21:21">
      <c r="U2576" s="64"/>
    </row>
    <row r="2577" spans="21:21">
      <c r="U2577" s="64"/>
    </row>
    <row r="2578" spans="21:21">
      <c r="U2578" s="64"/>
    </row>
    <row r="2579" spans="21:21">
      <c r="U2579" s="64"/>
    </row>
    <row r="2580" spans="21:21">
      <c r="U2580" s="64"/>
    </row>
    <row r="2581" spans="21:21">
      <c r="U2581" s="64"/>
    </row>
    <row r="2582" spans="21:21">
      <c r="U2582" s="64"/>
    </row>
    <row r="2583" spans="21:21">
      <c r="U2583" s="64"/>
    </row>
    <row r="2584" spans="21:21">
      <c r="U2584" s="64"/>
    </row>
    <row r="2585" spans="21:21">
      <c r="U2585" s="64"/>
    </row>
    <row r="2586" spans="21:21">
      <c r="U2586" s="64"/>
    </row>
    <row r="2587" spans="21:21">
      <c r="U2587" s="64"/>
    </row>
    <row r="2588" spans="21:21">
      <c r="U2588" s="64"/>
    </row>
    <row r="2589" spans="21:21">
      <c r="U2589" s="64"/>
    </row>
    <row r="2590" spans="21:21">
      <c r="U2590" s="64"/>
    </row>
    <row r="2591" spans="21:21">
      <c r="U2591" s="64"/>
    </row>
    <row r="2592" spans="21:21">
      <c r="U2592" s="64"/>
    </row>
    <row r="2593" spans="21:21">
      <c r="U2593" s="64"/>
    </row>
    <row r="2594" spans="21:21">
      <c r="U2594" s="64"/>
    </row>
    <row r="2595" spans="21:21">
      <c r="U2595" s="64"/>
    </row>
    <row r="2596" spans="21:21">
      <c r="U2596" s="64"/>
    </row>
    <row r="2597" spans="21:21">
      <c r="U2597" s="64"/>
    </row>
    <row r="2598" spans="21:21">
      <c r="U2598" s="64"/>
    </row>
    <row r="2599" spans="21:21">
      <c r="U2599" s="64"/>
    </row>
    <row r="2600" spans="21:21">
      <c r="U2600" s="64"/>
    </row>
    <row r="2601" spans="21:21">
      <c r="U2601" s="64"/>
    </row>
    <row r="2602" spans="21:21">
      <c r="U2602" s="64"/>
    </row>
    <row r="2603" spans="21:21">
      <c r="U2603" s="64"/>
    </row>
    <row r="2604" spans="21:21">
      <c r="U2604" s="64"/>
    </row>
    <row r="2605" spans="21:21">
      <c r="U2605" s="64"/>
    </row>
    <row r="2606" spans="21:21">
      <c r="U2606" s="64"/>
    </row>
    <row r="2607" spans="21:21">
      <c r="U2607" s="64"/>
    </row>
    <row r="2608" spans="21:21">
      <c r="U2608" s="64"/>
    </row>
    <row r="2609" spans="21:21">
      <c r="U2609" s="64"/>
    </row>
    <row r="2610" spans="21:21">
      <c r="U2610" s="64"/>
    </row>
    <row r="2611" spans="21:21">
      <c r="U2611" s="64"/>
    </row>
    <row r="2612" spans="21:21">
      <c r="U2612" s="64"/>
    </row>
    <row r="2613" spans="21:21">
      <c r="U2613" s="64"/>
    </row>
    <row r="2614" spans="21:21">
      <c r="U2614" s="64"/>
    </row>
    <row r="2615" spans="21:21">
      <c r="U2615" s="64"/>
    </row>
    <row r="2616" spans="21:21">
      <c r="U2616" s="64"/>
    </row>
    <row r="2617" spans="21:21">
      <c r="U2617" s="64"/>
    </row>
    <row r="2618" spans="21:21">
      <c r="U2618" s="64"/>
    </row>
    <row r="2619" spans="21:21">
      <c r="U2619" s="64"/>
    </row>
    <row r="2620" spans="21:21">
      <c r="U2620" s="64"/>
    </row>
    <row r="2621" spans="21:21">
      <c r="U2621" s="64"/>
    </row>
    <row r="2622" spans="21:21">
      <c r="U2622" s="64"/>
    </row>
    <row r="2623" spans="21:21">
      <c r="U2623" s="64"/>
    </row>
    <row r="2624" spans="21:21">
      <c r="U2624" s="64"/>
    </row>
    <row r="2625" spans="21:21">
      <c r="U2625" s="64"/>
    </row>
    <row r="2626" spans="21:21">
      <c r="U2626" s="64"/>
    </row>
    <row r="2627" spans="21:21">
      <c r="U2627" s="64"/>
    </row>
    <row r="2628" spans="21:21">
      <c r="U2628" s="64"/>
    </row>
    <row r="2629" spans="21:21">
      <c r="U2629" s="64"/>
    </row>
    <row r="2630" spans="21:21">
      <c r="U2630" s="64"/>
    </row>
    <row r="2631" spans="21:21">
      <c r="U2631" s="64"/>
    </row>
    <row r="2632" spans="21:21">
      <c r="U2632" s="64"/>
    </row>
    <row r="2633" spans="21:21">
      <c r="U2633" s="64"/>
    </row>
    <row r="2634" spans="21:21">
      <c r="U2634" s="64"/>
    </row>
    <row r="2635" spans="21:21">
      <c r="U2635" s="64"/>
    </row>
    <row r="2636" spans="21:21">
      <c r="U2636" s="64"/>
    </row>
    <row r="2637" spans="21:21">
      <c r="U2637" s="64"/>
    </row>
    <row r="2638" spans="21:21">
      <c r="U2638" s="64"/>
    </row>
    <row r="2639" spans="21:21">
      <c r="U2639" s="64"/>
    </row>
    <row r="2640" spans="21:21">
      <c r="U2640" s="64"/>
    </row>
    <row r="2641" spans="21:21">
      <c r="U2641" s="64"/>
    </row>
    <row r="2642" spans="21:21">
      <c r="U2642" s="64"/>
    </row>
    <row r="2643" spans="21:21">
      <c r="U2643" s="64"/>
    </row>
    <row r="2644" spans="21:21">
      <c r="U2644" s="64"/>
    </row>
    <row r="2645" spans="21:21">
      <c r="U2645" s="64"/>
    </row>
    <row r="2646" spans="21:21">
      <c r="U2646" s="64"/>
    </row>
    <row r="2647" spans="21:21">
      <c r="U2647" s="64"/>
    </row>
    <row r="2648" spans="21:21">
      <c r="U2648" s="64"/>
    </row>
    <row r="2649" spans="21:21">
      <c r="U2649" s="64"/>
    </row>
    <row r="2650" spans="21:21">
      <c r="U2650" s="64"/>
    </row>
    <row r="2651" spans="21:21">
      <c r="U2651" s="64"/>
    </row>
    <row r="2652" spans="21:21">
      <c r="U2652" s="64"/>
    </row>
    <row r="2653" spans="21:21">
      <c r="U2653" s="64"/>
    </row>
    <row r="2654" spans="21:21">
      <c r="U2654" s="64"/>
    </row>
    <row r="2655" spans="21:21">
      <c r="U2655" s="64"/>
    </row>
    <row r="2656" spans="21:21">
      <c r="U2656" s="64"/>
    </row>
    <row r="2657" spans="21:21">
      <c r="U2657" s="64"/>
    </row>
    <row r="2658" spans="21:21">
      <c r="U2658" s="64"/>
    </row>
    <row r="2659" spans="21:21">
      <c r="U2659" s="64"/>
    </row>
    <row r="2660" spans="21:21">
      <c r="U2660" s="64"/>
    </row>
    <row r="2661" spans="21:21">
      <c r="U2661" s="64"/>
    </row>
    <row r="2662" spans="21:21">
      <c r="U2662" s="64"/>
    </row>
    <row r="2663" spans="21:21">
      <c r="U2663" s="64"/>
    </row>
    <row r="2664" spans="21:21">
      <c r="U2664" s="64"/>
    </row>
    <row r="2665" spans="21:21">
      <c r="U2665" s="64"/>
    </row>
    <row r="2666" spans="21:21">
      <c r="U2666" s="64"/>
    </row>
    <row r="2667" spans="21:21">
      <c r="U2667" s="64"/>
    </row>
    <row r="2668" spans="21:21">
      <c r="U2668" s="64"/>
    </row>
    <row r="2669" spans="21:21">
      <c r="U2669" s="64"/>
    </row>
    <row r="2670" spans="21:21">
      <c r="U2670" s="64"/>
    </row>
    <row r="2671" spans="21:21">
      <c r="U2671" s="64"/>
    </row>
    <row r="2672" spans="21:21">
      <c r="U2672" s="64"/>
    </row>
    <row r="2673" spans="21:21">
      <c r="U2673" s="64"/>
    </row>
    <row r="2674" spans="21:21">
      <c r="U2674" s="64"/>
    </row>
    <row r="2675" spans="21:21">
      <c r="U2675" s="64"/>
    </row>
    <row r="2676" spans="21:21">
      <c r="U2676" s="64"/>
    </row>
    <row r="2677" spans="21:21">
      <c r="U2677" s="64"/>
    </row>
    <row r="2678" spans="21:21">
      <c r="U2678" s="64"/>
    </row>
    <row r="2679" spans="21:21">
      <c r="U2679" s="64"/>
    </row>
    <row r="2680" spans="21:21">
      <c r="U2680" s="64"/>
    </row>
    <row r="2681" spans="21:21">
      <c r="U2681" s="64"/>
    </row>
    <row r="2682" spans="21:21">
      <c r="U2682" s="64"/>
    </row>
    <row r="2683" spans="21:21">
      <c r="U2683" s="64"/>
    </row>
    <row r="2684" spans="21:21">
      <c r="U2684" s="64"/>
    </row>
    <row r="2685" spans="21:21">
      <c r="U2685" s="64"/>
    </row>
    <row r="2686" spans="21:21">
      <c r="U2686" s="64"/>
    </row>
    <row r="2687" spans="21:21">
      <c r="U2687" s="64"/>
    </row>
    <row r="2688" spans="21:21">
      <c r="U2688" s="64"/>
    </row>
    <row r="2689" spans="21:21">
      <c r="U2689" s="64"/>
    </row>
    <row r="2690" spans="21:21">
      <c r="U2690" s="64"/>
    </row>
    <row r="2691" spans="21:21">
      <c r="U2691" s="64"/>
    </row>
    <row r="2692" spans="21:21">
      <c r="U2692" s="64"/>
    </row>
    <row r="2693" spans="21:21">
      <c r="U2693" s="64"/>
    </row>
    <row r="2694" spans="21:21">
      <c r="U2694" s="64"/>
    </row>
    <row r="2695" spans="21:21">
      <c r="U2695" s="64"/>
    </row>
    <row r="2696" spans="21:21">
      <c r="U2696" s="64"/>
    </row>
    <row r="2697" spans="21:21">
      <c r="U2697" s="64"/>
    </row>
    <row r="2698" spans="21:21">
      <c r="U2698" s="64"/>
    </row>
    <row r="2699" spans="21:21">
      <c r="U2699" s="64"/>
    </row>
    <row r="2700" spans="21:21">
      <c r="U2700" s="64"/>
    </row>
    <row r="2701" spans="21:21">
      <c r="U2701" s="64"/>
    </row>
    <row r="2702" spans="21:21">
      <c r="U2702" s="64"/>
    </row>
    <row r="2703" spans="21:21">
      <c r="U2703" s="64"/>
    </row>
    <row r="2704" spans="21:21">
      <c r="U2704" s="64"/>
    </row>
    <row r="2705" spans="21:21">
      <c r="U2705" s="64"/>
    </row>
    <row r="2706" spans="21:21">
      <c r="U2706" s="64"/>
    </row>
    <row r="2707" spans="21:21">
      <c r="U2707" s="64"/>
    </row>
    <row r="2708" spans="21:21">
      <c r="U2708" s="64"/>
    </row>
    <row r="2709" spans="21:21">
      <c r="U2709" s="64"/>
    </row>
    <row r="2710" spans="21:21">
      <c r="U2710" s="64"/>
    </row>
    <row r="2711" spans="21:21">
      <c r="U2711" s="64"/>
    </row>
    <row r="2712" spans="21:21">
      <c r="U2712" s="64"/>
    </row>
    <row r="2713" spans="21:21">
      <c r="U2713" s="64"/>
    </row>
    <row r="2714" spans="21:21">
      <c r="U2714" s="64"/>
    </row>
    <row r="2715" spans="21:21">
      <c r="U2715" s="64"/>
    </row>
    <row r="2716" spans="21:21">
      <c r="U2716" s="64"/>
    </row>
    <row r="2717" spans="21:21">
      <c r="U2717" s="64"/>
    </row>
    <row r="2718" spans="21:21">
      <c r="U2718" s="64"/>
    </row>
    <row r="2719" spans="21:21">
      <c r="U2719" s="64"/>
    </row>
    <row r="2720" spans="21:21">
      <c r="U2720" s="64"/>
    </row>
    <row r="2721" spans="21:21">
      <c r="U2721" s="64"/>
    </row>
    <row r="2722" spans="21:21">
      <c r="U2722" s="64"/>
    </row>
    <row r="2723" spans="21:21">
      <c r="U2723" s="64"/>
    </row>
    <row r="2724" spans="21:21">
      <c r="U2724" s="64"/>
    </row>
    <row r="2725" spans="21:21">
      <c r="U2725" s="64"/>
    </row>
    <row r="2726" spans="21:21">
      <c r="U2726" s="64"/>
    </row>
    <row r="2727" spans="21:21">
      <c r="U2727" s="64"/>
    </row>
    <row r="2728" spans="21:21">
      <c r="U2728" s="64"/>
    </row>
    <row r="2729" spans="21:21">
      <c r="U2729" s="64"/>
    </row>
    <row r="2730" spans="21:21">
      <c r="U2730" s="64"/>
    </row>
    <row r="2731" spans="21:21">
      <c r="U2731" s="64"/>
    </row>
    <row r="2732" spans="21:21">
      <c r="U2732" s="64"/>
    </row>
    <row r="2733" spans="21:21">
      <c r="U2733" s="64"/>
    </row>
    <row r="2734" spans="21:21">
      <c r="U2734" s="64"/>
    </row>
    <row r="2735" spans="21:21">
      <c r="U2735" s="64"/>
    </row>
    <row r="2736" spans="21:21">
      <c r="U2736" s="64"/>
    </row>
    <row r="2737" spans="21:21">
      <c r="U2737" s="64"/>
    </row>
    <row r="2738" spans="21:21">
      <c r="U2738" s="64"/>
    </row>
    <row r="2739" spans="21:21">
      <c r="U2739" s="64"/>
    </row>
    <row r="2740" spans="21:21">
      <c r="U2740" s="64"/>
    </row>
    <row r="2741" spans="21:21">
      <c r="U2741" s="64"/>
    </row>
    <row r="2742" spans="21:21">
      <c r="U2742" s="64"/>
    </row>
    <row r="2743" spans="21:21">
      <c r="U2743" s="64"/>
    </row>
    <row r="2744" spans="21:21">
      <c r="U2744" s="64"/>
    </row>
    <row r="2745" spans="21:21">
      <c r="U2745" s="64"/>
    </row>
    <row r="2746" spans="21:21">
      <c r="U2746" s="64"/>
    </row>
    <row r="2747" spans="21:21">
      <c r="U2747" s="64"/>
    </row>
    <row r="2748" spans="21:21">
      <c r="U2748" s="64"/>
    </row>
    <row r="2749" spans="21:21">
      <c r="U2749" s="64"/>
    </row>
    <row r="2750" spans="21:21">
      <c r="U2750" s="64"/>
    </row>
    <row r="2751" spans="21:21">
      <c r="U2751" s="64"/>
    </row>
    <row r="2752" spans="21:21">
      <c r="U2752" s="64"/>
    </row>
    <row r="2753" spans="21:21">
      <c r="U2753" s="64"/>
    </row>
    <row r="2754" spans="21:21">
      <c r="U2754" s="64"/>
    </row>
    <row r="2755" spans="21:21">
      <c r="U2755" s="64"/>
    </row>
    <row r="2756" spans="21:21">
      <c r="U2756" s="64"/>
    </row>
    <row r="2757" spans="21:21">
      <c r="U2757" s="64"/>
    </row>
    <row r="1047813" s="4" customFormat="1" spans="1:32">
      <c r="A1047813" s="5"/>
      <c r="B1047813" s="5"/>
      <c r="C1047813" s="5"/>
      <c r="D1047813" s="5"/>
      <c r="E1047813" s="5"/>
      <c r="F1047813" s="5"/>
      <c r="G1047813" s="5"/>
      <c r="H1047813" s="5"/>
      <c r="I1047813" s="5"/>
      <c r="J1047813" s="65"/>
      <c r="K1047813" s="66"/>
      <c r="L1047813" s="66"/>
      <c r="M1047813" s="66"/>
      <c r="N1047813" s="66"/>
      <c r="AF1047813" s="67"/>
    </row>
    <row r="1047814" s="4" customFormat="1" spans="1:32">
      <c r="A1047814" s="5"/>
      <c r="B1047814" s="5"/>
      <c r="C1047814" s="5"/>
      <c r="D1047814" s="5"/>
      <c r="E1047814" s="5"/>
      <c r="F1047814" s="5"/>
      <c r="G1047814" s="5"/>
      <c r="H1047814" s="5"/>
      <c r="I1047814" s="5"/>
      <c r="J1047814" s="65"/>
      <c r="K1047814" s="66"/>
      <c r="L1047814" s="66"/>
      <c r="M1047814" s="66"/>
      <c r="N1047814" s="66"/>
      <c r="AF1047814" s="67"/>
    </row>
    <row r="1047815" s="4" customFormat="1" spans="1:32">
      <c r="A1047815" s="5"/>
      <c r="B1047815" s="5"/>
      <c r="C1047815" s="5"/>
      <c r="D1047815" s="5"/>
      <c r="E1047815" s="5"/>
      <c r="F1047815" s="5"/>
      <c r="G1047815" s="5"/>
      <c r="H1047815" s="5"/>
      <c r="I1047815" s="5"/>
      <c r="J1047815" s="65"/>
      <c r="K1047815" s="66"/>
      <c r="L1047815" s="66"/>
      <c r="M1047815" s="66"/>
      <c r="N1047815" s="66"/>
      <c r="AF1047815" s="67"/>
    </row>
    <row r="1047816" s="4" customFormat="1" spans="1:32">
      <c r="A1047816" s="5"/>
      <c r="B1047816" s="5"/>
      <c r="C1047816" s="5"/>
      <c r="D1047816" s="5"/>
      <c r="E1047816" s="5"/>
      <c r="F1047816" s="5"/>
      <c r="G1047816" s="5"/>
      <c r="H1047816" s="5"/>
      <c r="I1047816" s="5"/>
      <c r="J1047816" s="65"/>
      <c r="K1047816" s="66"/>
      <c r="L1047816" s="66"/>
      <c r="M1047816" s="66"/>
      <c r="N1047816" s="66"/>
      <c r="AF1047816" s="67"/>
    </row>
    <row r="1047817" s="4" customFormat="1" spans="1:32">
      <c r="A1047817" s="5"/>
      <c r="B1047817" s="5"/>
      <c r="C1047817" s="5"/>
      <c r="D1047817" s="5"/>
      <c r="E1047817" s="5"/>
      <c r="F1047817" s="5"/>
      <c r="G1047817" s="5"/>
      <c r="H1047817" s="5"/>
      <c r="I1047817" s="5"/>
      <c r="J1047817" s="65"/>
      <c r="K1047817" s="66"/>
      <c r="L1047817" s="66"/>
      <c r="M1047817" s="66"/>
      <c r="N1047817" s="66"/>
      <c r="AF1047817" s="67"/>
    </row>
    <row r="1047818" s="4" customFormat="1" spans="1:32">
      <c r="A1047818" s="5"/>
      <c r="B1047818" s="5"/>
      <c r="C1047818" s="5"/>
      <c r="D1047818" s="5"/>
      <c r="E1047818" s="5"/>
      <c r="F1047818" s="5"/>
      <c r="G1047818" s="5"/>
      <c r="H1047818" s="5"/>
      <c r="I1047818" s="5"/>
      <c r="J1047818" s="65"/>
      <c r="K1047818" s="66"/>
      <c r="L1047818" s="66"/>
      <c r="M1047818" s="66"/>
      <c r="N1047818" s="66"/>
      <c r="AF1047818" s="67"/>
    </row>
    <row r="1047819" s="4" customFormat="1" spans="1:32">
      <c r="A1047819" s="5"/>
      <c r="B1047819" s="5"/>
      <c r="C1047819" s="5"/>
      <c r="D1047819" s="5"/>
      <c r="E1047819" s="5"/>
      <c r="F1047819" s="5"/>
      <c r="G1047819" s="5"/>
      <c r="H1047819" s="5"/>
      <c r="I1047819" s="5"/>
      <c r="J1047819" s="65"/>
      <c r="K1047819" s="66"/>
      <c r="L1047819" s="66"/>
      <c r="M1047819" s="66"/>
      <c r="N1047819" s="66"/>
      <c r="AF1047819" s="67"/>
    </row>
    <row r="1047820" s="4" customFormat="1" spans="1:32">
      <c r="A1047820" s="5"/>
      <c r="B1047820" s="5"/>
      <c r="C1047820" s="5"/>
      <c r="D1047820" s="5"/>
      <c r="E1047820" s="5"/>
      <c r="F1047820" s="5"/>
      <c r="G1047820" s="5"/>
      <c r="H1047820" s="5"/>
      <c r="I1047820" s="5"/>
      <c r="J1047820" s="65"/>
      <c r="K1047820" s="66"/>
      <c r="L1047820" s="66"/>
      <c r="M1047820" s="66"/>
      <c r="N1047820" s="66"/>
      <c r="AF1047820" s="67"/>
    </row>
    <row r="1047821" s="4" customFormat="1" spans="1:32">
      <c r="A1047821" s="5"/>
      <c r="B1047821" s="5"/>
      <c r="C1047821" s="5"/>
      <c r="D1047821" s="5"/>
      <c r="E1047821" s="5"/>
      <c r="F1047821" s="5"/>
      <c r="G1047821" s="5"/>
      <c r="H1047821" s="5"/>
      <c r="I1047821" s="5"/>
      <c r="J1047821" s="65"/>
      <c r="K1047821" s="66"/>
      <c r="L1047821" s="66"/>
      <c r="M1047821" s="66"/>
      <c r="N1047821" s="66"/>
      <c r="AF1047821" s="67"/>
    </row>
    <row r="1047822" s="4" customFormat="1" spans="1:32">
      <c r="A1047822" s="5"/>
      <c r="B1047822" s="5"/>
      <c r="C1047822" s="5"/>
      <c r="D1047822" s="5"/>
      <c r="E1047822" s="5"/>
      <c r="F1047822" s="5"/>
      <c r="G1047822" s="5"/>
      <c r="H1047822" s="5"/>
      <c r="I1047822" s="5"/>
      <c r="J1047822" s="65"/>
      <c r="K1047822" s="66"/>
      <c r="L1047822" s="66"/>
      <c r="M1047822" s="66"/>
      <c r="N1047822" s="66"/>
      <c r="AF1047822" s="67"/>
    </row>
    <row r="1047823" s="4" customFormat="1" spans="1:32">
      <c r="A1047823" s="5"/>
      <c r="B1047823" s="5"/>
      <c r="C1047823" s="5"/>
      <c r="D1047823" s="5"/>
      <c r="E1047823" s="5"/>
      <c r="F1047823" s="5"/>
      <c r="G1047823" s="5"/>
      <c r="H1047823" s="5"/>
      <c r="I1047823" s="5"/>
      <c r="J1047823" s="65"/>
      <c r="K1047823" s="66"/>
      <c r="L1047823" s="66"/>
      <c r="M1047823" s="66"/>
      <c r="N1047823" s="66"/>
      <c r="AF1047823" s="67"/>
    </row>
    <row r="1047824" s="4" customFormat="1" spans="1:32">
      <c r="A1047824" s="5"/>
      <c r="B1047824" s="5"/>
      <c r="C1047824" s="5"/>
      <c r="D1047824" s="5"/>
      <c r="E1047824" s="5"/>
      <c r="F1047824" s="5"/>
      <c r="G1047824" s="5"/>
      <c r="H1047824" s="5"/>
      <c r="I1047824" s="5"/>
      <c r="J1047824" s="65"/>
      <c r="K1047824" s="66"/>
      <c r="L1047824" s="66"/>
      <c r="M1047824" s="66"/>
      <c r="N1047824" s="66"/>
      <c r="AF1047824" s="67"/>
    </row>
    <row r="1047825" s="4" customFormat="1" spans="1:32">
      <c r="A1047825" s="5"/>
      <c r="B1047825" s="5"/>
      <c r="C1047825" s="5"/>
      <c r="D1047825" s="5"/>
      <c r="E1047825" s="5"/>
      <c r="F1047825" s="5"/>
      <c r="G1047825" s="5"/>
      <c r="H1047825" s="5"/>
      <c r="I1047825" s="5"/>
      <c r="J1047825" s="65"/>
      <c r="K1047825" s="66"/>
      <c r="L1047825" s="66"/>
      <c r="M1047825" s="66"/>
      <c r="N1047825" s="66"/>
      <c r="AF1047825" s="67"/>
    </row>
    <row r="1047826" s="4" customFormat="1" spans="1:32">
      <c r="A1047826" s="5"/>
      <c r="B1047826" s="5"/>
      <c r="C1047826" s="5"/>
      <c r="D1047826" s="5"/>
      <c r="E1047826" s="5"/>
      <c r="F1047826" s="5"/>
      <c r="G1047826" s="5"/>
      <c r="H1047826" s="5"/>
      <c r="I1047826" s="5"/>
      <c r="J1047826" s="65"/>
      <c r="K1047826" s="66"/>
      <c r="L1047826" s="66"/>
      <c r="M1047826" s="66"/>
      <c r="N1047826" s="66"/>
      <c r="AF1047826" s="67"/>
    </row>
    <row r="1047827" s="4" customFormat="1" spans="1:32">
      <c r="A1047827" s="5"/>
      <c r="B1047827" s="5"/>
      <c r="C1047827" s="5"/>
      <c r="D1047827" s="5"/>
      <c r="E1047827" s="5"/>
      <c r="F1047827" s="5"/>
      <c r="G1047827" s="5"/>
      <c r="H1047827" s="5"/>
      <c r="I1047827" s="5"/>
      <c r="J1047827" s="65"/>
      <c r="K1047827" s="66"/>
      <c r="L1047827" s="66"/>
      <c r="M1047827" s="66"/>
      <c r="N1047827" s="66"/>
      <c r="AF1047827" s="67"/>
    </row>
    <row r="1047828" s="4" customFormat="1" spans="1:32">
      <c r="A1047828" s="5"/>
      <c r="B1047828" s="5"/>
      <c r="C1047828" s="5"/>
      <c r="D1047828" s="5"/>
      <c r="E1047828" s="5"/>
      <c r="F1047828" s="5"/>
      <c r="G1047828" s="5"/>
      <c r="H1047828" s="5"/>
      <c r="I1047828" s="5"/>
      <c r="J1047828" s="65"/>
      <c r="K1047828" s="66"/>
      <c r="L1047828" s="66"/>
      <c r="M1047828" s="66"/>
      <c r="N1047828" s="66"/>
      <c r="AF1047828" s="67"/>
    </row>
    <row r="1047829" s="4" customFormat="1" spans="1:32">
      <c r="A1047829" s="5"/>
      <c r="B1047829" s="5"/>
      <c r="C1047829" s="5"/>
      <c r="D1047829" s="5"/>
      <c r="E1047829" s="5"/>
      <c r="F1047829" s="5"/>
      <c r="G1047829" s="5"/>
      <c r="H1047829" s="5"/>
      <c r="I1047829" s="5"/>
      <c r="J1047829" s="65"/>
      <c r="K1047829" s="66"/>
      <c r="L1047829" s="66"/>
      <c r="M1047829" s="66"/>
      <c r="N1047829" s="66"/>
      <c r="AF1047829" s="67"/>
    </row>
    <row r="1047830" s="4" customFormat="1" spans="1:32">
      <c r="A1047830" s="5"/>
      <c r="B1047830" s="5"/>
      <c r="C1047830" s="5"/>
      <c r="D1047830" s="5"/>
      <c r="E1047830" s="5"/>
      <c r="F1047830" s="5"/>
      <c r="G1047830" s="5"/>
      <c r="H1047830" s="5"/>
      <c r="I1047830" s="5"/>
      <c r="J1047830" s="65"/>
      <c r="K1047830" s="66"/>
      <c r="L1047830" s="66"/>
      <c r="M1047830" s="66"/>
      <c r="N1047830" s="66"/>
      <c r="AF1047830" s="67"/>
    </row>
    <row r="1047831" s="4" customFormat="1" spans="1:32">
      <c r="A1047831" s="5"/>
      <c r="B1047831" s="5"/>
      <c r="C1047831" s="5"/>
      <c r="D1047831" s="5"/>
      <c r="E1047831" s="5"/>
      <c r="F1047831" s="5"/>
      <c r="G1047831" s="5"/>
      <c r="H1047831" s="5"/>
      <c r="I1047831" s="5"/>
      <c r="J1047831" s="65"/>
      <c r="K1047831" s="66"/>
      <c r="L1047831" s="66"/>
      <c r="M1047831" s="66"/>
      <c r="N1047831" s="66"/>
      <c r="AF1047831" s="67"/>
    </row>
    <row r="1047832" s="4" customFormat="1" spans="1:32">
      <c r="A1047832" s="5"/>
      <c r="B1047832" s="5"/>
      <c r="C1047832" s="5"/>
      <c r="D1047832" s="5"/>
      <c r="E1047832" s="5"/>
      <c r="F1047832" s="5"/>
      <c r="G1047832" s="5"/>
      <c r="H1047832" s="5"/>
      <c r="I1047832" s="5"/>
      <c r="J1047832" s="65"/>
      <c r="K1047832" s="66"/>
      <c r="L1047832" s="66"/>
      <c r="M1047832" s="66"/>
      <c r="N1047832" s="66"/>
      <c r="AF1047832" s="67"/>
    </row>
    <row r="1047833" s="4" customFormat="1" spans="1:32">
      <c r="A1047833" s="5"/>
      <c r="B1047833" s="5"/>
      <c r="C1047833" s="5"/>
      <c r="D1047833" s="5"/>
      <c r="E1047833" s="5"/>
      <c r="F1047833" s="5"/>
      <c r="G1047833" s="5"/>
      <c r="H1047833" s="5"/>
      <c r="I1047833" s="5"/>
      <c r="J1047833" s="65"/>
      <c r="K1047833" s="66"/>
      <c r="L1047833" s="66"/>
      <c r="M1047833" s="66"/>
      <c r="N1047833" s="66"/>
      <c r="AF1047833" s="67"/>
    </row>
    <row r="1047834" s="4" customFormat="1" spans="1:32">
      <c r="A1047834" s="5"/>
      <c r="B1047834" s="5"/>
      <c r="C1047834" s="5"/>
      <c r="D1047834" s="5"/>
      <c r="E1047834" s="5"/>
      <c r="F1047834" s="5"/>
      <c r="G1047834" s="5"/>
      <c r="H1047834" s="5"/>
      <c r="I1047834" s="5"/>
      <c r="J1047834" s="65"/>
      <c r="K1047834" s="66"/>
      <c r="L1047834" s="66"/>
      <c r="M1047834" s="66"/>
      <c r="N1047834" s="66"/>
      <c r="AF1047834" s="67"/>
    </row>
    <row r="1047835" s="4" customFormat="1" spans="1:32">
      <c r="A1047835" s="5"/>
      <c r="B1047835" s="5"/>
      <c r="C1047835" s="5"/>
      <c r="D1047835" s="5"/>
      <c r="E1047835" s="5"/>
      <c r="F1047835" s="5"/>
      <c r="G1047835" s="5"/>
      <c r="H1047835" s="5"/>
      <c r="I1047835" s="5"/>
      <c r="J1047835" s="65"/>
      <c r="K1047835" s="66"/>
      <c r="L1047835" s="66"/>
      <c r="M1047835" s="66"/>
      <c r="N1047835" s="66"/>
      <c r="AF1047835" s="67"/>
    </row>
    <row r="1047836" s="4" customFormat="1" spans="1:32">
      <c r="A1047836" s="5"/>
      <c r="B1047836" s="5"/>
      <c r="C1047836" s="5"/>
      <c r="D1047836" s="5"/>
      <c r="E1047836" s="5"/>
      <c r="F1047836" s="5"/>
      <c r="G1047836" s="5"/>
      <c r="H1047836" s="5"/>
      <c r="I1047836" s="5"/>
      <c r="J1047836" s="65"/>
      <c r="K1047836" s="66"/>
      <c r="L1047836" s="66"/>
      <c r="M1047836" s="66"/>
      <c r="N1047836" s="66"/>
      <c r="AF1047836" s="67"/>
    </row>
    <row r="1047837" s="4" customFormat="1" spans="1:32">
      <c r="A1047837" s="5"/>
      <c r="B1047837" s="5"/>
      <c r="C1047837" s="5"/>
      <c r="D1047837" s="5"/>
      <c r="E1047837" s="5"/>
      <c r="F1047837" s="5"/>
      <c r="G1047837" s="5"/>
      <c r="H1047837" s="5"/>
      <c r="I1047837" s="5"/>
      <c r="J1047837" s="65"/>
      <c r="K1047837" s="66"/>
      <c r="L1047837" s="66"/>
      <c r="M1047837" s="66"/>
      <c r="N1047837" s="66"/>
      <c r="AF1047837" s="67"/>
    </row>
    <row r="1047838" s="4" customFormat="1" spans="1:32">
      <c r="A1047838" s="5"/>
      <c r="B1047838" s="5"/>
      <c r="C1047838" s="5"/>
      <c r="D1047838" s="5"/>
      <c r="E1047838" s="5"/>
      <c r="F1047838" s="5"/>
      <c r="G1047838" s="5"/>
      <c r="H1047838" s="5"/>
      <c r="I1047838" s="5"/>
      <c r="J1047838" s="65"/>
      <c r="K1047838" s="66"/>
      <c r="L1047838" s="66"/>
      <c r="M1047838" s="66"/>
      <c r="N1047838" s="66"/>
      <c r="AF1047838" s="67"/>
    </row>
    <row r="1047839" s="4" customFormat="1" spans="1:32">
      <c r="A1047839" s="5"/>
      <c r="B1047839" s="5"/>
      <c r="C1047839" s="5"/>
      <c r="D1047839" s="5"/>
      <c r="E1047839" s="5"/>
      <c r="F1047839" s="5"/>
      <c r="G1047839" s="5"/>
      <c r="H1047839" s="5"/>
      <c r="I1047839" s="5"/>
      <c r="J1047839" s="65"/>
      <c r="K1047839" s="66"/>
      <c r="L1047839" s="66"/>
      <c r="M1047839" s="66"/>
      <c r="N1047839" s="66"/>
      <c r="AF1047839" s="67"/>
    </row>
    <row r="1047840" s="4" customFormat="1" spans="1:32">
      <c r="A1047840" s="5"/>
      <c r="B1047840" s="5"/>
      <c r="C1047840" s="5"/>
      <c r="D1047840" s="5"/>
      <c r="E1047840" s="5"/>
      <c r="F1047840" s="5"/>
      <c r="G1047840" s="5"/>
      <c r="H1047840" s="5"/>
      <c r="I1047840" s="5"/>
      <c r="J1047840" s="65"/>
      <c r="K1047840" s="66"/>
      <c r="L1047840" s="66"/>
      <c r="M1047840" s="66"/>
      <c r="N1047840" s="66"/>
      <c r="AF1047840" s="67"/>
    </row>
    <row r="1047841" s="4" customFormat="1" spans="1:32">
      <c r="A1047841" s="5"/>
      <c r="B1047841" s="5"/>
      <c r="C1047841" s="5"/>
      <c r="D1047841" s="5"/>
      <c r="E1047841" s="5"/>
      <c r="F1047841" s="5"/>
      <c r="G1047841" s="5"/>
      <c r="H1047841" s="5"/>
      <c r="I1047841" s="5"/>
      <c r="J1047841" s="65"/>
      <c r="K1047841" s="66"/>
      <c r="L1047841" s="66"/>
      <c r="M1047841" s="66"/>
      <c r="N1047841" s="66"/>
      <c r="AF1047841" s="67"/>
    </row>
    <row r="1047842" s="4" customFormat="1" spans="1:32">
      <c r="A1047842" s="5"/>
      <c r="B1047842" s="5"/>
      <c r="C1047842" s="5"/>
      <c r="D1047842" s="5"/>
      <c r="E1047842" s="5"/>
      <c r="F1047842" s="5"/>
      <c r="G1047842" s="5"/>
      <c r="H1047842" s="5"/>
      <c r="I1047842" s="5"/>
      <c r="J1047842" s="65"/>
      <c r="K1047842" s="66"/>
      <c r="L1047842" s="66"/>
      <c r="M1047842" s="66"/>
      <c r="N1047842" s="66"/>
      <c r="AF1047842" s="67"/>
    </row>
    <row r="1047843" s="4" customFormat="1" spans="1:32">
      <c r="A1047843" s="5"/>
      <c r="B1047843" s="5"/>
      <c r="C1047843" s="5"/>
      <c r="D1047843" s="5"/>
      <c r="E1047843" s="5"/>
      <c r="F1047843" s="5"/>
      <c r="G1047843" s="5"/>
      <c r="H1047843" s="5"/>
      <c r="I1047843" s="5"/>
      <c r="J1047843" s="65"/>
      <c r="K1047843" s="66"/>
      <c r="L1047843" s="66"/>
      <c r="M1047843" s="66"/>
      <c r="N1047843" s="66"/>
      <c r="AF1047843" s="67"/>
    </row>
    <row r="1047844" s="4" customFormat="1" spans="1:32">
      <c r="A1047844" s="5"/>
      <c r="B1047844" s="5"/>
      <c r="C1047844" s="5"/>
      <c r="D1047844" s="5"/>
      <c r="E1047844" s="5"/>
      <c r="F1047844" s="5"/>
      <c r="G1047844" s="5"/>
      <c r="H1047844" s="5"/>
      <c r="I1047844" s="5"/>
      <c r="J1047844" s="65"/>
      <c r="K1047844" s="66"/>
      <c r="L1047844" s="66"/>
      <c r="M1047844" s="66"/>
      <c r="N1047844" s="66"/>
      <c r="AF1047844" s="67"/>
    </row>
    <row r="1047845" s="4" customFormat="1" spans="1:32">
      <c r="A1047845" s="5"/>
      <c r="B1047845" s="5"/>
      <c r="C1047845" s="5"/>
      <c r="D1047845" s="5"/>
      <c r="E1047845" s="5"/>
      <c r="F1047845" s="5"/>
      <c r="G1047845" s="5"/>
      <c r="H1047845" s="5"/>
      <c r="I1047845" s="5"/>
      <c r="J1047845" s="65"/>
      <c r="K1047845" s="66"/>
      <c r="L1047845" s="66"/>
      <c r="M1047845" s="66"/>
      <c r="N1047845" s="66"/>
      <c r="AF1047845" s="67"/>
    </row>
    <row r="1047846" s="4" customFormat="1" spans="1:32">
      <c r="A1047846" s="5"/>
      <c r="B1047846" s="5"/>
      <c r="C1047846" s="5"/>
      <c r="D1047846" s="5"/>
      <c r="E1047846" s="5"/>
      <c r="F1047846" s="5"/>
      <c r="G1047846" s="5"/>
      <c r="H1047846" s="5"/>
      <c r="I1047846" s="5"/>
      <c r="J1047846" s="65"/>
      <c r="K1047846" s="66"/>
      <c r="L1047846" s="66"/>
      <c r="M1047846" s="66"/>
      <c r="N1047846" s="66"/>
      <c r="AF1047846" s="67"/>
    </row>
    <row r="1047847" s="4" customFormat="1" spans="1:32">
      <c r="A1047847" s="5"/>
      <c r="B1047847" s="5"/>
      <c r="C1047847" s="5"/>
      <c r="D1047847" s="5"/>
      <c r="E1047847" s="5"/>
      <c r="F1047847" s="5"/>
      <c r="G1047847" s="5"/>
      <c r="H1047847" s="5"/>
      <c r="I1047847" s="5"/>
      <c r="J1047847" s="65"/>
      <c r="K1047847" s="66"/>
      <c r="L1047847" s="66"/>
      <c r="M1047847" s="66"/>
      <c r="N1047847" s="66"/>
      <c r="AF1047847" s="67"/>
    </row>
  </sheetData>
  <autoFilter xmlns:etc="http://www.wps.cn/officeDocument/2017/etCustomData" ref="A1:AS214" etc:filterBottomFollowUsedRange="0">
    <filterColumn colId="3">
      <customFilters>
        <customFilter operator="equal" val="CTB"/>
      </customFilters>
    </filterColumn>
    <filterColumn colId="6">
      <filters>
        <filter val="SP"/>
      </filters>
    </filterColumn>
    <filterColumn colId="11">
      <customFilters>
        <customFilter operator="lessThan" val="50"/>
      </customFilters>
    </filterColumn>
    <extLst>
      <etc:autoFilterAnalysis etc:version="v1" etc:showPane="0">
        <etc:analysisCharts>
          <etc:chart etc:type="pie">
            <etc:category etc:colId="-1"/>
            <etc:seriesCollections etc:count="1">
              <etc:series etc:colId="38" etc:subtotal="sum"/>
            </etc:seriesCollections>
          </etc:chart>
          <etc:chart etc:type="pie">
            <etc:category etc:colId="-1"/>
            <etc:seriesCollections etc:count="1">
              <etc:series etc:colId="0" etc:subtotal="count"/>
            </etc:seriesCollections>
          </etc:chart>
          <etc:chart etc:type="pie">
            <etc:category etc:colId="-1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A1" sqref="$A1:$XFD1048576"/>
    </sheetView>
  </sheetViews>
  <sheetFormatPr defaultColWidth="8.88888888888889" defaultRowHeight="10.2"/>
  <cols>
    <col min="1" max="16384" width="8.88888888888889" style="1"/>
  </cols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68" workbookViewId="0">
      <selection activeCell="A568" sqref="$A1:$XFD1048576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BASE</vt:lpstr>
      <vt:lpstr>RESULTADO DIRETO</vt:lpstr>
      <vt:lpstr>FONTES</vt:lpstr>
      <vt:lpstr>RESULTADO REDESPACHO</vt:lpstr>
      <vt:lpstr>BASE DADOS</vt:lpstr>
      <vt:lpstr>CUSTO TRANSFERENCIA</vt:lpstr>
      <vt:lpstr>CUSTO NOVA</vt:lpstr>
      <vt:lpstr>RATEIO DE COLETAS</vt:lpstr>
      <vt:lpstr>RATEIO TRANSFERÊNCIA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Jessyca Elisa de Oliveira</dc:creator>
  <cp:lastModifiedBy>Marcelo Roberto - Ger. Fil. SP</cp:lastModifiedBy>
  <dcterms:created xsi:type="dcterms:W3CDTF">2023-06-14T17:54:00Z</dcterms:created>
  <dcterms:modified xsi:type="dcterms:W3CDTF">2026-09-27T23:12:19Z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3F2EDC25C5DF495BB925AD45D975B4B0_13</vt:lpwstr>
  </property>
  <property fmtid="{D5CDD505-2E9C-101B-9397-08002B2CF9AE}" pid="3" name="KSOProductBuildVer">
    <vt:lpwstr>1046-12.1.0.28485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